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Desktop/Soman Sir Notes/latest_neural_breast cancer/"/>
    </mc:Choice>
  </mc:AlternateContent>
  <xr:revisionPtr revIDLastSave="0" documentId="13_ncr:1_{A0B7ED48-7C39-E943-94A6-C2536B29B3ED}" xr6:coauthVersionLast="47" xr6:coauthVersionMax="47" xr10:uidLastSave="{00000000-0000-0000-0000-000000000000}"/>
  <bookViews>
    <workbookView xWindow="0" yWindow="660" windowWidth="29400" windowHeight="16920" activeTab="1" xr2:uid="{2B675BA4-F247-824D-86BC-7582B285DFC4}"/>
  </bookViews>
  <sheets>
    <sheet name="Training_section" sheetId="6" r:id="rId1"/>
    <sheet name="Testing_Sec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4" l="1"/>
  <c r="AA3" i="4"/>
  <c r="AA2" i="4"/>
  <c r="X2" i="4" a="1"/>
  <c r="W3" i="4" a="1"/>
  <c r="X3" i="4" a="1"/>
  <c r="W2" i="4" a="1"/>
  <c r="T3" i="4" a="1"/>
  <c r="T2" i="4" a="1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29" i="4"/>
  <c r="AM29" i="4" a="1"/>
  <c r="R18" i="4" a="1"/>
  <c r="O3" i="4"/>
  <c r="P3" i="4"/>
  <c r="O4" i="4"/>
  <c r="P4" i="4"/>
  <c r="O5" i="4"/>
  <c r="P5" i="4"/>
  <c r="O6" i="4"/>
  <c r="P6" i="4"/>
  <c r="O7" i="4"/>
  <c r="P7" i="4"/>
  <c r="O8" i="4"/>
  <c r="P8" i="4"/>
  <c r="O9" i="4"/>
  <c r="P9" i="4"/>
  <c r="O10" i="4"/>
  <c r="P10" i="4"/>
  <c r="O11" i="4"/>
  <c r="P11" i="4"/>
  <c r="O12" i="4"/>
  <c r="P12" i="4"/>
  <c r="O13" i="4"/>
  <c r="P13" i="4"/>
  <c r="O14" i="4"/>
  <c r="P14" i="4"/>
  <c r="O15" i="4"/>
  <c r="P15" i="4"/>
  <c r="O16" i="4"/>
  <c r="P16" i="4"/>
  <c r="O17" i="4"/>
  <c r="P17" i="4"/>
  <c r="O18" i="4"/>
  <c r="P18" i="4"/>
  <c r="O19" i="4"/>
  <c r="P19" i="4"/>
  <c r="O20" i="4"/>
  <c r="P20" i="4"/>
  <c r="O21" i="4"/>
  <c r="P21" i="4"/>
  <c r="O22" i="4"/>
  <c r="P22" i="4"/>
  <c r="O23" i="4"/>
  <c r="P23" i="4"/>
  <c r="O24" i="4"/>
  <c r="P24" i="4"/>
  <c r="O25" i="4"/>
  <c r="P25" i="4"/>
  <c r="O26" i="4"/>
  <c r="P26" i="4"/>
  <c r="O27" i="4"/>
  <c r="P27" i="4"/>
  <c r="O28" i="4"/>
  <c r="P28" i="4"/>
  <c r="O29" i="4"/>
  <c r="P29" i="4"/>
  <c r="O30" i="4"/>
  <c r="P30" i="4"/>
  <c r="O31" i="4"/>
  <c r="P31" i="4"/>
  <c r="O32" i="4"/>
  <c r="P32" i="4"/>
  <c r="O33" i="4"/>
  <c r="P33" i="4"/>
  <c r="O34" i="4"/>
  <c r="P34" i="4"/>
  <c r="O35" i="4"/>
  <c r="P35" i="4"/>
  <c r="O36" i="4"/>
  <c r="P36" i="4"/>
  <c r="O37" i="4"/>
  <c r="P37" i="4"/>
  <c r="O38" i="4"/>
  <c r="P38" i="4"/>
  <c r="O39" i="4"/>
  <c r="P39" i="4"/>
  <c r="O40" i="4"/>
  <c r="P40" i="4"/>
  <c r="O41" i="4"/>
  <c r="P41" i="4"/>
  <c r="O42" i="4"/>
  <c r="P42" i="4"/>
  <c r="O43" i="4"/>
  <c r="P43" i="4"/>
  <c r="O44" i="4"/>
  <c r="P44" i="4"/>
  <c r="O45" i="4"/>
  <c r="P45" i="4"/>
  <c r="O46" i="4"/>
  <c r="P46" i="4"/>
  <c r="O47" i="4"/>
  <c r="P47" i="4"/>
  <c r="O48" i="4"/>
  <c r="P48" i="4"/>
  <c r="O49" i="4"/>
  <c r="P49" i="4"/>
  <c r="O50" i="4"/>
  <c r="P50" i="4"/>
  <c r="O51" i="4"/>
  <c r="P51" i="4"/>
  <c r="O52" i="4"/>
  <c r="P52" i="4"/>
  <c r="O53" i="4"/>
  <c r="P53" i="4"/>
  <c r="O54" i="4"/>
  <c r="P54" i="4"/>
  <c r="O55" i="4"/>
  <c r="P55" i="4"/>
  <c r="O56" i="4"/>
  <c r="P56" i="4"/>
  <c r="O57" i="4"/>
  <c r="P57" i="4"/>
  <c r="O58" i="4"/>
  <c r="P58" i="4"/>
  <c r="O59" i="4"/>
  <c r="P59" i="4"/>
  <c r="O60" i="4"/>
  <c r="P60" i="4"/>
  <c r="O61" i="4"/>
  <c r="P61" i="4"/>
  <c r="O62" i="4"/>
  <c r="P62" i="4"/>
  <c r="O63" i="4"/>
  <c r="P63" i="4"/>
  <c r="O64" i="4"/>
  <c r="P64" i="4"/>
  <c r="O65" i="4"/>
  <c r="P65" i="4"/>
  <c r="O66" i="4"/>
  <c r="P66" i="4"/>
  <c r="O67" i="4"/>
  <c r="P67" i="4"/>
  <c r="O68" i="4"/>
  <c r="P68" i="4"/>
  <c r="O69" i="4"/>
  <c r="P69" i="4"/>
  <c r="O70" i="4"/>
  <c r="P70" i="4"/>
  <c r="O71" i="4"/>
  <c r="P71" i="4"/>
  <c r="O72" i="4"/>
  <c r="P72" i="4"/>
  <c r="O73" i="4"/>
  <c r="P73" i="4"/>
  <c r="O74" i="4"/>
  <c r="P74" i="4"/>
  <c r="O75" i="4"/>
  <c r="P75" i="4"/>
  <c r="O76" i="4"/>
  <c r="P76" i="4"/>
  <c r="O77" i="4"/>
  <c r="P77" i="4"/>
  <c r="O78" i="4"/>
  <c r="P78" i="4"/>
  <c r="O79" i="4"/>
  <c r="P79" i="4"/>
  <c r="O80" i="4"/>
  <c r="P80" i="4"/>
  <c r="O81" i="4"/>
  <c r="P81" i="4"/>
  <c r="O82" i="4"/>
  <c r="P82" i="4"/>
  <c r="O83" i="4"/>
  <c r="P83" i="4"/>
  <c r="O84" i="4"/>
  <c r="P84" i="4"/>
  <c r="O85" i="4"/>
  <c r="P85" i="4"/>
  <c r="O86" i="4"/>
  <c r="P86" i="4"/>
  <c r="O87" i="4"/>
  <c r="P87" i="4"/>
  <c r="O88" i="4"/>
  <c r="P88" i="4"/>
  <c r="O89" i="4"/>
  <c r="P89" i="4"/>
  <c r="O90" i="4"/>
  <c r="P90" i="4"/>
  <c r="O91" i="4"/>
  <c r="P91" i="4"/>
  <c r="O92" i="4"/>
  <c r="P92" i="4"/>
  <c r="O93" i="4"/>
  <c r="P93" i="4"/>
  <c r="O94" i="4"/>
  <c r="P94" i="4"/>
  <c r="O95" i="4"/>
  <c r="P95" i="4"/>
  <c r="O96" i="4"/>
  <c r="P96" i="4"/>
  <c r="O97" i="4"/>
  <c r="P97" i="4"/>
  <c r="O98" i="4"/>
  <c r="P98" i="4"/>
  <c r="O99" i="4"/>
  <c r="P99" i="4"/>
  <c r="O100" i="4"/>
  <c r="P100" i="4"/>
  <c r="O101" i="4"/>
  <c r="P101" i="4"/>
  <c r="O102" i="4"/>
  <c r="P102" i="4"/>
  <c r="O103" i="4"/>
  <c r="P103" i="4"/>
  <c r="O104" i="4"/>
  <c r="P104" i="4"/>
  <c r="O105" i="4"/>
  <c r="P105" i="4"/>
  <c r="O106" i="4"/>
  <c r="P106" i="4"/>
  <c r="O107" i="4"/>
  <c r="P107" i="4"/>
  <c r="O108" i="4"/>
  <c r="P108" i="4"/>
  <c r="O109" i="4"/>
  <c r="P109" i="4"/>
  <c r="O110" i="4"/>
  <c r="P110" i="4"/>
  <c r="O111" i="4"/>
  <c r="P111" i="4"/>
  <c r="O112" i="4"/>
  <c r="P112" i="4"/>
  <c r="O113" i="4"/>
  <c r="P113" i="4"/>
  <c r="O114" i="4"/>
  <c r="P114" i="4"/>
  <c r="O115" i="4"/>
  <c r="P115" i="4"/>
  <c r="P2" i="4"/>
  <c r="O2" i="4"/>
  <c r="AM18" i="6" a="1"/>
  <c r="R34" i="6" a="1"/>
  <c r="P456" i="6"/>
  <c r="O456" i="6"/>
  <c r="P455" i="6"/>
  <c r="O455" i="6"/>
  <c r="P454" i="6"/>
  <c r="O454" i="6"/>
  <c r="P453" i="6"/>
  <c r="O453" i="6"/>
  <c r="P452" i="6"/>
  <c r="O452" i="6"/>
  <c r="P451" i="6"/>
  <c r="O451" i="6"/>
  <c r="P450" i="6"/>
  <c r="O450" i="6"/>
  <c r="P449" i="6"/>
  <c r="O449" i="6"/>
  <c r="P448" i="6"/>
  <c r="O448" i="6"/>
  <c r="P447" i="6"/>
  <c r="O447" i="6"/>
  <c r="P446" i="6"/>
  <c r="O446" i="6"/>
  <c r="P445" i="6"/>
  <c r="O445" i="6"/>
  <c r="P444" i="6"/>
  <c r="O444" i="6"/>
  <c r="P443" i="6"/>
  <c r="O443" i="6"/>
  <c r="P442" i="6"/>
  <c r="O442" i="6"/>
  <c r="P441" i="6"/>
  <c r="O441" i="6"/>
  <c r="P440" i="6"/>
  <c r="O440" i="6"/>
  <c r="P439" i="6"/>
  <c r="O439" i="6"/>
  <c r="P438" i="6"/>
  <c r="O438" i="6"/>
  <c r="P437" i="6"/>
  <c r="O437" i="6"/>
  <c r="P436" i="6"/>
  <c r="O436" i="6"/>
  <c r="P435" i="6"/>
  <c r="O435" i="6"/>
  <c r="P434" i="6"/>
  <c r="O434" i="6"/>
  <c r="P433" i="6"/>
  <c r="O433" i="6"/>
  <c r="P432" i="6"/>
  <c r="O432" i="6"/>
  <c r="P431" i="6"/>
  <c r="O431" i="6"/>
  <c r="P430" i="6"/>
  <c r="O430" i="6"/>
  <c r="P429" i="6"/>
  <c r="O429" i="6"/>
  <c r="P428" i="6"/>
  <c r="O428" i="6"/>
  <c r="P427" i="6"/>
  <c r="O427" i="6"/>
  <c r="P426" i="6"/>
  <c r="O426" i="6"/>
  <c r="P425" i="6"/>
  <c r="O425" i="6"/>
  <c r="P424" i="6"/>
  <c r="O424" i="6"/>
  <c r="P423" i="6"/>
  <c r="O423" i="6"/>
  <c r="P422" i="6"/>
  <c r="O422" i="6"/>
  <c r="P421" i="6"/>
  <c r="O421" i="6"/>
  <c r="P420" i="6"/>
  <c r="O420" i="6"/>
  <c r="P419" i="6"/>
  <c r="O419" i="6"/>
  <c r="P418" i="6"/>
  <c r="O418" i="6"/>
  <c r="P417" i="6"/>
  <c r="O417" i="6"/>
  <c r="P416" i="6"/>
  <c r="O416" i="6"/>
  <c r="P415" i="6"/>
  <c r="O415" i="6"/>
  <c r="P414" i="6"/>
  <c r="O414" i="6"/>
  <c r="P413" i="6"/>
  <c r="O413" i="6"/>
  <c r="P412" i="6"/>
  <c r="O412" i="6"/>
  <c r="P411" i="6"/>
  <c r="O411" i="6"/>
  <c r="P410" i="6"/>
  <c r="O410" i="6"/>
  <c r="P409" i="6"/>
  <c r="O409" i="6"/>
  <c r="P408" i="6"/>
  <c r="O408" i="6"/>
  <c r="P407" i="6"/>
  <c r="O407" i="6"/>
  <c r="P406" i="6"/>
  <c r="O406" i="6"/>
  <c r="P405" i="6"/>
  <c r="O405" i="6"/>
  <c r="P404" i="6"/>
  <c r="O404" i="6"/>
  <c r="P403" i="6"/>
  <c r="O403" i="6"/>
  <c r="P402" i="6"/>
  <c r="O402" i="6"/>
  <c r="P401" i="6"/>
  <c r="O401" i="6"/>
  <c r="P400" i="6"/>
  <c r="O400" i="6"/>
  <c r="P399" i="6"/>
  <c r="O399" i="6"/>
  <c r="P398" i="6"/>
  <c r="O398" i="6"/>
  <c r="P397" i="6"/>
  <c r="O397" i="6"/>
  <c r="P396" i="6"/>
  <c r="O396" i="6"/>
  <c r="P395" i="6"/>
  <c r="O395" i="6"/>
  <c r="P394" i="6"/>
  <c r="O394" i="6"/>
  <c r="P393" i="6"/>
  <c r="O393" i="6"/>
  <c r="P392" i="6"/>
  <c r="O392" i="6"/>
  <c r="P391" i="6"/>
  <c r="O391" i="6"/>
  <c r="P390" i="6"/>
  <c r="O390" i="6"/>
  <c r="P389" i="6"/>
  <c r="O389" i="6"/>
  <c r="P388" i="6"/>
  <c r="O388" i="6"/>
  <c r="P387" i="6"/>
  <c r="O387" i="6"/>
  <c r="P386" i="6"/>
  <c r="O386" i="6"/>
  <c r="P385" i="6"/>
  <c r="O385" i="6"/>
  <c r="P384" i="6"/>
  <c r="O384" i="6"/>
  <c r="P383" i="6"/>
  <c r="O383" i="6"/>
  <c r="P382" i="6"/>
  <c r="O382" i="6"/>
  <c r="P381" i="6"/>
  <c r="O381" i="6"/>
  <c r="P380" i="6"/>
  <c r="O380" i="6"/>
  <c r="P379" i="6"/>
  <c r="O379" i="6"/>
  <c r="P378" i="6"/>
  <c r="O378" i="6"/>
  <c r="P377" i="6"/>
  <c r="O377" i="6"/>
  <c r="P376" i="6"/>
  <c r="O376" i="6"/>
  <c r="P375" i="6"/>
  <c r="O375" i="6"/>
  <c r="P374" i="6"/>
  <c r="O374" i="6"/>
  <c r="P373" i="6"/>
  <c r="O373" i="6"/>
  <c r="P372" i="6"/>
  <c r="O372" i="6"/>
  <c r="P371" i="6"/>
  <c r="O371" i="6"/>
  <c r="P370" i="6"/>
  <c r="O370" i="6"/>
  <c r="P369" i="6"/>
  <c r="O369" i="6"/>
  <c r="P368" i="6"/>
  <c r="O368" i="6"/>
  <c r="P367" i="6"/>
  <c r="O367" i="6"/>
  <c r="P366" i="6"/>
  <c r="O366" i="6"/>
  <c r="P365" i="6"/>
  <c r="O365" i="6"/>
  <c r="P364" i="6"/>
  <c r="O364" i="6"/>
  <c r="P363" i="6"/>
  <c r="O363" i="6"/>
  <c r="P362" i="6"/>
  <c r="O362" i="6"/>
  <c r="P361" i="6"/>
  <c r="O361" i="6"/>
  <c r="P360" i="6"/>
  <c r="O360" i="6"/>
  <c r="P359" i="6"/>
  <c r="O359" i="6"/>
  <c r="P358" i="6"/>
  <c r="O358" i="6"/>
  <c r="P357" i="6"/>
  <c r="O357" i="6"/>
  <c r="P356" i="6"/>
  <c r="O356" i="6"/>
  <c r="P355" i="6"/>
  <c r="O355" i="6"/>
  <c r="P354" i="6"/>
  <c r="O354" i="6"/>
  <c r="P353" i="6"/>
  <c r="O353" i="6"/>
  <c r="P352" i="6"/>
  <c r="O352" i="6"/>
  <c r="P351" i="6"/>
  <c r="O351" i="6"/>
  <c r="P350" i="6"/>
  <c r="O350" i="6"/>
  <c r="P349" i="6"/>
  <c r="O349" i="6"/>
  <c r="P348" i="6"/>
  <c r="O348" i="6"/>
  <c r="P347" i="6"/>
  <c r="O347" i="6"/>
  <c r="P346" i="6"/>
  <c r="O346" i="6"/>
  <c r="P345" i="6"/>
  <c r="O345" i="6"/>
  <c r="P344" i="6"/>
  <c r="O344" i="6"/>
  <c r="P343" i="6"/>
  <c r="O343" i="6"/>
  <c r="P342" i="6"/>
  <c r="O342" i="6"/>
  <c r="P341" i="6"/>
  <c r="O341" i="6"/>
  <c r="P340" i="6"/>
  <c r="O340" i="6"/>
  <c r="P339" i="6"/>
  <c r="O339" i="6"/>
  <c r="P338" i="6"/>
  <c r="O338" i="6"/>
  <c r="P337" i="6"/>
  <c r="O337" i="6"/>
  <c r="P336" i="6"/>
  <c r="O336" i="6"/>
  <c r="P335" i="6"/>
  <c r="O335" i="6"/>
  <c r="P334" i="6"/>
  <c r="O334" i="6"/>
  <c r="P333" i="6"/>
  <c r="O333" i="6"/>
  <c r="P332" i="6"/>
  <c r="O332" i="6"/>
  <c r="P331" i="6"/>
  <c r="O331" i="6"/>
  <c r="P330" i="6"/>
  <c r="O330" i="6"/>
  <c r="P329" i="6"/>
  <c r="O329" i="6"/>
  <c r="P328" i="6"/>
  <c r="O328" i="6"/>
  <c r="P327" i="6"/>
  <c r="O327" i="6"/>
  <c r="P326" i="6"/>
  <c r="O326" i="6"/>
  <c r="P325" i="6"/>
  <c r="O325" i="6"/>
  <c r="P324" i="6"/>
  <c r="O324" i="6"/>
  <c r="P323" i="6"/>
  <c r="O323" i="6"/>
  <c r="P322" i="6"/>
  <c r="O322" i="6"/>
  <c r="P321" i="6"/>
  <c r="O321" i="6"/>
  <c r="P320" i="6"/>
  <c r="O320" i="6"/>
  <c r="P319" i="6"/>
  <c r="O319" i="6"/>
  <c r="P318" i="6"/>
  <c r="O318" i="6"/>
  <c r="P317" i="6"/>
  <c r="O317" i="6"/>
  <c r="P316" i="6"/>
  <c r="O316" i="6"/>
  <c r="P315" i="6"/>
  <c r="O315" i="6"/>
  <c r="P314" i="6"/>
  <c r="O314" i="6"/>
  <c r="P313" i="6"/>
  <c r="O313" i="6"/>
  <c r="P312" i="6"/>
  <c r="O312" i="6"/>
  <c r="P311" i="6"/>
  <c r="O311" i="6"/>
  <c r="P310" i="6"/>
  <c r="O310" i="6"/>
  <c r="P309" i="6"/>
  <c r="O309" i="6"/>
  <c r="P308" i="6"/>
  <c r="O308" i="6"/>
  <c r="P307" i="6"/>
  <c r="O307" i="6"/>
  <c r="P306" i="6"/>
  <c r="O306" i="6"/>
  <c r="P305" i="6"/>
  <c r="O305" i="6"/>
  <c r="P304" i="6"/>
  <c r="O304" i="6"/>
  <c r="P303" i="6"/>
  <c r="O303" i="6"/>
  <c r="P302" i="6"/>
  <c r="O302" i="6"/>
  <c r="P301" i="6"/>
  <c r="O301" i="6"/>
  <c r="P300" i="6"/>
  <c r="O300" i="6"/>
  <c r="P299" i="6"/>
  <c r="O299" i="6"/>
  <c r="P298" i="6"/>
  <c r="O298" i="6"/>
  <c r="P297" i="6"/>
  <c r="O297" i="6"/>
  <c r="P296" i="6"/>
  <c r="O296" i="6"/>
  <c r="P295" i="6"/>
  <c r="O295" i="6"/>
  <c r="P294" i="6"/>
  <c r="O294" i="6"/>
  <c r="P293" i="6"/>
  <c r="O293" i="6"/>
  <c r="P292" i="6"/>
  <c r="O292" i="6"/>
  <c r="P291" i="6"/>
  <c r="O291" i="6"/>
  <c r="P290" i="6"/>
  <c r="O290" i="6"/>
  <c r="P289" i="6"/>
  <c r="O289" i="6"/>
  <c r="P288" i="6"/>
  <c r="O288" i="6"/>
  <c r="P287" i="6"/>
  <c r="O287" i="6"/>
  <c r="P286" i="6"/>
  <c r="O286" i="6"/>
  <c r="P285" i="6"/>
  <c r="O285" i="6"/>
  <c r="P284" i="6"/>
  <c r="O284" i="6"/>
  <c r="P283" i="6"/>
  <c r="O283" i="6"/>
  <c r="P282" i="6"/>
  <c r="O282" i="6"/>
  <c r="P281" i="6"/>
  <c r="O281" i="6"/>
  <c r="P280" i="6"/>
  <c r="O280" i="6"/>
  <c r="P279" i="6"/>
  <c r="O279" i="6"/>
  <c r="P278" i="6"/>
  <c r="O278" i="6"/>
  <c r="P277" i="6"/>
  <c r="O277" i="6"/>
  <c r="P276" i="6"/>
  <c r="O276" i="6"/>
  <c r="P275" i="6"/>
  <c r="O275" i="6"/>
  <c r="P274" i="6"/>
  <c r="O274" i="6"/>
  <c r="P273" i="6"/>
  <c r="O273" i="6"/>
  <c r="P272" i="6"/>
  <c r="O272" i="6"/>
  <c r="P271" i="6"/>
  <c r="O271" i="6"/>
  <c r="P270" i="6"/>
  <c r="O270" i="6"/>
  <c r="P269" i="6"/>
  <c r="O269" i="6"/>
  <c r="P268" i="6"/>
  <c r="O268" i="6"/>
  <c r="P267" i="6"/>
  <c r="O267" i="6"/>
  <c r="P266" i="6"/>
  <c r="O266" i="6"/>
  <c r="P265" i="6"/>
  <c r="O265" i="6"/>
  <c r="P264" i="6"/>
  <c r="O264" i="6"/>
  <c r="P263" i="6"/>
  <c r="O263" i="6"/>
  <c r="P262" i="6"/>
  <c r="O262" i="6"/>
  <c r="P261" i="6"/>
  <c r="O261" i="6"/>
  <c r="P260" i="6"/>
  <c r="O260" i="6"/>
  <c r="P259" i="6"/>
  <c r="O259" i="6"/>
  <c r="P258" i="6"/>
  <c r="O258" i="6"/>
  <c r="P257" i="6"/>
  <c r="O257" i="6"/>
  <c r="P256" i="6"/>
  <c r="O256" i="6"/>
  <c r="P255" i="6"/>
  <c r="O255" i="6"/>
  <c r="P254" i="6"/>
  <c r="O254" i="6"/>
  <c r="P253" i="6"/>
  <c r="O253" i="6"/>
  <c r="P252" i="6"/>
  <c r="O252" i="6"/>
  <c r="P251" i="6"/>
  <c r="O251" i="6"/>
  <c r="P250" i="6"/>
  <c r="O250" i="6"/>
  <c r="P249" i="6"/>
  <c r="O249" i="6"/>
  <c r="P248" i="6"/>
  <c r="O248" i="6"/>
  <c r="P247" i="6"/>
  <c r="O247" i="6"/>
  <c r="P246" i="6"/>
  <c r="O246" i="6"/>
  <c r="P245" i="6"/>
  <c r="O245" i="6"/>
  <c r="P244" i="6"/>
  <c r="O244" i="6"/>
  <c r="P243" i="6"/>
  <c r="O243" i="6"/>
  <c r="P242" i="6"/>
  <c r="O242" i="6"/>
  <c r="P241" i="6"/>
  <c r="O241" i="6"/>
  <c r="P240" i="6"/>
  <c r="O240" i="6"/>
  <c r="P239" i="6"/>
  <c r="O239" i="6"/>
  <c r="P238" i="6"/>
  <c r="O238" i="6"/>
  <c r="P237" i="6"/>
  <c r="O237" i="6"/>
  <c r="P236" i="6"/>
  <c r="O236" i="6"/>
  <c r="P235" i="6"/>
  <c r="O235" i="6"/>
  <c r="P234" i="6"/>
  <c r="O234" i="6"/>
  <c r="P233" i="6"/>
  <c r="O233" i="6"/>
  <c r="P232" i="6"/>
  <c r="O232" i="6"/>
  <c r="P231" i="6"/>
  <c r="O231" i="6"/>
  <c r="P230" i="6"/>
  <c r="O230" i="6"/>
  <c r="P229" i="6"/>
  <c r="O229" i="6"/>
  <c r="P228" i="6"/>
  <c r="O228" i="6"/>
  <c r="P227" i="6"/>
  <c r="O227" i="6"/>
  <c r="P226" i="6"/>
  <c r="O226" i="6"/>
  <c r="P225" i="6"/>
  <c r="O225" i="6"/>
  <c r="P224" i="6"/>
  <c r="O224" i="6"/>
  <c r="P223" i="6"/>
  <c r="O223" i="6"/>
  <c r="P222" i="6"/>
  <c r="O222" i="6"/>
  <c r="P221" i="6"/>
  <c r="O221" i="6"/>
  <c r="P220" i="6"/>
  <c r="O220" i="6"/>
  <c r="P219" i="6"/>
  <c r="O219" i="6"/>
  <c r="P218" i="6"/>
  <c r="O218" i="6"/>
  <c r="P217" i="6"/>
  <c r="O217" i="6"/>
  <c r="P216" i="6"/>
  <c r="O216" i="6"/>
  <c r="P215" i="6"/>
  <c r="O215" i="6"/>
  <c r="P214" i="6"/>
  <c r="O214" i="6"/>
  <c r="P213" i="6"/>
  <c r="O213" i="6"/>
  <c r="P212" i="6"/>
  <c r="O212" i="6"/>
  <c r="P211" i="6"/>
  <c r="O211" i="6"/>
  <c r="P210" i="6"/>
  <c r="O210" i="6"/>
  <c r="P209" i="6"/>
  <c r="O209" i="6"/>
  <c r="P208" i="6"/>
  <c r="O208" i="6"/>
  <c r="P207" i="6"/>
  <c r="O207" i="6"/>
  <c r="P206" i="6"/>
  <c r="O206" i="6"/>
  <c r="P205" i="6"/>
  <c r="O205" i="6"/>
  <c r="P204" i="6"/>
  <c r="O204" i="6"/>
  <c r="P203" i="6"/>
  <c r="O203" i="6"/>
  <c r="P202" i="6"/>
  <c r="O202" i="6"/>
  <c r="P201" i="6"/>
  <c r="O201" i="6"/>
  <c r="P200" i="6"/>
  <c r="O200" i="6"/>
  <c r="P199" i="6"/>
  <c r="O199" i="6"/>
  <c r="P198" i="6"/>
  <c r="O198" i="6"/>
  <c r="P197" i="6"/>
  <c r="O197" i="6"/>
  <c r="P196" i="6"/>
  <c r="O196" i="6"/>
  <c r="P195" i="6"/>
  <c r="O195" i="6"/>
  <c r="P194" i="6"/>
  <c r="O194" i="6"/>
  <c r="P193" i="6"/>
  <c r="O193" i="6"/>
  <c r="P192" i="6"/>
  <c r="O192" i="6"/>
  <c r="P191" i="6"/>
  <c r="O191" i="6"/>
  <c r="P190" i="6"/>
  <c r="O190" i="6"/>
  <c r="P189" i="6"/>
  <c r="O189" i="6"/>
  <c r="P188" i="6"/>
  <c r="O188" i="6"/>
  <c r="P187" i="6"/>
  <c r="O187" i="6"/>
  <c r="P186" i="6"/>
  <c r="O186" i="6"/>
  <c r="P185" i="6"/>
  <c r="O185" i="6"/>
  <c r="P184" i="6"/>
  <c r="O184" i="6"/>
  <c r="P183" i="6"/>
  <c r="O183" i="6"/>
  <c r="P182" i="6"/>
  <c r="O182" i="6"/>
  <c r="P181" i="6"/>
  <c r="O181" i="6"/>
  <c r="P180" i="6"/>
  <c r="O180" i="6"/>
  <c r="P179" i="6"/>
  <c r="O179" i="6"/>
  <c r="P178" i="6"/>
  <c r="O178" i="6"/>
  <c r="P177" i="6"/>
  <c r="O177" i="6"/>
  <c r="P176" i="6"/>
  <c r="O176" i="6"/>
  <c r="P175" i="6"/>
  <c r="O175" i="6"/>
  <c r="P174" i="6"/>
  <c r="O174" i="6"/>
  <c r="P173" i="6"/>
  <c r="O173" i="6"/>
  <c r="P172" i="6"/>
  <c r="O172" i="6"/>
  <c r="P171" i="6"/>
  <c r="O171" i="6"/>
  <c r="P170" i="6"/>
  <c r="O170" i="6"/>
  <c r="P169" i="6"/>
  <c r="O169" i="6"/>
  <c r="P168" i="6"/>
  <c r="O168" i="6"/>
  <c r="P167" i="6"/>
  <c r="O167" i="6"/>
  <c r="P166" i="6"/>
  <c r="O166" i="6"/>
  <c r="P165" i="6"/>
  <c r="O165" i="6"/>
  <c r="P164" i="6"/>
  <c r="O164" i="6"/>
  <c r="P163" i="6"/>
  <c r="O163" i="6"/>
  <c r="P162" i="6"/>
  <c r="O162" i="6"/>
  <c r="P161" i="6"/>
  <c r="O161" i="6"/>
  <c r="P160" i="6"/>
  <c r="O160" i="6"/>
  <c r="P159" i="6"/>
  <c r="O159" i="6"/>
  <c r="P158" i="6"/>
  <c r="O158" i="6"/>
  <c r="P157" i="6"/>
  <c r="O157" i="6"/>
  <c r="P156" i="6"/>
  <c r="O156" i="6"/>
  <c r="P155" i="6"/>
  <c r="O155" i="6"/>
  <c r="P154" i="6"/>
  <c r="O154" i="6"/>
  <c r="P153" i="6"/>
  <c r="O153" i="6"/>
  <c r="P152" i="6"/>
  <c r="O152" i="6"/>
  <c r="P151" i="6"/>
  <c r="O151" i="6"/>
  <c r="P150" i="6"/>
  <c r="O150" i="6"/>
  <c r="P149" i="6"/>
  <c r="O149" i="6"/>
  <c r="P148" i="6"/>
  <c r="O148" i="6"/>
  <c r="P147" i="6"/>
  <c r="O147" i="6"/>
  <c r="P146" i="6"/>
  <c r="O146" i="6"/>
  <c r="P145" i="6"/>
  <c r="O145" i="6"/>
  <c r="P144" i="6"/>
  <c r="O144" i="6"/>
  <c r="P143" i="6"/>
  <c r="O143" i="6"/>
  <c r="P142" i="6"/>
  <c r="O142" i="6"/>
  <c r="P141" i="6"/>
  <c r="O141" i="6"/>
  <c r="P140" i="6"/>
  <c r="O140" i="6"/>
  <c r="P139" i="6"/>
  <c r="O139" i="6"/>
  <c r="P138" i="6"/>
  <c r="O138" i="6"/>
  <c r="P137" i="6"/>
  <c r="O137" i="6"/>
  <c r="P136" i="6"/>
  <c r="O136" i="6"/>
  <c r="P135" i="6"/>
  <c r="O135" i="6"/>
  <c r="P134" i="6"/>
  <c r="O134" i="6"/>
  <c r="P133" i="6"/>
  <c r="O133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6" i="6"/>
  <c r="O126" i="6"/>
  <c r="P125" i="6"/>
  <c r="O125" i="6"/>
  <c r="P124" i="6"/>
  <c r="O124" i="6"/>
  <c r="P123" i="6"/>
  <c r="O123" i="6"/>
  <c r="P122" i="6"/>
  <c r="O122" i="6"/>
  <c r="P121" i="6"/>
  <c r="O121" i="6"/>
  <c r="P120" i="6"/>
  <c r="O120" i="6"/>
  <c r="P119" i="6"/>
  <c r="O119" i="6"/>
  <c r="P118" i="6"/>
  <c r="O118" i="6"/>
  <c r="P117" i="6"/>
  <c r="O117" i="6"/>
  <c r="P116" i="6"/>
  <c r="O116" i="6"/>
  <c r="P115" i="6"/>
  <c r="O115" i="6"/>
  <c r="P114" i="6"/>
  <c r="O114" i="6"/>
  <c r="P113" i="6"/>
  <c r="O113" i="6"/>
  <c r="P112" i="6"/>
  <c r="O112" i="6"/>
  <c r="P111" i="6"/>
  <c r="O111" i="6"/>
  <c r="P110" i="6"/>
  <c r="O110" i="6"/>
  <c r="P109" i="6"/>
  <c r="O109" i="6"/>
  <c r="P108" i="6"/>
  <c r="O108" i="6"/>
  <c r="P107" i="6"/>
  <c r="O107" i="6"/>
  <c r="P106" i="6"/>
  <c r="O106" i="6"/>
  <c r="P105" i="6"/>
  <c r="O105" i="6"/>
  <c r="P104" i="6"/>
  <c r="O104" i="6"/>
  <c r="P103" i="6"/>
  <c r="O103" i="6"/>
  <c r="P102" i="6"/>
  <c r="O102" i="6"/>
  <c r="P101" i="6"/>
  <c r="O101" i="6"/>
  <c r="P100" i="6"/>
  <c r="O100" i="6"/>
  <c r="P99" i="6"/>
  <c r="O99" i="6"/>
  <c r="P98" i="6"/>
  <c r="O98" i="6"/>
  <c r="P97" i="6"/>
  <c r="O97" i="6"/>
  <c r="P96" i="6"/>
  <c r="O96" i="6"/>
  <c r="P95" i="6"/>
  <c r="O95" i="6"/>
  <c r="P94" i="6"/>
  <c r="O94" i="6"/>
  <c r="P93" i="6"/>
  <c r="O93" i="6"/>
  <c r="P92" i="6"/>
  <c r="O92" i="6"/>
  <c r="P91" i="6"/>
  <c r="O91" i="6"/>
  <c r="P90" i="6"/>
  <c r="O90" i="6"/>
  <c r="P89" i="6"/>
  <c r="O89" i="6"/>
  <c r="P88" i="6"/>
  <c r="O88" i="6"/>
  <c r="P87" i="6"/>
  <c r="O87" i="6"/>
  <c r="P86" i="6"/>
  <c r="O86" i="6"/>
  <c r="P85" i="6"/>
  <c r="O85" i="6"/>
  <c r="P84" i="6"/>
  <c r="O84" i="6"/>
  <c r="P83" i="6"/>
  <c r="O83" i="6"/>
  <c r="P82" i="6"/>
  <c r="O82" i="6"/>
  <c r="P81" i="6"/>
  <c r="O81" i="6"/>
  <c r="P80" i="6"/>
  <c r="O80" i="6"/>
  <c r="P79" i="6"/>
  <c r="O79" i="6"/>
  <c r="P78" i="6"/>
  <c r="O78" i="6"/>
  <c r="P77" i="6"/>
  <c r="O77" i="6"/>
  <c r="P76" i="6"/>
  <c r="O76" i="6"/>
  <c r="P75" i="6"/>
  <c r="O75" i="6"/>
  <c r="P74" i="6"/>
  <c r="O74" i="6"/>
  <c r="P73" i="6"/>
  <c r="O73" i="6"/>
  <c r="P72" i="6"/>
  <c r="O72" i="6"/>
  <c r="P71" i="6"/>
  <c r="O71" i="6"/>
  <c r="P70" i="6"/>
  <c r="O70" i="6"/>
  <c r="P69" i="6"/>
  <c r="O69" i="6"/>
  <c r="P68" i="6"/>
  <c r="O68" i="6"/>
  <c r="P67" i="6"/>
  <c r="O67" i="6"/>
  <c r="P66" i="6"/>
  <c r="O66" i="6"/>
  <c r="P65" i="6"/>
  <c r="O65" i="6"/>
  <c r="P64" i="6"/>
  <c r="O64" i="6"/>
  <c r="P63" i="6"/>
  <c r="O63" i="6"/>
  <c r="P62" i="6"/>
  <c r="O62" i="6"/>
  <c r="P61" i="6"/>
  <c r="O61" i="6"/>
  <c r="P60" i="6"/>
  <c r="O60" i="6"/>
  <c r="P59" i="6"/>
  <c r="O59" i="6"/>
  <c r="P58" i="6"/>
  <c r="O58" i="6"/>
  <c r="P57" i="6"/>
  <c r="O57" i="6"/>
  <c r="P56" i="6"/>
  <c r="O56" i="6"/>
  <c r="P55" i="6"/>
  <c r="O55" i="6"/>
  <c r="P54" i="6"/>
  <c r="O54" i="6"/>
  <c r="P53" i="6"/>
  <c r="O53" i="6"/>
  <c r="P52" i="6"/>
  <c r="O52" i="6"/>
  <c r="P51" i="6"/>
  <c r="O51" i="6"/>
  <c r="P50" i="6"/>
  <c r="O50" i="6"/>
  <c r="P49" i="6"/>
  <c r="O49" i="6"/>
  <c r="P48" i="6"/>
  <c r="O48" i="6"/>
  <c r="P47" i="6"/>
  <c r="O47" i="6"/>
  <c r="P46" i="6"/>
  <c r="O46" i="6"/>
  <c r="P45" i="6"/>
  <c r="O45" i="6"/>
  <c r="P44" i="6"/>
  <c r="O44" i="6"/>
  <c r="P43" i="6"/>
  <c r="O43" i="6"/>
  <c r="P42" i="6"/>
  <c r="O42" i="6"/>
  <c r="P41" i="6"/>
  <c r="O41" i="6"/>
  <c r="P40" i="6"/>
  <c r="O40" i="6"/>
  <c r="P39" i="6"/>
  <c r="O39" i="6"/>
  <c r="P38" i="6"/>
  <c r="O38" i="6"/>
  <c r="P37" i="6"/>
  <c r="O37" i="6"/>
  <c r="P36" i="6"/>
  <c r="O36" i="6"/>
  <c r="P35" i="6"/>
  <c r="O35" i="6"/>
  <c r="P34" i="6"/>
  <c r="O34" i="6"/>
  <c r="P33" i="6"/>
  <c r="O33" i="6"/>
  <c r="P32" i="6"/>
  <c r="O32" i="6"/>
  <c r="P31" i="6"/>
  <c r="O31" i="6"/>
  <c r="P30" i="6"/>
  <c r="O30" i="6"/>
  <c r="P29" i="6"/>
  <c r="O29" i="6"/>
  <c r="P28" i="6"/>
  <c r="O28" i="6"/>
  <c r="P27" i="6"/>
  <c r="O27" i="6"/>
  <c r="P26" i="6"/>
  <c r="O26" i="6"/>
  <c r="P25" i="6"/>
  <c r="O25" i="6"/>
  <c r="P24" i="6"/>
  <c r="O24" i="6"/>
  <c r="P23" i="6"/>
  <c r="O23" i="6"/>
  <c r="P22" i="6"/>
  <c r="O22" i="6"/>
  <c r="P21" i="6"/>
  <c r="O21" i="6"/>
  <c r="P20" i="6"/>
  <c r="O20" i="6"/>
  <c r="P19" i="6"/>
  <c r="O19" i="6"/>
  <c r="P18" i="6"/>
  <c r="O18" i="6"/>
  <c r="P17" i="6"/>
  <c r="O17" i="6"/>
  <c r="P16" i="6"/>
  <c r="O16" i="6"/>
  <c r="P15" i="6"/>
  <c r="O15" i="6"/>
  <c r="P14" i="6"/>
  <c r="O14" i="6"/>
  <c r="P13" i="6"/>
  <c r="O13" i="6"/>
  <c r="P12" i="6"/>
  <c r="O12" i="6"/>
  <c r="P11" i="6"/>
  <c r="O11" i="6"/>
  <c r="P10" i="6"/>
  <c r="O10" i="6"/>
  <c r="P9" i="6"/>
  <c r="O9" i="6"/>
  <c r="P8" i="6"/>
  <c r="O8" i="6"/>
  <c r="P7" i="6"/>
  <c r="O7" i="6"/>
  <c r="P6" i="6"/>
  <c r="O6" i="6"/>
  <c r="P5" i="6"/>
  <c r="O5" i="6"/>
  <c r="P4" i="6"/>
  <c r="O4" i="6"/>
  <c r="P3" i="6"/>
  <c r="O3" i="6"/>
  <c r="P2" i="6"/>
  <c r="O2" i="6"/>
  <c r="AM30" i="6" l="1" a="1"/>
  <c r="BH18" i="6" l="1" a="1"/>
  <c r="BK18" i="6" l="1" a="1"/>
  <c r="BN18" i="6" l="1"/>
  <c r="BN464" i="6"/>
  <c r="BN461" i="6"/>
  <c r="BN458" i="6"/>
  <c r="BN456" i="6"/>
  <c r="BN449" i="6"/>
  <c r="BN446" i="6"/>
  <c r="BN439" i="6"/>
  <c r="BN436" i="6"/>
  <c r="BN435" i="6"/>
  <c r="BN428" i="6"/>
  <c r="BN425" i="6"/>
  <c r="BN422" i="6"/>
  <c r="BN409" i="6"/>
  <c r="BN397" i="6"/>
  <c r="BN391" i="6"/>
  <c r="BN389" i="6"/>
  <c r="BN381" i="6"/>
  <c r="BN366" i="6"/>
  <c r="BN363" i="6"/>
  <c r="BN353" i="6"/>
  <c r="BN348" i="6"/>
  <c r="BN340" i="6"/>
  <c r="BN331" i="6"/>
  <c r="BN328" i="6"/>
  <c r="BN318" i="6"/>
  <c r="BN303" i="6"/>
  <c r="BN290" i="6"/>
  <c r="BN289" i="6"/>
  <c r="BN283" i="6"/>
  <c r="BN280" i="6"/>
  <c r="BN276" i="6"/>
  <c r="BN275" i="6"/>
  <c r="BN270" i="6"/>
  <c r="BN269" i="6"/>
  <c r="BN263" i="6"/>
  <c r="BN260" i="6"/>
  <c r="BN258" i="6"/>
  <c r="BN256" i="6"/>
  <c r="BN245" i="6"/>
  <c r="BN230" i="6"/>
  <c r="BN228" i="6"/>
  <c r="BN211" i="6"/>
  <c r="BN199" i="6"/>
  <c r="BN196" i="6"/>
  <c r="BN194" i="6"/>
  <c r="BN192" i="6"/>
  <c r="BN168" i="6"/>
  <c r="BN163" i="6"/>
  <c r="BN160" i="6"/>
  <c r="BN139" i="6"/>
  <c r="BN106" i="6"/>
  <c r="BN103" i="6"/>
  <c r="BN82" i="6"/>
  <c r="BN80" i="6"/>
  <c r="BN73" i="6"/>
  <c r="BN53" i="6"/>
  <c r="BN43" i="6"/>
  <c r="BN34" i="6"/>
  <c r="BN32" i="6"/>
  <c r="BN22" i="6"/>
  <c r="BN20" i="6"/>
  <c r="BN470" i="6"/>
  <c r="BN432" i="6"/>
  <c r="BN426" i="6"/>
  <c r="BN418" i="6"/>
  <c r="BN414" i="6"/>
  <c r="BN410" i="6"/>
  <c r="BN407" i="6"/>
  <c r="BN399" i="6"/>
  <c r="BN388" i="6"/>
  <c r="BN384" i="6"/>
  <c r="BN380" i="6"/>
  <c r="BN372" i="6"/>
  <c r="BN357" i="6"/>
  <c r="BN352" i="6"/>
  <c r="BN336" i="6"/>
  <c r="BN329" i="6"/>
  <c r="BN325" i="6"/>
  <c r="BN320" i="6"/>
  <c r="BN314" i="6"/>
  <c r="BN310" i="6"/>
  <c r="BN305" i="6"/>
  <c r="BN299" i="6"/>
  <c r="BN293" i="6"/>
  <c r="BN284" i="6"/>
  <c r="BN267" i="6"/>
  <c r="BN253" i="6"/>
  <c r="BN248" i="6"/>
  <c r="BN242" i="6"/>
  <c r="BN234" i="6"/>
  <c r="BN225" i="6"/>
  <c r="BN223" i="6"/>
  <c r="BN218" i="6"/>
  <c r="BN214" i="6"/>
  <c r="BN208" i="6"/>
  <c r="BN204" i="6"/>
  <c r="BN201" i="6"/>
  <c r="BN188" i="6"/>
  <c r="BN181" i="6"/>
  <c r="BN176" i="6"/>
  <c r="BN165" i="6"/>
  <c r="BN158" i="6"/>
  <c r="BN154" i="6"/>
  <c r="BN150" i="6"/>
  <c r="BN145" i="6"/>
  <c r="BN142" i="6"/>
  <c r="BN124" i="6"/>
  <c r="BN113" i="6"/>
  <c r="BN108" i="6"/>
  <c r="BN102" i="6"/>
  <c r="BN99" i="6"/>
  <c r="BN90" i="6"/>
  <c r="BN76" i="6"/>
  <c r="BN69" i="6"/>
  <c r="BN66" i="6"/>
  <c r="BN62" i="6"/>
  <c r="BN59" i="6"/>
  <c r="BN54" i="6"/>
  <c r="BN33" i="6"/>
  <c r="BN31" i="6"/>
  <c r="BN25" i="6"/>
  <c r="BN23" i="6"/>
  <c r="BN468" i="6"/>
  <c r="BN430" i="6"/>
  <c r="BN424" i="6"/>
  <c r="BN417" i="6"/>
  <c r="BN413" i="6"/>
  <c r="BN408" i="6"/>
  <c r="BN404" i="6"/>
  <c r="BN400" i="6"/>
  <c r="BN396" i="6"/>
  <c r="BN392" i="6"/>
  <c r="BN387" i="6"/>
  <c r="BN383" i="6"/>
  <c r="BN377" i="6"/>
  <c r="BN374" i="6"/>
  <c r="BN371" i="6"/>
  <c r="BN368" i="6"/>
  <c r="BN361" i="6"/>
  <c r="BN359" i="6"/>
  <c r="BN355" i="6"/>
  <c r="BN349" i="6"/>
  <c r="BN339" i="6"/>
  <c r="BN335" i="6"/>
  <c r="BN330" i="6"/>
  <c r="BN327" i="6"/>
  <c r="BN321" i="6"/>
  <c r="BN317" i="6"/>
  <c r="BN309" i="6"/>
  <c r="BN301" i="6"/>
  <c r="BN297" i="6"/>
  <c r="BN294" i="6"/>
  <c r="BN288" i="6"/>
  <c r="BN281" i="6"/>
  <c r="BN262" i="6"/>
  <c r="BN254" i="6"/>
  <c r="BN249" i="6"/>
  <c r="BN241" i="6"/>
  <c r="BN239" i="6"/>
  <c r="BN235" i="6"/>
  <c r="BN229" i="6"/>
  <c r="BN220" i="6"/>
  <c r="BN215" i="6"/>
  <c r="BN207" i="6"/>
  <c r="BN203" i="6"/>
  <c r="BN197" i="6"/>
  <c r="BN193" i="6"/>
  <c r="BN190" i="6"/>
  <c r="BN186" i="6"/>
  <c r="BN182" i="6"/>
  <c r="BN178" i="6"/>
  <c r="BN172" i="6"/>
  <c r="BN169" i="6"/>
  <c r="BN167" i="6"/>
  <c r="BN157" i="6"/>
  <c r="BN151" i="6"/>
  <c r="BN146" i="6"/>
  <c r="BN141" i="6"/>
  <c r="BN129" i="6"/>
  <c r="BN125" i="6"/>
  <c r="BN121" i="6"/>
  <c r="BN119" i="6"/>
  <c r="BN115" i="6"/>
  <c r="BN111" i="6"/>
  <c r="BN100" i="6"/>
  <c r="BN96" i="6"/>
  <c r="BN89" i="6"/>
  <c r="BN85" i="6"/>
  <c r="BN79" i="6"/>
  <c r="BN70" i="6"/>
  <c r="BN58" i="6"/>
  <c r="BN55" i="6"/>
  <c r="BN50" i="6"/>
  <c r="BN47" i="6"/>
  <c r="BN41" i="6"/>
  <c r="BN21" i="6"/>
  <c r="BN472" i="6"/>
  <c r="BN465" i="6"/>
  <c r="BN462" i="6"/>
  <c r="BN459" i="6"/>
  <c r="BN455" i="6"/>
  <c r="BN453" i="6"/>
  <c r="BN451" i="6"/>
  <c r="BN447" i="6"/>
  <c r="BN445" i="6"/>
  <c r="BN444" i="6"/>
  <c r="BN443" i="6"/>
  <c r="BN442" i="6"/>
  <c r="BN440" i="6"/>
  <c r="BN437" i="6"/>
  <c r="BN434" i="6"/>
  <c r="BN423" i="6"/>
  <c r="BN403" i="6"/>
  <c r="BN395" i="6"/>
  <c r="BN379" i="6"/>
  <c r="BN373" i="6"/>
  <c r="BN362" i="6"/>
  <c r="BN360" i="6"/>
  <c r="BN346" i="6"/>
  <c r="BN334" i="6"/>
  <c r="BN323" i="6"/>
  <c r="BN319" i="6"/>
  <c r="BN315" i="6"/>
  <c r="BN308" i="6"/>
  <c r="BN306" i="6"/>
  <c r="BN291" i="6"/>
  <c r="BN278" i="6"/>
  <c r="BN272" i="6"/>
  <c r="BN266" i="6"/>
  <c r="BN265" i="6"/>
  <c r="BN261" i="6"/>
  <c r="BN251" i="6"/>
  <c r="BN240" i="6"/>
  <c r="BN238" i="6"/>
  <c r="BN237" i="6"/>
  <c r="BN232" i="6"/>
  <c r="BN226" i="6"/>
  <c r="BN219" i="6"/>
  <c r="BN212" i="6"/>
  <c r="BN198" i="6"/>
  <c r="BN195" i="6"/>
  <c r="BN191" i="6"/>
  <c r="BN184" i="6"/>
  <c r="BN170" i="6"/>
  <c r="BN166" i="6"/>
  <c r="BN164" i="6"/>
  <c r="BN155" i="6"/>
  <c r="BN140" i="6"/>
  <c r="BN135" i="6"/>
  <c r="BN132" i="6"/>
  <c r="BN130" i="6"/>
  <c r="BN118" i="6"/>
  <c r="BN107" i="6"/>
  <c r="BN105" i="6"/>
  <c r="BN101" i="6"/>
  <c r="BN97" i="6"/>
  <c r="BN95" i="6"/>
  <c r="BN88" i="6"/>
  <c r="BN87" i="6"/>
  <c r="BN84" i="6"/>
  <c r="BN75" i="6"/>
  <c r="BN72" i="6"/>
  <c r="BN48" i="6"/>
  <c r="BN46" i="6"/>
  <c r="BN40" i="6"/>
  <c r="BN38" i="6"/>
  <c r="BN35" i="6"/>
  <c r="BN30" i="6"/>
  <c r="BN27" i="6"/>
  <c r="BN19" i="6"/>
  <c r="BN471" i="6"/>
  <c r="BN431" i="6"/>
  <c r="BN420" i="6"/>
  <c r="BN416" i="6"/>
  <c r="BN412" i="6"/>
  <c r="BN406" i="6"/>
  <c r="BN402" i="6"/>
  <c r="BN386" i="6"/>
  <c r="BN376" i="6"/>
  <c r="BN369" i="6"/>
  <c r="BN365" i="6"/>
  <c r="BN356" i="6"/>
  <c r="BN350" i="6"/>
  <c r="BN338" i="6"/>
  <c r="BN333" i="6"/>
  <c r="BN324" i="6"/>
  <c r="BN312" i="6"/>
  <c r="BN302" i="6"/>
  <c r="BN295" i="6"/>
  <c r="BN285" i="6"/>
  <c r="BN273" i="6"/>
  <c r="BN271" i="6"/>
  <c r="BN252" i="6"/>
  <c r="BN244" i="6"/>
  <c r="BN236" i="6"/>
  <c r="BN221" i="6"/>
  <c r="BN216" i="6"/>
  <c r="BN210" i="6"/>
  <c r="BN205" i="6"/>
  <c r="BN187" i="6"/>
  <c r="BN180" i="6"/>
  <c r="BN173" i="6"/>
  <c r="BN156" i="6"/>
  <c r="BN152" i="6"/>
  <c r="BN147" i="6"/>
  <c r="BN144" i="6"/>
  <c r="BN133" i="6"/>
  <c r="BN127" i="6"/>
  <c r="BN122" i="6"/>
  <c r="BN114" i="6"/>
  <c r="BN109" i="6"/>
  <c r="BN98" i="6"/>
  <c r="BN92" i="6"/>
  <c r="BN78" i="6"/>
  <c r="BN67" i="6"/>
  <c r="BN57" i="6"/>
  <c r="BN51" i="6"/>
  <c r="BN37" i="6"/>
  <c r="BN469" i="6"/>
  <c r="BN466" i="6"/>
  <c r="BN463" i="6"/>
  <c r="BN460" i="6"/>
  <c r="BN457" i="6"/>
  <c r="BN454" i="6"/>
  <c r="BN452" i="6"/>
  <c r="BN450" i="6"/>
  <c r="BN448" i="6"/>
  <c r="BN441" i="6"/>
  <c r="BN438" i="6"/>
  <c r="BN433" i="6"/>
  <c r="BN427" i="6"/>
  <c r="BN421" i="6"/>
  <c r="BN394" i="6"/>
  <c r="BN382" i="6"/>
  <c r="BN364" i="6"/>
  <c r="BN347" i="6"/>
  <c r="BN344" i="6"/>
  <c r="BN342" i="6"/>
  <c r="BN341" i="6"/>
  <c r="BN307" i="6"/>
  <c r="BN298" i="6"/>
  <c r="BN292" i="6"/>
  <c r="BN287" i="6"/>
  <c r="BN282" i="6"/>
  <c r="BN279" i="6"/>
  <c r="BN274" i="6"/>
  <c r="BN268" i="6"/>
  <c r="BN264" i="6"/>
  <c r="BN259" i="6"/>
  <c r="BN247" i="6"/>
  <c r="BN227" i="6"/>
  <c r="BN224" i="6"/>
  <c r="BN213" i="6"/>
  <c r="BN200" i="6"/>
  <c r="BN177" i="6"/>
  <c r="BN174" i="6"/>
  <c r="BN171" i="6"/>
  <c r="BN162" i="6"/>
  <c r="BN138" i="6"/>
  <c r="BN136" i="6"/>
  <c r="BN134" i="6"/>
  <c r="BN131" i="6"/>
  <c r="BN128" i="6"/>
  <c r="BN123" i="6"/>
  <c r="BN120" i="6"/>
  <c r="BN117" i="6"/>
  <c r="BN110" i="6"/>
  <c r="BN104" i="6"/>
  <c r="BN93" i="6"/>
  <c r="BN86" i="6"/>
  <c r="BN83" i="6"/>
  <c r="BN74" i="6"/>
  <c r="BN71" i="6"/>
  <c r="BN68" i="6"/>
  <c r="BN65" i="6"/>
  <c r="BN63" i="6"/>
  <c r="BN61" i="6"/>
  <c r="BN45" i="6"/>
  <c r="BN42" i="6"/>
  <c r="BN39" i="6"/>
  <c r="BN36" i="6"/>
  <c r="BN28" i="6"/>
  <c r="BN26" i="6"/>
  <c r="BN24" i="6"/>
  <c r="BN467" i="6"/>
  <c r="BN429" i="6"/>
  <c r="BN419" i="6"/>
  <c r="BN415" i="6"/>
  <c r="BN411" i="6"/>
  <c r="BN405" i="6"/>
  <c r="BN401" i="6"/>
  <c r="BN398" i="6"/>
  <c r="BN393" i="6"/>
  <c r="BN390" i="6"/>
  <c r="BN385" i="6"/>
  <c r="BN378" i="6"/>
  <c r="BN375" i="6"/>
  <c r="BN370" i="6"/>
  <c r="BN367" i="6"/>
  <c r="BN358" i="6"/>
  <c r="BN354" i="6"/>
  <c r="BN351" i="6"/>
  <c r="BN345" i="6"/>
  <c r="BN343" i="6"/>
  <c r="BN337" i="6"/>
  <c r="BN332" i="6"/>
  <c r="BN326" i="6"/>
  <c r="BN322" i="6"/>
  <c r="BN316" i="6"/>
  <c r="BN313" i="6"/>
  <c r="BN311" i="6"/>
  <c r="BN304" i="6"/>
  <c r="BN300" i="6"/>
  <c r="BN296" i="6"/>
  <c r="BN286" i="6"/>
  <c r="BN277" i="6"/>
  <c r="BN257" i="6"/>
  <c r="BN255" i="6"/>
  <c r="BN250" i="6"/>
  <c r="BN246" i="6"/>
  <c r="BN243" i="6"/>
  <c r="BN233" i="6"/>
  <c r="BN231" i="6"/>
  <c r="BN222" i="6"/>
  <c r="BN217" i="6"/>
  <c r="BN209" i="6"/>
  <c r="BN206" i="6"/>
  <c r="BN202" i="6"/>
  <c r="BN189" i="6"/>
  <c r="BN185" i="6"/>
  <c r="BN183" i="6"/>
  <c r="BN179" i="6"/>
  <c r="BN175" i="6"/>
  <c r="BN161" i="6"/>
  <c r="BN159" i="6"/>
  <c r="BN153" i="6"/>
  <c r="BN149" i="6"/>
  <c r="BN148" i="6"/>
  <c r="BN143" i="6"/>
  <c r="BN137" i="6"/>
  <c r="BN126" i="6"/>
  <c r="BN116" i="6"/>
  <c r="BN112" i="6"/>
  <c r="BN94" i="6"/>
  <c r="BN91" i="6"/>
  <c r="BN81" i="6"/>
  <c r="BN77" i="6"/>
  <c r="BN64" i="6"/>
  <c r="BN60" i="6"/>
  <c r="BN56" i="6"/>
  <c r="BN52" i="6"/>
  <c r="BN49" i="6"/>
  <c r="BN44" i="6"/>
  <c r="BN29" i="6"/>
  <c r="AU5" i="6" l="1" a="1"/>
  <c r="AT6" i="6" a="1"/>
  <c r="AU6" i="6" a="1"/>
  <c r="AP5" i="6" a="1"/>
  <c r="AT5" i="6" a="1"/>
  <c r="AP7" i="6" a="1"/>
  <c r="AP6" i="6" a="1"/>
  <c r="AU9" i="6" l="1"/>
  <c r="AU10" i="6"/>
  <c r="AU11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<sst xmlns="http://schemas.openxmlformats.org/spreadsheetml/2006/main" count="50" uniqueCount="32">
  <si>
    <t>class</t>
  </si>
  <si>
    <t>radius_mean</t>
  </si>
  <si>
    <t>texture_mean</t>
  </si>
  <si>
    <t>perimeter_mean</t>
  </si>
  <si>
    <t>area_mean</t>
  </si>
  <si>
    <t>compactness_mean</t>
  </si>
  <si>
    <t>concavity_mean</t>
  </si>
  <si>
    <t>concave_points_mean</t>
  </si>
  <si>
    <t>radius_worst</t>
  </si>
  <si>
    <t>area_worst</t>
  </si>
  <si>
    <t>concave_points_worst</t>
  </si>
  <si>
    <t>Q1</t>
  </si>
  <si>
    <t>U1</t>
  </si>
  <si>
    <t>Z1~</t>
  </si>
  <si>
    <t>W0</t>
  </si>
  <si>
    <t>Z1</t>
  </si>
  <si>
    <t>Y Predict</t>
  </si>
  <si>
    <t>Accuracy</t>
  </si>
  <si>
    <t>One hot</t>
  </si>
  <si>
    <t>W1</t>
  </si>
  <si>
    <t>Y predict</t>
  </si>
  <si>
    <t xml:space="preserve">Y class Predict </t>
  </si>
  <si>
    <t>Classification Accuracy</t>
  </si>
  <si>
    <t>No. Correct Predictions</t>
  </si>
  <si>
    <t>Z1 test</t>
  </si>
  <si>
    <t>Y Predict class</t>
  </si>
  <si>
    <t>Correct Prediction</t>
  </si>
  <si>
    <t>Confusion Matrix</t>
  </si>
  <si>
    <t>Precision</t>
  </si>
  <si>
    <t>Recall</t>
  </si>
  <si>
    <t>F1</t>
  </si>
  <si>
    <t xml:space="preserve">F1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</si>
</sst>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b/>
      <sz val="12"/>
      <color rgb="FF000000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9" fillId="0" borderId="0" xfId="0" applyFont="1"/>
    <xf numFmtId="0" fontId="20" fillId="0" borderId="10" xfId="0" applyFont="1" applyBorder="1" applyAlignment="1">
      <alignment horizontal="center" vertical="top"/>
    </xf>
    <xf numFmtId="0" fontId="14" fillId="0" borderId="0" xfId="0" applyFont="1"/>
    <xf numFmtId="0" fontId="19" fillId="33" borderId="10" xfId="0" applyFont="1" applyFill="1" applyBorder="1" applyAlignment="1">
      <alignment horizontal="right"/>
    </xf>
    <xf numFmtId="0" fontId="19" fillId="33" borderId="10" xfId="0" applyFont="1" applyFill="1" applyBorder="1"/>
    <xf numFmtId="0" fontId="19" fillId="0" borderId="10" xfId="0" applyFont="1" applyBorder="1"/>
    <xf numFmtId="0" fontId="0" fillId="0" borderId="10" xfId="0" applyBorder="1" applyAlignment="1">
      <alignment horizontal="center"/>
    </xf>
    <xf numFmtId="0" fontId="19" fillId="33" borderId="10" xfId="0" applyFont="1" applyFill="1" applyBorder="1" applyAlignment="1">
      <alignment horizontal="right"/>
    </xf>
    <xf numFmtId="0" fontId="0" fillId="34" borderId="10" xfId="0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8" fillId="34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0" fillId="35" borderId="10" xfId="0" applyFill="1" applyBorder="1"/>
    <xf numFmtId="0" fontId="19" fillId="0" borderId="10" xfId="0" applyFont="1" applyBorder="1" applyAlignment="1">
      <alignment horizontal="center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horizontal="center"/>
    </xf>
    <xf numFmtId="0" fontId="0" fillId="0" borderId="0" xfId="0" applyFill="1"/>
    <xf numFmtId="0" fontId="19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93133</xdr:colOff>
      <xdr:row>1</xdr:row>
      <xdr:rowOff>26390</xdr:rowOff>
    </xdr:from>
    <xdr:to>
      <xdr:col>48</xdr:col>
      <xdr:colOff>795865</xdr:colOff>
      <xdr:row>7</xdr:row>
      <xdr:rowOff>54976</xdr:rowOff>
    </xdr:to>
    <xdr:pic>
      <xdr:nvPicPr>
        <xdr:cNvPr id="2" name="Picture 1" descr="Confusion Matrix - Statistics By Jim">
          <a:extLst>
            <a:ext uri="{FF2B5EF4-FFF2-40B4-BE49-F238E27FC236}">
              <a16:creationId xmlns:a16="http://schemas.microsoft.com/office/drawing/2014/main" id="{08FCE463-E280-1921-7B9F-A38592EDC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76400" y="229590"/>
          <a:ext cx="1532466" cy="1247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151889</xdr:colOff>
      <xdr:row>0</xdr:row>
      <xdr:rowOff>186267</xdr:rowOff>
    </xdr:from>
    <xdr:to>
      <xdr:col>24</xdr:col>
      <xdr:colOff>732843</xdr:colOff>
      <xdr:row>15</xdr:row>
      <xdr:rowOff>84667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0AA448-84EF-D35D-4D7F-FAA118D235C3}"/>
            </a:ext>
          </a:extLst>
        </xdr:cNvPr>
        <xdr:cNvSpPr txBox="1"/>
      </xdr:nvSpPr>
      <xdr:spPr>
        <a:xfrm>
          <a:off x="16390956" y="186267"/>
          <a:ext cx="6389087" cy="294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Implementation Details</a:t>
          </a:r>
        </a:p>
        <a:p>
          <a:endParaRPr lang="en-IN" sz="1400"/>
        </a:p>
        <a:p>
          <a:r>
            <a:rPr lang="en-IN" sz="1400"/>
            <a:t>• Dataset: Wisconsin Diagnostic Breast Cancer (WDBC)</a:t>
          </a:r>
        </a:p>
        <a:p>
          <a:r>
            <a:rPr lang="en-IN" sz="1400"/>
            <a:t>• Total Samples: 569</a:t>
          </a:r>
        </a:p>
        <a:p>
          <a:r>
            <a:rPr lang="en-IN" sz="1400"/>
            <a:t>• Training Samples: 455 (80%)</a:t>
          </a:r>
        </a:p>
        <a:p>
          <a:r>
            <a:rPr lang="en-IN" sz="1400"/>
            <a:t>• Testing Samples: 114 (20%)</a:t>
          </a:r>
        </a:p>
        <a:p>
          <a:r>
            <a:rPr lang="en-IN" sz="1400"/>
            <a:t>• Number of Input Features: 10</a:t>
          </a:r>
        </a:p>
        <a:p>
          <a:r>
            <a:rPr lang="en-IN" sz="1400"/>
            <a:t>• Output Encoding: One-Hot Encoding (2 Classes)</a:t>
          </a:r>
        </a:p>
        <a:p>
          <a:r>
            <a:rPr lang="en-IN" sz="1400"/>
            <a:t>• Network Architecture:</a:t>
          </a:r>
        </a:p>
        <a:p>
          <a:r>
            <a:rPr lang="en-IN" sz="1400"/>
            <a:t>                    Input Layer: 10 Neurons</a:t>
          </a:r>
        </a:p>
        <a:p>
          <a:r>
            <a:rPr lang="en-IN" sz="1400"/>
            <a:t>                    Hidden Layer: 20 Neurons</a:t>
          </a:r>
        </a:p>
        <a:p>
          <a:r>
            <a:rPr lang="en-IN" sz="1400"/>
            <a:t>                    Output Layer: 2 Neurons</a:t>
          </a:r>
        </a:p>
        <a:p>
          <a:r>
            <a:rPr lang="en-IN" sz="1400"/>
            <a:t>• Hidden Layer Activation Function: Hyperbolic Tangent (tanh)</a:t>
          </a:r>
        </a:p>
        <a:p>
          <a:endParaRPr lang="en-GB" sz="1400"/>
        </a:p>
      </xdr:txBody>
    </xdr:sp>
    <xdr:clientData/>
  </xdr:twoCellAnchor>
  <xdr:twoCellAnchor>
    <xdr:from>
      <xdr:col>27</xdr:col>
      <xdr:colOff>711200</xdr:colOff>
      <xdr:row>6</xdr:row>
      <xdr:rowOff>135467</xdr:rowOff>
    </xdr:from>
    <xdr:to>
      <xdr:col>37</xdr:col>
      <xdr:colOff>694267</xdr:colOff>
      <xdr:row>9</xdr:row>
      <xdr:rowOff>33867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6D9ADBC1-E1C8-A129-0CAE-1B2F29C3CC20}"/>
            </a:ext>
          </a:extLst>
        </xdr:cNvPr>
        <xdr:cNvSpPr/>
      </xdr:nvSpPr>
      <xdr:spPr>
        <a:xfrm>
          <a:off x="25247600" y="1354667"/>
          <a:ext cx="8280400" cy="508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67733</xdr:colOff>
      <xdr:row>4</xdr:row>
      <xdr:rowOff>169334</xdr:rowOff>
    </xdr:from>
    <xdr:to>
      <xdr:col>35</xdr:col>
      <xdr:colOff>270933</xdr:colOff>
      <xdr:row>7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67DF7E9-1FA2-FE8B-73A0-6C1C0985FF8B}"/>
            </a:ext>
          </a:extLst>
        </xdr:cNvPr>
        <xdr:cNvSpPr txBox="1"/>
      </xdr:nvSpPr>
      <xdr:spPr>
        <a:xfrm>
          <a:off x="27093333" y="982134"/>
          <a:ext cx="4351867" cy="4402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/>
            <a:t>Measured Accuracy</a:t>
          </a:r>
          <a:r>
            <a:rPr lang="en-GB" sz="1800" baseline="0"/>
            <a:t> and other data</a:t>
          </a:r>
          <a:endParaRPr lang="en-GB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C4924B-9DE4-364F-8870-86C44A7AE919}">
  <we:reference id="wa200008175" version="1.0.0.0" store="en-GB" storeType="OMEX"/>
  <we:alternateReferences>
    <we:reference id="wa200008175" version="1.0.0.0" store="" storeType="OMEX"/>
  </we:alternateReferences>
  <we:properties>
    <we:property name="xlwingsSettingsWorkbook" value="&quot;{\&quot;startupBehavior\&quot;:\&quot;taskpane\&quot;,\&quot;workbookMode\&quot;:\&quot;developer\&quot;,\&quot;pyodideVersion\&quot;:\&quot;0.27.5\&quot;}&quot;"/>
    <we:property name="xlwingsWorkbookId" value="&quot;986ee921-ff32-4e5f-aaad-d5484f003a09&quot;"/>
    <we:property name="notebook.py" value="&quot;# %% Imports\nimport pandas as pd\nimport seaborn as sns\nimport xlwings as xw\nfrom packaging.version import Version  # type: ignore\n\n# %% Update your requirements.txt if necessary (requires restart)\nif Version(xw.__version__) &lt; Version(\&quot;0.35.0\&quot;):\n    raise ImportError(f\&quot;xlwings &gt;= 0.35.0 required, but found {xw.__version__}\&quot;)\n\n# %% Load the penguins dataset\nurl = \&quot;https:\/\/raw.githubusercontent.com\/mwaskom\/seaborn-data\/master\/penguins.csv\&quot;\ndf = pd.read_csv(url)\ndf\n\n# %% Write to Excel\nbook = xw.books.active\nsheet = book.sheets.add()\nsheet[\&quot;A1\&quot;].value = df.dropna()\nsheet.activate()\n\n# %% Read back from Excel\nawait sheet.load()\ndata = sheet[\&quot;A1\&quot;].options(pd.DataFrame, expand=\&quot;table\&quot;).value\ndata\n\n# %% Plot\nsns.jointplot(data=data, x=\&quot;flipper_length_mm\&quot;, y=\&quot;bill_length_mm\&quot;, hue=\&quot;species\&quot;)\n\n&quot;"/>
    <we:property name="requirements.txt" value="&quot;# RESTART AFTER MAKING CHANGES\n\n# Don't pin the version of packages if they are on this list:\n# https:\/\/pyodide.org\/en\/stable\/usage\/packages-in-pyodide.html\n\nxlwings==0.36.4  # required\npython-dotenv==1.2.2  # required\npyodide-http  # required\npytest  # required by tests.py tab\npandas\nmatplotlib\nseaborn\n&quot;"/>
    <we:property name="pyproject.toml" value="&quot;# RESTART AFTER MAKING CHANGES\n\n# Ruff: linter &amp; code formatter\n[tool.ruff]\nfix = true\npreview = true\n\n# Ty: type checker &amp; language server\n[tool.ty.rules]\n&quot;"/>
    <we:property name="tests.py" value="&quot;# Write pytest tests here.\n\ndef test_example():\n    assert 1 + 1 == 2\n&quot;"/>
    <we:property name="main.py" value="&quot;\&quot;\&quot;\&quot;\n# xlwings Lite Demo\n\nSelect a script in the dropdown\nabove and click the button or press\nF5 to run it.\n\nTo toggle between Developer and App\nmode, hit `Ctrl+Shift+M` or\n`Cmd+Shift+M` (macOS).\n\nTo start with an empty file, go to\nSettings &gt; Local &gt; Editor and disable\n'Load sample code for new workbooks'.\n\&quot;\&quot;\&quot;\n\nimport datetime as dt\n\nimport numpy as np\nimport pandas as pd\nimport seaborn as sns\nimport xlwings as xw\nfrom xlwings import arg, func, script\n\n\n@script(name=\&quot;Run Hello World\&quot;)\ndef hello_world(book: xw.Book):\n    \&quot;\&quot;\&quot;# Hello World\n    The classic Hello World sample\&quot;\&quot;\&quot;\n    cell = book.sheets.active[\&quot;A1\&quot;]\n    cell.value = \&quot;Hello World!\&quot;\n    cell.color = \&quot;#FFFF00\&quot;  # yellow\n\n\n@script(name=\&quot;Run Seaborn Demo\&quot;)\ndef seaborn_sample(book: xw.Book):\n    \&quot;\&quot;\&quot;# Seaborn Sample\n    This sample showcases pandas, Seaborn, and Web APIs\n    \&quot;\&quot;\&quot;\n    # Create a pandas DataFrame from a CSV on GitHub and print its info\n    df = pd.read_csv(\n        \&quot;https:\/\/raw.githubusercontent.com\/mwaskom\/seaborn-data\/master\/penguins.csv\&quot;\n    )\n    df.info()  # prints to Output pane\n\n    # Add a new sheet, write the DataFrame out, and format it as Table\n    sheet = book.sheets.add()\n\n    # Add a styled title\n    title_cell = sheet[\&quot;A1\&quot;]\n    title_cell.value = \&quot;The Penguin Dataset\&quot;\n    title_cell.font.bold = True\n    title_cell.font.size = 22\n    title_cell.font.color = \&quot;#156082\&quot;\n    title_cell.font.name = \&quot;Comic Sans MS\&quot;\n\n    # Write out the DataFrame\n    sheet[\&quot;A3\&quot;].options(index=False).value = df\n    sheet.tables.add(sheet[\&quot;A3\&quot;].resize(len(df) + 1, len(df.columns)))\n\n    # Add a Seaborn plot as picture\n    plot = sns.jointplot(\n        data=df, x=\&quot;flipper_length_mm\&quot;, y=\&quot;bill_length_mm\&quot;, hue=\&quot;species\&quot;\n    )\n    sheet.pictures.add(plot.fig, anchor=sheet[\&quot;B10\&quot;])\n\n    # Activate the new sheet\n    sheet.activate()\n\n\n@script(name=\&quot;Insert Custom Functions\&quot;)\ndef insert_custom_functions(book: xw.Book):\n    \&quot;\&quot;\&quot;# Custom Functions\n    This inserts a new sheet with a few custom functions\n    \&quot;\&quot;\&quot;\n    # This script inserts the custom functions below\n    # so you can try them out easily\n    sheet = book.sheets.add()\n    sheet[\&quot;A1\&quot;].value = \&quot;This sheet shows the usage of custom functions\&quot;\n    sheet[\&quot;A3\&quot;].value = '=HELLO(\&quot;xlwings\&quot;)'\n    sheet[\&quot;A5\&quot;].value = \&quot;=STANDARD_NORMAL(3, 4)\&quot;\n    sheet[\&quot;A10\&quot;].value = \&quot;=CORREL2(A5#)\&quot;\n    sheet.activate()\n\n\n@func\ndef hello(name: str):\n    \&quot;\&quot;\&quot;The classic Hello World function\&quot;\&quot;\&quot;\n    return f\&quot;Hello {name}!\&quot;\n\n\n@func\n@arg(\&quot;rows\&quot;, doc=\&quot;Number of rows\&quot;)\n@arg(\&quot;cols\&quot;, doc=\&quot;Number of columns\&quot;)\ndef standard_normal(rows, cols):\n    \&quot;\&quot;\&quot;Returns an array of standard normally distributed pseudo random numbers\&quot;\&quot;\&quot;\n    rng = np.random.default_rng()\n    matrix = rng.standard_normal(size=(rows, cols))\n    date_rng = pd.date_range(start=dt.datetime(2025, 6, 15), periods=rows, freq=\&quot;D\&quot;)\n    df = pd.DataFrame(\n        matrix, columns=[f\&quot;col{i + 1}\&quot; for i in range(matrix.shape[1])], index=date_rng\n    )\n    return df\n\n\n@func\ndef correl2(df: pd.DataFrame):\n    \&quot;\&quot;\&quot;Like CORREL, but it works on whole matrices instead of just 2 arrays.\n    The type hint converts the values of the range into a pandas DataFrame.\n    \&quot;\&quot;\&quot;\n    return df.corr()\n\n\n@func\ndef pinv(A):\n    A = np.array(\n        [[0 if x is None else float(x) for x in row] for row in A],\n        dtype=float\n    )\n\n    return np.linalg.pinv(A).tolist()&quot;"/>
    <we:property name="addinVersion" value="&quot;1.0.0.0-7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_xldudf_WINGMAN</we:customFunctionIds>
        <we:customFunctionIds>_xldudf_CORREL2</we:customFunctionIds>
        <we:customFunctionIds>_xldudf_HELLO</we:customFunctionIds>
        <we:customFunctionIds>_xldudf_PINV</we:customFunctionIds>
        <we:customFunctionIds>_xldudf_STANDARD_NORMAL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1C7C-C567-7341-BE0A-29059FA451BF}">
  <dimension ref="A1:BN488"/>
  <sheetViews>
    <sheetView zoomScale="18" workbookViewId="0">
      <selection activeCell="AC14" sqref="AC14"/>
    </sheetView>
  </sheetViews>
  <sheetFormatPr baseColWidth="10" defaultRowHeight="16"/>
  <cols>
    <col min="1" max="1" width="11.1640625" bestFit="1" customWidth="1"/>
    <col min="2" max="2" width="12.5" bestFit="1" customWidth="1"/>
    <col min="3" max="3" width="14.6640625" bestFit="1" customWidth="1"/>
    <col min="4" max="4" width="9.83203125" bestFit="1" customWidth="1"/>
    <col min="5" max="5" width="16.6640625" bestFit="1" customWidth="1"/>
    <col min="6" max="6" width="13.6640625" bestFit="1" customWidth="1"/>
    <col min="7" max="7" width="18.5" bestFit="1" customWidth="1"/>
    <col min="8" max="8" width="11.33203125" bestFit="1" customWidth="1"/>
    <col min="9" max="9" width="10" bestFit="1" customWidth="1"/>
    <col min="10" max="10" width="18.6640625" bestFit="1" customWidth="1"/>
    <col min="14" max="14" width="10.83203125" style="22"/>
    <col min="65" max="65" width="10.83203125" style="22"/>
    <col min="66" max="66" width="14.6640625" style="1" customWidth="1"/>
  </cols>
  <sheetData>
    <row r="1" spans="1:47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M1" s="13" t="s">
        <v>0</v>
      </c>
      <c r="N1" s="23"/>
      <c r="O1" s="15" t="s">
        <v>18</v>
      </c>
      <c r="P1" s="15"/>
    </row>
    <row r="2" spans="1:47">
      <c r="A2" s="14">
        <v>17.989999999999998</v>
      </c>
      <c r="B2" s="14">
        <v>10.38</v>
      </c>
      <c r="C2" s="14">
        <v>122.8</v>
      </c>
      <c r="D2" s="14">
        <v>1001</v>
      </c>
      <c r="E2" s="14">
        <v>0.27760000000000001</v>
      </c>
      <c r="F2" s="14">
        <v>0.30009999999999998</v>
      </c>
      <c r="G2" s="14">
        <v>0.14710000000000001</v>
      </c>
      <c r="H2" s="14">
        <v>25.38</v>
      </c>
      <c r="I2" s="14">
        <v>2019</v>
      </c>
      <c r="J2" s="14">
        <v>0.26540000000000002</v>
      </c>
      <c r="M2" s="16">
        <v>1</v>
      </c>
      <c r="O2" s="12">
        <f>IF(M2=0,1,0)</f>
        <v>0</v>
      </c>
      <c r="P2" s="12">
        <f>IF(M2=1,1,0)</f>
        <v>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47">
      <c r="A3" s="14">
        <v>20.57</v>
      </c>
      <c r="B3" s="14">
        <v>17.77</v>
      </c>
      <c r="C3" s="14">
        <v>132.9</v>
      </c>
      <c r="D3" s="14">
        <v>1326</v>
      </c>
      <c r="E3" s="14">
        <v>7.8640000000000002E-2</v>
      </c>
      <c r="F3" s="14">
        <v>8.6900000000000005E-2</v>
      </c>
      <c r="G3" s="14">
        <v>7.0169999999999996E-2</v>
      </c>
      <c r="H3" s="14">
        <v>24.99</v>
      </c>
      <c r="I3" s="14">
        <v>1956</v>
      </c>
      <c r="J3" s="14">
        <v>0.186</v>
      </c>
      <c r="M3" s="16">
        <v>1</v>
      </c>
      <c r="O3" s="12">
        <f t="shared" ref="O3:O66" si="0">IF(M3=0,1,0)</f>
        <v>0</v>
      </c>
      <c r="P3" s="12">
        <f t="shared" ref="P3:P66" si="1">IF(M3=1,1,0)</f>
        <v>1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47">
      <c r="A4" s="14">
        <v>19.690000000000001</v>
      </c>
      <c r="B4" s="14">
        <v>21.25</v>
      </c>
      <c r="C4" s="14">
        <v>130</v>
      </c>
      <c r="D4" s="14">
        <v>1203</v>
      </c>
      <c r="E4" s="14">
        <v>0.15989999999999999</v>
      </c>
      <c r="F4" s="14">
        <v>0.19739999999999999</v>
      </c>
      <c r="G4" s="14">
        <v>0.12790000000000001</v>
      </c>
      <c r="H4" s="14">
        <v>23.57</v>
      </c>
      <c r="I4" s="14">
        <v>1709</v>
      </c>
      <c r="J4" s="14">
        <v>0.24299999999999999</v>
      </c>
      <c r="M4" s="16">
        <v>1</v>
      </c>
      <c r="O4" s="12">
        <f t="shared" si="0"/>
        <v>0</v>
      </c>
      <c r="P4" s="12">
        <f t="shared" si="1"/>
        <v>1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T4" s="10" t="s">
        <v>27</v>
      </c>
      <c r="AU4" s="10"/>
    </row>
    <row r="5" spans="1:47">
      <c r="A5" s="14">
        <v>11.42</v>
      </c>
      <c r="B5" s="14">
        <v>20.38</v>
      </c>
      <c r="C5" s="14">
        <v>77.58</v>
      </c>
      <c r="D5" s="14">
        <v>386.1</v>
      </c>
      <c r="E5" s="14">
        <v>0.28389999999999999</v>
      </c>
      <c r="F5" s="14">
        <v>0.2414</v>
      </c>
      <c r="G5" s="14">
        <v>0.1052</v>
      </c>
      <c r="H5" s="14">
        <v>14.91</v>
      </c>
      <c r="I5" s="14">
        <v>567.70000000000005</v>
      </c>
      <c r="J5" s="14">
        <v>0.25750000000000001</v>
      </c>
      <c r="M5" s="16">
        <v>1</v>
      </c>
      <c r="O5" s="12">
        <f t="shared" si="0"/>
        <v>0</v>
      </c>
      <c r="P5" s="12">
        <f t="shared" si="1"/>
        <v>1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N5" s="11" t="s">
        <v>22</v>
      </c>
      <c r="AO5" s="11"/>
      <c r="AP5" s="8" cm="1">
        <f t="array" ref="AP5">SUMPRODUCT(--(BN18:BN472=M2:M456))/ROWS(M2:M456)*100</f>
        <v>97.582417582417577</v>
      </c>
      <c r="AQ5" s="3"/>
      <c r="AT5" s="12" cm="1">
        <f t="array" ref="AT5">SUMPRODUCT(--(M2:M456=1),--(BN18:BN472=1))</f>
        <v>177</v>
      </c>
      <c r="AU5" s="12" cm="1">
        <f t="array" ref="AU5">SUMPRODUCT(--(M2:M456=1),--(BN18:BN472=0))</f>
        <v>9</v>
      </c>
    </row>
    <row r="6" spans="1:47">
      <c r="A6" s="14">
        <v>20.29</v>
      </c>
      <c r="B6" s="14">
        <v>14.34</v>
      </c>
      <c r="C6" s="14">
        <v>135.1</v>
      </c>
      <c r="D6" s="14">
        <v>1297</v>
      </c>
      <c r="E6" s="14">
        <v>0.1328</v>
      </c>
      <c r="F6" s="14">
        <v>0.19800000000000001</v>
      </c>
      <c r="G6" s="14">
        <v>0.1043</v>
      </c>
      <c r="H6" s="14">
        <v>22.54</v>
      </c>
      <c r="I6" s="14">
        <v>1575</v>
      </c>
      <c r="J6" s="14">
        <v>0.16250000000000001</v>
      </c>
      <c r="M6" s="16">
        <v>1</v>
      </c>
      <c r="O6" s="12">
        <f t="shared" si="0"/>
        <v>0</v>
      </c>
      <c r="P6" s="12">
        <f t="shared" si="1"/>
        <v>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N6" s="11" t="s">
        <v>23</v>
      </c>
      <c r="AO6" s="11"/>
      <c r="AP6" s="8" cm="1">
        <f t="array" ref="AP6">SUMPRODUCT(--(BN18:BN472=M2:M456))</f>
        <v>444</v>
      </c>
      <c r="AQ6" s="9">
        <v>456</v>
      </c>
      <c r="AT6" s="12" cm="1">
        <f t="array" ref="AT6">SUMPRODUCT(--(M2:M456=0),--(BN18:BN472=1))</f>
        <v>2</v>
      </c>
      <c r="AU6" s="12" cm="1">
        <f t="array" ref="AU6">SUMPRODUCT(--(M2:M456=0),--(BN18:BN472=0))</f>
        <v>267</v>
      </c>
    </row>
    <row r="7" spans="1:47">
      <c r="A7" s="14">
        <v>12.45</v>
      </c>
      <c r="B7" s="14">
        <v>15.7</v>
      </c>
      <c r="C7" s="14">
        <v>82.57</v>
      </c>
      <c r="D7" s="14">
        <v>477.1</v>
      </c>
      <c r="E7" s="14">
        <v>0.17</v>
      </c>
      <c r="F7" s="14">
        <v>0.1578</v>
      </c>
      <c r="G7" s="14">
        <v>8.0890000000000004E-2</v>
      </c>
      <c r="H7" s="14">
        <v>15.47</v>
      </c>
      <c r="I7" s="14">
        <v>741.6</v>
      </c>
      <c r="J7" s="14">
        <v>0.1741</v>
      </c>
      <c r="M7" s="16">
        <v>1</v>
      </c>
      <c r="O7" s="12">
        <f t="shared" si="0"/>
        <v>0</v>
      </c>
      <c r="P7" s="12">
        <f t="shared" si="1"/>
        <v>1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N7" s="11" t="s">
        <v>17</v>
      </c>
      <c r="AO7" s="11"/>
      <c r="AP7" s="8" cm="1">
        <f t="array" ref="AP7">SUMPRODUCT(--(BN18:BN472=M2:M456))/455*100</f>
        <v>97.582417582417577</v>
      </c>
      <c r="AQ7" s="3"/>
    </row>
    <row r="8" spans="1:47">
      <c r="A8" s="14">
        <v>18.25</v>
      </c>
      <c r="B8" s="14">
        <v>19.98</v>
      </c>
      <c r="C8" s="14">
        <v>119.6</v>
      </c>
      <c r="D8" s="14">
        <v>1040</v>
      </c>
      <c r="E8" s="14">
        <v>0.109</v>
      </c>
      <c r="F8" s="14">
        <v>0.11269999999999999</v>
      </c>
      <c r="G8" s="14">
        <v>7.3999999999999996E-2</v>
      </c>
      <c r="H8" s="14">
        <v>22.88</v>
      </c>
      <c r="I8" s="14">
        <v>1606</v>
      </c>
      <c r="J8" s="14">
        <v>0.19320000000000001</v>
      </c>
      <c r="M8" s="16">
        <v>1</v>
      </c>
      <c r="O8" s="12">
        <f t="shared" si="0"/>
        <v>0</v>
      </c>
      <c r="P8" s="12">
        <f t="shared" si="1"/>
        <v>1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1:47">
      <c r="A9" s="14">
        <v>13.71</v>
      </c>
      <c r="B9" s="14">
        <v>20.83</v>
      </c>
      <c r="C9" s="14">
        <v>90.2</v>
      </c>
      <c r="D9" s="14">
        <v>577.9</v>
      </c>
      <c r="E9" s="14">
        <v>0.16450000000000001</v>
      </c>
      <c r="F9" s="14">
        <v>9.3659999999999993E-2</v>
      </c>
      <c r="G9" s="14">
        <v>5.985E-2</v>
      </c>
      <c r="H9" s="14">
        <v>17.059999999999999</v>
      </c>
      <c r="I9" s="14">
        <v>897</v>
      </c>
      <c r="J9" s="14">
        <v>0.15559999999999999</v>
      </c>
      <c r="M9" s="16">
        <v>1</v>
      </c>
      <c r="O9" s="12">
        <f t="shared" si="0"/>
        <v>0</v>
      </c>
      <c r="P9" s="12">
        <f t="shared" si="1"/>
        <v>1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T9" s="7" t="s">
        <v>28</v>
      </c>
      <c r="AU9" s="7">
        <f>AT5/(AT5+AT6)*100</f>
        <v>98.882681564245814</v>
      </c>
    </row>
    <row r="10" spans="1:47">
      <c r="A10" s="14">
        <v>13</v>
      </c>
      <c r="B10" s="14">
        <v>21.82</v>
      </c>
      <c r="C10" s="14">
        <v>87.5</v>
      </c>
      <c r="D10" s="14">
        <v>519.79999999999995</v>
      </c>
      <c r="E10" s="14">
        <v>0.19320000000000001</v>
      </c>
      <c r="F10" s="14">
        <v>0.18590000000000001</v>
      </c>
      <c r="G10" s="14">
        <v>9.3530000000000002E-2</v>
      </c>
      <c r="H10" s="14">
        <v>15.49</v>
      </c>
      <c r="I10" s="14">
        <v>739.3</v>
      </c>
      <c r="J10" s="14">
        <v>0.20599999999999999</v>
      </c>
      <c r="M10" s="16">
        <v>1</v>
      </c>
      <c r="O10" s="12">
        <f t="shared" si="0"/>
        <v>0</v>
      </c>
      <c r="P10" s="12">
        <f t="shared" si="1"/>
        <v>1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T10" s="7" t="s">
        <v>29</v>
      </c>
      <c r="AU10" s="7">
        <f>AT5/(AT5+AU5)*100</f>
        <v>95.161290322580655</v>
      </c>
    </row>
    <row r="11" spans="1:47">
      <c r="A11" s="14">
        <v>12.46</v>
      </c>
      <c r="B11" s="14">
        <v>24.04</v>
      </c>
      <c r="C11" s="14">
        <v>83.97</v>
      </c>
      <c r="D11" s="14">
        <v>475.9</v>
      </c>
      <c r="E11" s="14">
        <v>0.23960000000000001</v>
      </c>
      <c r="F11" s="14">
        <v>0.2273</v>
      </c>
      <c r="G11" s="14">
        <v>8.5430000000000006E-2</v>
      </c>
      <c r="H11" s="14">
        <v>15.09</v>
      </c>
      <c r="I11" s="14">
        <v>711.4</v>
      </c>
      <c r="J11" s="14">
        <v>0.221</v>
      </c>
      <c r="M11" s="16">
        <v>1</v>
      </c>
      <c r="O11" s="12">
        <f t="shared" si="0"/>
        <v>0</v>
      </c>
      <c r="P11" s="12">
        <f t="shared" si="1"/>
        <v>1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T11" s="7" t="s">
        <v>30</v>
      </c>
      <c r="AU11" s="7">
        <f>2*((AU9*AU10)/(AU9+AU10))</f>
        <v>96.986301369863028</v>
      </c>
    </row>
    <row r="12" spans="1:47">
      <c r="A12" s="14">
        <v>16.02</v>
      </c>
      <c r="B12" s="14">
        <v>23.24</v>
      </c>
      <c r="C12" s="14">
        <v>102.7</v>
      </c>
      <c r="D12" s="14">
        <v>797.8</v>
      </c>
      <c r="E12" s="14">
        <v>6.6689999999999999E-2</v>
      </c>
      <c r="F12" s="14">
        <v>3.2989999999999998E-2</v>
      </c>
      <c r="G12" s="14">
        <v>3.3230000000000003E-2</v>
      </c>
      <c r="H12" s="14">
        <v>19.190000000000001</v>
      </c>
      <c r="I12" s="14">
        <v>1150</v>
      </c>
      <c r="J12" s="14">
        <v>9.9750000000000005E-2</v>
      </c>
      <c r="M12" s="16">
        <v>1</v>
      </c>
      <c r="O12" s="12">
        <f t="shared" si="0"/>
        <v>0</v>
      </c>
      <c r="P12" s="12">
        <f t="shared" si="1"/>
        <v>1</v>
      </c>
    </row>
    <row r="13" spans="1:47">
      <c r="A13" s="14">
        <v>15.78</v>
      </c>
      <c r="B13" s="14">
        <v>17.89</v>
      </c>
      <c r="C13" s="14">
        <v>103.6</v>
      </c>
      <c r="D13" s="14">
        <v>781</v>
      </c>
      <c r="E13" s="14">
        <v>0.12920000000000001</v>
      </c>
      <c r="F13" s="14">
        <v>9.9540000000000003E-2</v>
      </c>
      <c r="G13" s="14">
        <v>6.6059999999999994E-2</v>
      </c>
      <c r="H13" s="14">
        <v>20.420000000000002</v>
      </c>
      <c r="I13" s="14">
        <v>1299</v>
      </c>
      <c r="J13" s="14">
        <v>0.18099999999999999</v>
      </c>
      <c r="M13" s="16">
        <v>1</v>
      </c>
      <c r="O13" s="12">
        <f t="shared" si="0"/>
        <v>0</v>
      </c>
      <c r="P13" s="12">
        <f t="shared" si="1"/>
        <v>1</v>
      </c>
    </row>
    <row r="14" spans="1:47">
      <c r="A14" s="14">
        <v>19.170000000000002</v>
      </c>
      <c r="B14" s="14">
        <v>24.8</v>
      </c>
      <c r="C14" s="14">
        <v>132.4</v>
      </c>
      <c r="D14" s="14">
        <v>1123</v>
      </c>
      <c r="E14" s="14">
        <v>0.24579999999999999</v>
      </c>
      <c r="F14" s="14">
        <v>0.20649999999999999</v>
      </c>
      <c r="G14" s="14">
        <v>0.1118</v>
      </c>
      <c r="H14" s="14">
        <v>20.96</v>
      </c>
      <c r="I14" s="14">
        <v>1332</v>
      </c>
      <c r="J14" s="14">
        <v>0.1767</v>
      </c>
      <c r="M14" s="16">
        <v>1</v>
      </c>
      <c r="O14" s="12">
        <f t="shared" si="0"/>
        <v>0</v>
      </c>
      <c r="P14" s="12">
        <f t="shared" si="1"/>
        <v>1</v>
      </c>
    </row>
    <row r="15" spans="1:47">
      <c r="A15" s="14">
        <v>15.85</v>
      </c>
      <c r="B15" s="14">
        <v>23.95</v>
      </c>
      <c r="C15" s="14">
        <v>103.7</v>
      </c>
      <c r="D15" s="14">
        <v>782.7</v>
      </c>
      <c r="E15" s="14">
        <v>0.1002</v>
      </c>
      <c r="F15" s="14">
        <v>9.9379999999999996E-2</v>
      </c>
      <c r="G15" s="14">
        <v>5.364E-2</v>
      </c>
      <c r="H15" s="14">
        <v>16.84</v>
      </c>
      <c r="I15" s="14">
        <v>876.5</v>
      </c>
      <c r="J15" s="14">
        <v>0.1119</v>
      </c>
      <c r="M15" s="16">
        <v>1</v>
      </c>
      <c r="O15" s="12">
        <f t="shared" si="0"/>
        <v>0</v>
      </c>
      <c r="P15" s="12">
        <f t="shared" si="1"/>
        <v>1</v>
      </c>
    </row>
    <row r="16" spans="1:47">
      <c r="A16" s="14">
        <v>13.73</v>
      </c>
      <c r="B16" s="14">
        <v>22.61</v>
      </c>
      <c r="C16" s="14">
        <v>93.6</v>
      </c>
      <c r="D16" s="14">
        <v>578.29999999999995</v>
      </c>
      <c r="E16" s="14">
        <v>0.2293</v>
      </c>
      <c r="F16" s="14">
        <v>0.21279999999999999</v>
      </c>
      <c r="G16" s="14">
        <v>8.0250000000000002E-2</v>
      </c>
      <c r="H16" s="14">
        <v>15.03</v>
      </c>
      <c r="I16" s="14">
        <v>697.7</v>
      </c>
      <c r="J16" s="14">
        <v>0.2208</v>
      </c>
      <c r="M16" s="16">
        <v>1</v>
      </c>
      <c r="O16" s="12">
        <f t="shared" si="0"/>
        <v>0</v>
      </c>
      <c r="P16" s="12">
        <f t="shared" si="1"/>
        <v>1</v>
      </c>
    </row>
    <row r="17" spans="1:66">
      <c r="A17" s="14">
        <v>14.54</v>
      </c>
      <c r="B17" s="14">
        <v>27.54</v>
      </c>
      <c r="C17" s="14">
        <v>96.73</v>
      </c>
      <c r="D17" s="14">
        <v>658.8</v>
      </c>
      <c r="E17" s="14">
        <v>0.1595</v>
      </c>
      <c r="F17" s="14">
        <v>0.16389999999999999</v>
      </c>
      <c r="G17" s="14">
        <v>7.3639999999999997E-2</v>
      </c>
      <c r="H17" s="14">
        <v>17.46</v>
      </c>
      <c r="I17" s="14">
        <v>943.2</v>
      </c>
      <c r="J17" s="14">
        <v>0.17119999999999999</v>
      </c>
      <c r="M17" s="16">
        <v>1</v>
      </c>
      <c r="O17" s="12">
        <f t="shared" si="0"/>
        <v>0</v>
      </c>
      <c r="P17" s="12">
        <f t="shared" si="1"/>
        <v>1</v>
      </c>
      <c r="R17" s="15" t="s">
        <v>11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M17" s="15" t="s">
        <v>19</v>
      </c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H17" s="15" t="s">
        <v>14</v>
      </c>
      <c r="BI17" s="15"/>
      <c r="BK17" s="15" t="s">
        <v>16</v>
      </c>
      <c r="BL17" s="15"/>
      <c r="BN17" s="18" t="s">
        <v>21</v>
      </c>
    </row>
    <row r="18" spans="1:66">
      <c r="A18" s="14">
        <v>14.68</v>
      </c>
      <c r="B18" s="14">
        <v>20.13</v>
      </c>
      <c r="C18" s="14">
        <v>94.74</v>
      </c>
      <c r="D18" s="14">
        <v>684.5</v>
      </c>
      <c r="E18" s="14">
        <v>7.1999999999999995E-2</v>
      </c>
      <c r="F18" s="14">
        <v>7.3950000000000002E-2</v>
      </c>
      <c r="G18" s="14">
        <v>5.2589999999999998E-2</v>
      </c>
      <c r="H18" s="14">
        <v>19.07</v>
      </c>
      <c r="I18" s="14">
        <v>1138</v>
      </c>
      <c r="J18" s="14">
        <v>0.16089999999999999</v>
      </c>
      <c r="M18" s="16">
        <v>1</v>
      </c>
      <c r="O18" s="12">
        <f t="shared" si="0"/>
        <v>0</v>
      </c>
      <c r="P18" s="12">
        <f t="shared" si="1"/>
        <v>1</v>
      </c>
      <c r="R18" s="17">
        <v>0.70171368061810213</v>
      </c>
      <c r="S18" s="17">
        <v>-0.2222841491609886</v>
      </c>
      <c r="T18" s="17">
        <v>0.15105398656882141</v>
      </c>
      <c r="U18" s="17">
        <v>7.8211362737947709E-2</v>
      </c>
      <c r="V18" s="17">
        <v>0.92549867887279258</v>
      </c>
      <c r="W18" s="17">
        <v>1.0906976065362395E-2</v>
      </c>
      <c r="X18" s="17">
        <v>0.6458279917858667</v>
      </c>
      <c r="Y18" s="17">
        <v>0.89038667097216861</v>
      </c>
      <c r="Z18" s="17">
        <v>-0.45999528560560798</v>
      </c>
      <c r="AA18" s="17">
        <v>0.89241332433575637</v>
      </c>
      <c r="AB18" s="17">
        <v>-0.90544748249695783</v>
      </c>
      <c r="AC18" s="17">
        <v>-0.8809175467202448</v>
      </c>
      <c r="AD18" s="17">
        <v>0.11023501893159859</v>
      </c>
      <c r="AE18" s="17">
        <v>0.5373576567833398</v>
      </c>
      <c r="AF18" s="17">
        <v>-0.59827420587635638</v>
      </c>
      <c r="AG18" s="17">
        <v>-7.3053587944408971E-2</v>
      </c>
      <c r="AH18" s="17">
        <v>-0.48869582763771868</v>
      </c>
      <c r="AI18" s="17">
        <v>0.37071166086059626</v>
      </c>
      <c r="AJ18" s="17">
        <v>0.9241549126869657</v>
      </c>
      <c r="AK18" s="17">
        <v>2.1811380562684279E-2</v>
      </c>
      <c r="AM18" s="17" cm="1">
        <f t="array" ref="AM18:BF27">MMULT(_xldudf_PINV(A2:J456),_xlfn.ANCHORARRAY(R34))</f>
        <v>5.17354318034004E-2</v>
      </c>
      <c r="AN18" s="17">
        <v>0.20162221210823936</v>
      </c>
      <c r="AO18" s="17">
        <v>0.72990153369037669</v>
      </c>
      <c r="AP18" s="17">
        <v>9.7084078186281779E-3</v>
      </c>
      <c r="AQ18" s="17">
        <v>0.35237730420622415</v>
      </c>
      <c r="AR18" s="17">
        <v>0.23047231708290247</v>
      </c>
      <c r="AS18" s="17">
        <v>-1.4612853170787232E-2</v>
      </c>
      <c r="AT18" s="17">
        <v>0.75610717156445972</v>
      </c>
      <c r="AU18" s="17">
        <v>-0.33405831932638963</v>
      </c>
      <c r="AV18" s="17">
        <v>0.87108511105317021</v>
      </c>
      <c r="AW18" s="17">
        <v>-0.95906644205403624</v>
      </c>
      <c r="AX18" s="17">
        <v>0.85900465776934165</v>
      </c>
      <c r="AY18" s="17">
        <v>-0.32389280620303579</v>
      </c>
      <c r="AZ18" s="17">
        <v>0.25929857682285479</v>
      </c>
      <c r="BA18" s="17">
        <v>1.3479747256189285</v>
      </c>
      <c r="BB18" s="17">
        <v>1.0854517685534664</v>
      </c>
      <c r="BC18" s="17">
        <v>-1.6718527656268821E-2</v>
      </c>
      <c r="BD18" s="17">
        <v>-0.60693286088610399</v>
      </c>
      <c r="BE18" s="17">
        <v>-7.6818693111383618E-2</v>
      </c>
      <c r="BF18" s="17">
        <v>-1.1188237739478066</v>
      </c>
      <c r="BH18" s="17" cm="1">
        <f t="array" ref="BH18:BI37">MMULT(_xldudf_PINV(_xlfn.ANCHORARRAY(AM30)),O2:P456)</f>
        <v>12296.714872992472</v>
      </c>
      <c r="BI18" s="17">
        <v>-12348.626812119226</v>
      </c>
      <c r="BK18" s="20" cm="1">
        <f t="array" ref="BK18:BL472">MMULT(_xlfn.ANCHORARRAY(AM30),_xlfn.ANCHORARRAY(BH18))</f>
        <v>-4.3576173092443944E-2</v>
      </c>
      <c r="BL18" s="20">
        <v>1.0435685887756132</v>
      </c>
      <c r="BN18" s="21">
        <f>IF(BK18&gt;BL18,0,1)</f>
        <v>1</v>
      </c>
    </row>
    <row r="19" spans="1:66">
      <c r="A19" s="14">
        <v>16.13</v>
      </c>
      <c r="B19" s="14">
        <v>20.68</v>
      </c>
      <c r="C19" s="14">
        <v>108.1</v>
      </c>
      <c r="D19" s="14">
        <v>798.8</v>
      </c>
      <c r="E19" s="14">
        <v>0.20219999999999999</v>
      </c>
      <c r="F19" s="14">
        <v>0.17219999999999999</v>
      </c>
      <c r="G19" s="14">
        <v>0.1028</v>
      </c>
      <c r="H19" s="14">
        <v>20.96</v>
      </c>
      <c r="I19" s="14">
        <v>1315</v>
      </c>
      <c r="J19" s="14">
        <v>0.20730000000000001</v>
      </c>
      <c r="M19" s="16">
        <v>1</v>
      </c>
      <c r="O19" s="12">
        <f t="shared" si="0"/>
        <v>0</v>
      </c>
      <c r="P19" s="12">
        <f t="shared" si="1"/>
        <v>1</v>
      </c>
      <c r="R19" s="17">
        <v>-0.81718526412866366</v>
      </c>
      <c r="S19" s="17">
        <v>0.14044625060322136</v>
      </c>
      <c r="T19" s="17">
        <v>0.15859641185449114</v>
      </c>
      <c r="U19" s="17">
        <v>0.38554352093781241</v>
      </c>
      <c r="V19" s="17">
        <v>0.28767660906488857</v>
      </c>
      <c r="W19" s="17">
        <v>0.86026288385553373</v>
      </c>
      <c r="X19" s="17">
        <v>-0.28730065987626752</v>
      </c>
      <c r="Y19" s="17">
        <v>-0.30843583067167146</v>
      </c>
      <c r="Z19" s="17">
        <v>-0.4378176279308541</v>
      </c>
      <c r="AA19" s="17">
        <v>0.36602391088268393</v>
      </c>
      <c r="AB19" s="17">
        <v>-0.70051650853004421</v>
      </c>
      <c r="AC19" s="17">
        <v>-0.64541205975090077</v>
      </c>
      <c r="AD19" s="17">
        <v>-0.62688982255098336</v>
      </c>
      <c r="AE19" s="17">
        <v>-0.76652292442250114</v>
      </c>
      <c r="AF19" s="17">
        <v>-0.34289687182455109</v>
      </c>
      <c r="AG19" s="17">
        <v>0.71161927406939052</v>
      </c>
      <c r="AH19" s="17">
        <v>-0.11652394202894589</v>
      </c>
      <c r="AI19" s="17">
        <v>-0.298373556054921</v>
      </c>
      <c r="AJ19" s="17">
        <v>-0.78226766735794406</v>
      </c>
      <c r="AK19" s="17">
        <v>0.59841233262454563</v>
      </c>
      <c r="AM19" s="17">
        <v>-1.2589530907535102E-2</v>
      </c>
      <c r="AN19" s="17">
        <v>5.3027801752034221E-3</v>
      </c>
      <c r="AO19" s="17">
        <v>-3.9461936251441003E-3</v>
      </c>
      <c r="AP19" s="17">
        <v>3.7033662348971699E-3</v>
      </c>
      <c r="AQ19" s="17">
        <v>6.8060648818079389E-3</v>
      </c>
      <c r="AR19" s="17">
        <v>-1.3619727550780301E-2</v>
      </c>
      <c r="AS19" s="17">
        <v>-1.1598778032674216E-2</v>
      </c>
      <c r="AT19" s="17">
        <v>-4.3636877350393078E-3</v>
      </c>
      <c r="AU19" s="17">
        <v>1.9134593928461705E-2</v>
      </c>
      <c r="AV19" s="17">
        <v>-3.3696497981378372E-3</v>
      </c>
      <c r="AW19" s="17">
        <v>1.2183113180518162E-2</v>
      </c>
      <c r="AX19" s="17">
        <v>-4.4058014614482589E-3</v>
      </c>
      <c r="AY19" s="17">
        <v>-1.6784398832203717E-3</v>
      </c>
      <c r="AZ19" s="17">
        <v>9.6993286447363981E-3</v>
      </c>
      <c r="BA19" s="17">
        <v>-1.8378924555962545E-2</v>
      </c>
      <c r="BB19" s="17">
        <v>-1.4081236394433807E-2</v>
      </c>
      <c r="BC19" s="17">
        <v>4.745965860411718E-3</v>
      </c>
      <c r="BD19" s="17">
        <v>-3.7487709530426971E-3</v>
      </c>
      <c r="BE19" s="17">
        <v>-3.3283307071157761E-3</v>
      </c>
      <c r="BF19" s="17">
        <v>2.6751968875506197E-3</v>
      </c>
      <c r="BH19" s="17">
        <v>-1157.0742044464007</v>
      </c>
      <c r="BI19" s="17">
        <v>1198.1741977951328</v>
      </c>
      <c r="BK19" s="20">
        <v>-4.9625709034635951E-2</v>
      </c>
      <c r="BL19" s="20">
        <v>1.0496116396734685</v>
      </c>
      <c r="BN19" s="21">
        <f t="shared" ref="BN19:BN82" si="2">IF(BK19&gt;BL19,0,1)</f>
        <v>1</v>
      </c>
    </row>
    <row r="20" spans="1:66">
      <c r="A20" s="14">
        <v>19.809999999999999</v>
      </c>
      <c r="B20" s="14">
        <v>22.15</v>
      </c>
      <c r="C20" s="14">
        <v>130</v>
      </c>
      <c r="D20" s="14">
        <v>1260</v>
      </c>
      <c r="E20" s="14">
        <v>0.1027</v>
      </c>
      <c r="F20" s="14">
        <v>0.1479</v>
      </c>
      <c r="G20" s="14">
        <v>9.4979999999999995E-2</v>
      </c>
      <c r="H20" s="14">
        <v>27.32</v>
      </c>
      <c r="I20" s="14">
        <v>2398</v>
      </c>
      <c r="J20" s="14">
        <v>0.23880000000000001</v>
      </c>
      <c r="M20" s="16">
        <v>1</v>
      </c>
      <c r="O20" s="12">
        <f t="shared" si="0"/>
        <v>0</v>
      </c>
      <c r="P20" s="12">
        <f t="shared" si="1"/>
        <v>1</v>
      </c>
      <c r="R20" s="17">
        <v>6.92955657208012E-2</v>
      </c>
      <c r="S20" s="17">
        <v>0.36022926105871167</v>
      </c>
      <c r="T20" s="17">
        <v>-0.19675043978677098</v>
      </c>
      <c r="U20" s="17">
        <v>0.25529858075656819</v>
      </c>
      <c r="V20" s="17">
        <v>0.80226543761308156</v>
      </c>
      <c r="W20" s="17">
        <v>-0.57916943072041938</v>
      </c>
      <c r="X20" s="17">
        <v>-0.97249920255347777</v>
      </c>
      <c r="Y20" s="17">
        <v>-0.50873304780963857</v>
      </c>
      <c r="Z20" s="17">
        <v>0.828182900460811</v>
      </c>
      <c r="AA20" s="17">
        <v>0.89123299675149115</v>
      </c>
      <c r="AB20" s="17">
        <v>-0.40954501502372342</v>
      </c>
      <c r="AC20" s="17">
        <v>0.90941310228589711</v>
      </c>
      <c r="AD20" s="17">
        <v>0.67916197077840712</v>
      </c>
      <c r="AE20" s="17">
        <v>0.87672651278139502</v>
      </c>
      <c r="AF20" s="17">
        <v>0.37630921275330498</v>
      </c>
      <c r="AG20" s="17">
        <v>0.47773587601934087</v>
      </c>
      <c r="AH20" s="17">
        <v>0.4972886186021952</v>
      </c>
      <c r="AI20" s="17">
        <v>0.83925887174985503</v>
      </c>
      <c r="AJ20" s="17">
        <v>-0.46994752152413821</v>
      </c>
      <c r="AK20" s="17">
        <v>-0.95580551448827444</v>
      </c>
      <c r="AM20" s="17">
        <v>8.893720285154668E-3</v>
      </c>
      <c r="AN20" s="17">
        <v>-2.2955235991130044E-2</v>
      </c>
      <c r="AO20" s="17">
        <v>-6.8269163411022543E-2</v>
      </c>
      <c r="AP20" s="17">
        <v>-4.7594303771731272E-3</v>
      </c>
      <c r="AQ20" s="17">
        <v>-3.7510329650646199E-2</v>
      </c>
      <c r="AR20" s="17">
        <v>-5.3823602983527246E-3</v>
      </c>
      <c r="AS20" s="17">
        <v>1.3548398853804223E-2</v>
      </c>
      <c r="AT20" s="17">
        <v>-6.0385820614945164E-2</v>
      </c>
      <c r="AU20" s="17">
        <v>8.4442499800120811E-3</v>
      </c>
      <c r="AV20" s="17">
        <v>-7.1325102710873473E-2</v>
      </c>
      <c r="AW20" s="17">
        <v>6.9549560000662716E-2</v>
      </c>
      <c r="AX20" s="17">
        <v>-6.9188344467944127E-2</v>
      </c>
      <c r="AY20" s="17">
        <v>2.9627145894914008E-2</v>
      </c>
      <c r="AZ20" s="17">
        <v>-3.2573575089316201E-2</v>
      </c>
      <c r="BA20" s="17">
        <v>-9.6421897046868293E-2</v>
      </c>
      <c r="BB20" s="17">
        <v>-7.8404640581074894E-2</v>
      </c>
      <c r="BC20" s="17">
        <v>-3.5921459382994509E-3</v>
      </c>
      <c r="BD20" s="17">
        <v>5.6157073492086353E-2</v>
      </c>
      <c r="BE20" s="17">
        <v>1.0132141781319678E-2</v>
      </c>
      <c r="BF20" s="17">
        <v>0.23483408793381236</v>
      </c>
      <c r="BH20" s="17">
        <v>7.2988535668143076E-2</v>
      </c>
      <c r="BI20" s="17">
        <v>-7.2961124383050829E-2</v>
      </c>
      <c r="BK20" s="20">
        <v>5.5603169371106112E-2</v>
      </c>
      <c r="BL20" s="20">
        <v>0.94445399327237789</v>
      </c>
      <c r="BN20" s="21">
        <f t="shared" si="2"/>
        <v>1</v>
      </c>
    </row>
    <row r="21" spans="1:66">
      <c r="A21" s="14">
        <v>13.54</v>
      </c>
      <c r="B21" s="14">
        <v>14.36</v>
      </c>
      <c r="C21" s="14">
        <v>87.46</v>
      </c>
      <c r="D21" s="14">
        <v>566.29999999999995</v>
      </c>
      <c r="E21" s="14">
        <v>8.1290000000000001E-2</v>
      </c>
      <c r="F21" s="14">
        <v>6.6640000000000005E-2</v>
      </c>
      <c r="G21" s="14">
        <v>4.7809999999999998E-2</v>
      </c>
      <c r="H21" s="14">
        <v>15.11</v>
      </c>
      <c r="I21" s="14">
        <v>711.2</v>
      </c>
      <c r="J21" s="14">
        <v>0.1288</v>
      </c>
      <c r="M21" s="16">
        <v>0</v>
      </c>
      <c r="O21" s="12">
        <f t="shared" si="0"/>
        <v>1</v>
      </c>
      <c r="P21" s="12">
        <f t="shared" si="1"/>
        <v>0</v>
      </c>
      <c r="R21" s="17">
        <v>0.18364881611736728</v>
      </c>
      <c r="S21" s="17">
        <v>0.67490494857308159</v>
      </c>
      <c r="T21" s="17">
        <v>0.55940919025554514</v>
      </c>
      <c r="U21" s="17">
        <v>9.2567449158846182E-2</v>
      </c>
      <c r="V21" s="17">
        <v>1.2434533363014921E-4</v>
      </c>
      <c r="W21" s="17">
        <v>0.12137291090142144</v>
      </c>
      <c r="X21" s="17">
        <v>-0.97511636659710677</v>
      </c>
      <c r="Y21" s="17">
        <v>-0.52369675887609612</v>
      </c>
      <c r="Z21" s="17">
        <v>7.5702242032284373E-2</v>
      </c>
      <c r="AA21" s="17">
        <v>4.7675653998377365E-2</v>
      </c>
      <c r="AB21" s="17">
        <v>-0.92485810094510978</v>
      </c>
      <c r="AC21" s="17">
        <v>0.8695886623077147</v>
      </c>
      <c r="AD21" s="17">
        <v>-0.26899008491770249</v>
      </c>
      <c r="AE21" s="17">
        <v>0.4318040602076807</v>
      </c>
      <c r="AF21" s="17">
        <v>-0.25774364908656544</v>
      </c>
      <c r="AG21" s="17">
        <v>0.32179749579587402</v>
      </c>
      <c r="AH21" s="17">
        <v>-4.2640304895345871E-2</v>
      </c>
      <c r="AI21" s="17">
        <v>-0.46007906004348098</v>
      </c>
      <c r="AJ21" s="17">
        <v>-0.9862469815513466</v>
      </c>
      <c r="AK21" s="17">
        <v>0.31770221993845382</v>
      </c>
      <c r="AM21" s="17">
        <v>-6.1388470620260223E-4</v>
      </c>
      <c r="AN21" s="17">
        <v>-5.809725012677605E-4</v>
      </c>
      <c r="AO21" s="17">
        <v>-4.1944458113462414E-4</v>
      </c>
      <c r="AP21" s="17">
        <v>8.6910889840445516E-5</v>
      </c>
      <c r="AQ21" s="17">
        <v>-1.0973924426400472E-3</v>
      </c>
      <c r="AR21" s="17">
        <v>-1.319868323595092E-3</v>
      </c>
      <c r="AS21" s="17">
        <v>-3.3154972440532164E-4</v>
      </c>
      <c r="AT21" s="17">
        <v>-2.9866975905102205E-3</v>
      </c>
      <c r="AU21" s="17">
        <v>1.8928752007412563E-3</v>
      </c>
      <c r="AV21" s="17">
        <v>-3.3856416761921197E-3</v>
      </c>
      <c r="AW21" s="17">
        <v>4.0099158515082894E-3</v>
      </c>
      <c r="AX21" s="17">
        <v>-3.3747694345949383E-3</v>
      </c>
      <c r="AY21" s="17">
        <v>1.1612016126141028E-3</v>
      </c>
      <c r="AZ21" s="17">
        <v>-6.512195457156339E-4</v>
      </c>
      <c r="BA21" s="17">
        <v>-5.6777966547694701E-3</v>
      </c>
      <c r="BB21" s="17">
        <v>-4.5480911561980343E-3</v>
      </c>
      <c r="BC21" s="17">
        <v>2.2095673235637486E-4</v>
      </c>
      <c r="BD21" s="17">
        <v>2.1558290673391648E-3</v>
      </c>
      <c r="BE21" s="17">
        <v>1.7777233262009459E-4</v>
      </c>
      <c r="BF21" s="17">
        <v>-5.0603700552483285E-4</v>
      </c>
      <c r="BH21" s="17">
        <v>-5759.5473521405293</v>
      </c>
      <c r="BI21" s="17">
        <v>5781.6931805679005</v>
      </c>
      <c r="BK21" s="20">
        <v>7.6678212428585385E-2</v>
      </c>
      <c r="BL21" s="20">
        <v>0.92332860996010913</v>
      </c>
      <c r="BN21" s="21">
        <f t="shared" si="2"/>
        <v>1</v>
      </c>
    </row>
    <row r="22" spans="1:66">
      <c r="A22" s="14">
        <v>13.08</v>
      </c>
      <c r="B22" s="14">
        <v>15.71</v>
      </c>
      <c r="C22" s="14">
        <v>85.63</v>
      </c>
      <c r="D22" s="14">
        <v>520</v>
      </c>
      <c r="E22" s="14">
        <v>0.127</v>
      </c>
      <c r="F22" s="14">
        <v>4.5679999999999998E-2</v>
      </c>
      <c r="G22" s="14">
        <v>3.1099999999999999E-2</v>
      </c>
      <c r="H22" s="14">
        <v>14.5</v>
      </c>
      <c r="I22" s="14">
        <v>630.5</v>
      </c>
      <c r="J22" s="14">
        <v>7.2830000000000006E-2</v>
      </c>
      <c r="M22" s="16">
        <v>0</v>
      </c>
      <c r="O22" s="12">
        <f t="shared" si="0"/>
        <v>1</v>
      </c>
      <c r="P22" s="12">
        <f t="shared" si="1"/>
        <v>0</v>
      </c>
      <c r="R22" s="17">
        <v>0.16804549472556585</v>
      </c>
      <c r="S22" s="17">
        <v>0.93420243171917439</v>
      </c>
      <c r="T22" s="17">
        <v>-0.55780226867840366</v>
      </c>
      <c r="U22" s="17">
        <v>-9.3066361114198859E-2</v>
      </c>
      <c r="V22" s="17">
        <v>0.34888980059005448</v>
      </c>
      <c r="W22" s="17">
        <v>-0.15730503660106265</v>
      </c>
      <c r="X22" s="17">
        <v>-3.8195770273293572E-2</v>
      </c>
      <c r="Y22" s="17">
        <v>-0.80486828838810665</v>
      </c>
      <c r="Z22" s="17">
        <v>-0.33647530357988464</v>
      </c>
      <c r="AA22" s="17">
        <v>0.83054747975837451</v>
      </c>
      <c r="AB22" s="17">
        <v>0.89873613438257749</v>
      </c>
      <c r="AC22" s="17">
        <v>-0.61799217969688613</v>
      </c>
      <c r="AD22" s="17">
        <v>5.2741649030352056E-2</v>
      </c>
      <c r="AE22" s="17">
        <v>0.97332482736291381</v>
      </c>
      <c r="AF22" s="17">
        <v>0.21560313131869124</v>
      </c>
      <c r="AG22" s="17">
        <v>0.77704583380376602</v>
      </c>
      <c r="AH22" s="17">
        <v>-0.30571734796408712</v>
      </c>
      <c r="AI22" s="17">
        <v>-0.7436742121768225</v>
      </c>
      <c r="AJ22" s="17">
        <v>-0.93344761911594798</v>
      </c>
      <c r="AK22" s="17">
        <v>0.38430260150149254</v>
      </c>
      <c r="AM22" s="17">
        <v>0.49594328814740507</v>
      </c>
      <c r="AN22" s="17">
        <v>0.61265909014339925</v>
      </c>
      <c r="AO22" s="17">
        <v>3.4980898450152069</v>
      </c>
      <c r="AP22" s="17">
        <v>-5.4224280871328551E-2</v>
      </c>
      <c r="AQ22" s="17">
        <v>1.1305246830505125</v>
      </c>
      <c r="AR22" s="17">
        <v>1.178223432334367</v>
      </c>
      <c r="AS22" s="17">
        <v>0.22790491031822041</v>
      </c>
      <c r="AT22" s="17">
        <v>2.8863740351165892</v>
      </c>
      <c r="AU22" s="17">
        <v>-1.6930492958847514</v>
      </c>
      <c r="AV22" s="17">
        <v>3.2850426147350271</v>
      </c>
      <c r="AW22" s="17">
        <v>-3.8225819985850213</v>
      </c>
      <c r="AX22" s="17">
        <v>3.2657791791082293</v>
      </c>
      <c r="AY22" s="17">
        <v>-1.1502877972394931</v>
      </c>
      <c r="AZ22" s="17">
        <v>0.71799448144388633</v>
      </c>
      <c r="BA22" s="17">
        <v>5.4031515192720088</v>
      </c>
      <c r="BB22" s="17">
        <v>4.3334258781563673</v>
      </c>
      <c r="BC22" s="17">
        <v>-0.17671974274915331</v>
      </c>
      <c r="BD22" s="17">
        <v>-2.140832853378388</v>
      </c>
      <c r="BE22" s="17">
        <v>-0.20166539345478068</v>
      </c>
      <c r="BF22" s="17">
        <v>-9.1794951040590824</v>
      </c>
      <c r="BH22" s="17">
        <v>-4869.3773662008552</v>
      </c>
      <c r="BI22" s="17">
        <v>4818.7692620628077</v>
      </c>
      <c r="BK22" s="20">
        <v>2.4332093470395139E-3</v>
      </c>
      <c r="BL22" s="20">
        <v>0.99759048220719337</v>
      </c>
      <c r="BN22" s="21">
        <f t="shared" si="2"/>
        <v>1</v>
      </c>
    </row>
    <row r="23" spans="1:66">
      <c r="A23" s="14">
        <v>9.5039999999999996</v>
      </c>
      <c r="B23" s="14">
        <v>12.44</v>
      </c>
      <c r="C23" s="14">
        <v>60.34</v>
      </c>
      <c r="D23" s="14">
        <v>273.89999999999998</v>
      </c>
      <c r="E23" s="14">
        <v>6.4920000000000005E-2</v>
      </c>
      <c r="F23" s="14">
        <v>2.9559999999999999E-2</v>
      </c>
      <c r="G23" s="14">
        <v>2.0760000000000001E-2</v>
      </c>
      <c r="H23" s="14">
        <v>10.23</v>
      </c>
      <c r="I23" s="14">
        <v>314.89999999999998</v>
      </c>
      <c r="J23" s="14">
        <v>6.2269999999999999E-2</v>
      </c>
      <c r="M23" s="16">
        <v>0</v>
      </c>
      <c r="O23" s="12">
        <f t="shared" si="0"/>
        <v>1</v>
      </c>
      <c r="P23" s="12">
        <f t="shared" si="1"/>
        <v>0</v>
      </c>
      <c r="R23" s="17">
        <v>-0.81848485899194556</v>
      </c>
      <c r="S23" s="17">
        <v>0.60208743424792477</v>
      </c>
      <c r="T23" s="17">
        <v>0.45964602160863044</v>
      </c>
      <c r="U23" s="17">
        <v>-0.98813239342774839</v>
      </c>
      <c r="V23" s="17">
        <v>-0.16043092288079119</v>
      </c>
      <c r="W23" s="17">
        <v>0.32808402986518015</v>
      </c>
      <c r="X23" s="17">
        <v>-0.86233340598095221</v>
      </c>
      <c r="Y23" s="17">
        <v>-0.12969509672602908</v>
      </c>
      <c r="Z23" s="17">
        <v>-0.37579321551364786</v>
      </c>
      <c r="AA23" s="17">
        <v>-0.85656098421357219</v>
      </c>
      <c r="AB23" s="17">
        <v>0.84794372308286992</v>
      </c>
      <c r="AC23" s="17">
        <v>5.246851316332779E-2</v>
      </c>
      <c r="AD23" s="17">
        <v>-0.57947670368622894</v>
      </c>
      <c r="AE23" s="17">
        <v>0.31572774761083422</v>
      </c>
      <c r="AF23" s="17">
        <v>-0.83108233029355505</v>
      </c>
      <c r="AG23" s="17">
        <v>-0.78818122530961299</v>
      </c>
      <c r="AH23" s="17">
        <v>-0.24751236497256413</v>
      </c>
      <c r="AI23" s="17">
        <v>-0.93267071067509177</v>
      </c>
      <c r="AJ23" s="17">
        <v>-0.23924088160549117</v>
      </c>
      <c r="AK23" s="17">
        <v>0.48383228083844321</v>
      </c>
      <c r="AM23" s="17">
        <v>-0.18559059007459122</v>
      </c>
      <c r="AN23" s="17">
        <v>0.33400804915992899</v>
      </c>
      <c r="AO23" s="17">
        <v>0.22713137064735994</v>
      </c>
      <c r="AP23" s="17">
        <v>8.3138318509405826E-2</v>
      </c>
      <c r="AQ23" s="17">
        <v>0.53587645650843041</v>
      </c>
      <c r="AR23" s="17">
        <v>-9.4926028460436043E-4</v>
      </c>
      <c r="AS23" s="17">
        <v>-0.24230004293505031</v>
      </c>
      <c r="AT23" s="17">
        <v>0.78097442173238918</v>
      </c>
      <c r="AU23" s="17">
        <v>-1.0419608606878853E-2</v>
      </c>
      <c r="AV23" s="17">
        <v>0.93196998510341011</v>
      </c>
      <c r="AW23" s="17">
        <v>-0.86132030295121442</v>
      </c>
      <c r="AX23" s="17">
        <v>0.8979858660636314</v>
      </c>
      <c r="AY23" s="17">
        <v>-0.40353899169997398</v>
      </c>
      <c r="AZ23" s="17">
        <v>0.48555627555461506</v>
      </c>
      <c r="BA23" s="17">
        <v>1.1861761158374149</v>
      </c>
      <c r="BB23" s="17">
        <v>0.96913362480414711</v>
      </c>
      <c r="BC23" s="17">
        <v>7.3152073627958447E-2</v>
      </c>
      <c r="BD23" s="17">
        <v>-0.76791776956080371</v>
      </c>
      <c r="BE23" s="17">
        <v>-0.15269448100822339</v>
      </c>
      <c r="BF23" s="17">
        <v>-3.6340400147268346</v>
      </c>
      <c r="BH23" s="17">
        <v>-691.35579212075959</v>
      </c>
      <c r="BI23" s="17">
        <v>691.89243834917386</v>
      </c>
      <c r="BK23" s="20">
        <v>0.19064493263050827</v>
      </c>
      <c r="BL23" s="20">
        <v>0.80941232828811283</v>
      </c>
      <c r="BN23" s="21">
        <f t="shared" si="2"/>
        <v>1</v>
      </c>
    </row>
    <row r="24" spans="1:66">
      <c r="A24" s="14">
        <v>15.34</v>
      </c>
      <c r="B24" s="14">
        <v>14.26</v>
      </c>
      <c r="C24" s="14">
        <v>102.5</v>
      </c>
      <c r="D24" s="14">
        <v>704.4</v>
      </c>
      <c r="E24" s="14">
        <v>0.2135</v>
      </c>
      <c r="F24" s="14">
        <v>0.2077</v>
      </c>
      <c r="G24" s="14">
        <v>9.7559999999999994E-2</v>
      </c>
      <c r="H24" s="14">
        <v>18.07</v>
      </c>
      <c r="I24" s="14">
        <v>980.9</v>
      </c>
      <c r="J24" s="14">
        <v>0.23930000000000001</v>
      </c>
      <c r="M24" s="16">
        <v>1</v>
      </c>
      <c r="O24" s="12">
        <f t="shared" si="0"/>
        <v>0</v>
      </c>
      <c r="P24" s="12">
        <f t="shared" si="1"/>
        <v>1</v>
      </c>
      <c r="R24" s="17">
        <v>0.522165700169547</v>
      </c>
      <c r="S24" s="17">
        <v>0.76136396494431846</v>
      </c>
      <c r="T24" s="17">
        <v>-0.33227330183327108</v>
      </c>
      <c r="U24" s="17">
        <v>-0.44723555915370183</v>
      </c>
      <c r="V24" s="17">
        <v>0.29527385900292313</v>
      </c>
      <c r="W24" s="17">
        <v>0.60327029556717093</v>
      </c>
      <c r="X24" s="17">
        <v>-0.84270090493298722</v>
      </c>
      <c r="Y24" s="17">
        <v>-0.19498834163730661</v>
      </c>
      <c r="Z24" s="17">
        <v>0.66428659724633143</v>
      </c>
      <c r="AA24" s="17">
        <v>0.14833012085505115</v>
      </c>
      <c r="AB24" s="17">
        <v>0.71206508684511838</v>
      </c>
      <c r="AC24" s="17">
        <v>0.94144303124405937</v>
      </c>
      <c r="AD24" s="17">
        <v>-0.54799424590958989</v>
      </c>
      <c r="AE24" s="17">
        <v>0.5671922949312902</v>
      </c>
      <c r="AF24" s="17">
        <v>-0.24690187810590358</v>
      </c>
      <c r="AG24" s="17">
        <v>-0.5488249409407373</v>
      </c>
      <c r="AH24" s="17">
        <v>-0.37327251390883909</v>
      </c>
      <c r="AI24" s="17">
        <v>1.8060558801827664E-2</v>
      </c>
      <c r="AJ24" s="17">
        <v>0.98882718506390233</v>
      </c>
      <c r="AK24" s="17">
        <v>0.17855193406396053</v>
      </c>
      <c r="AM24" s="17">
        <v>-2.1489528324807834</v>
      </c>
      <c r="AN24" s="17">
        <v>0.49709744327710143</v>
      </c>
      <c r="AO24" s="17">
        <v>-2.5762109629975587</v>
      </c>
      <c r="AP24" s="17">
        <v>0.58661310463694905</v>
      </c>
      <c r="AQ24" s="17">
        <v>0.46706894955314382</v>
      </c>
      <c r="AR24" s="17">
        <v>-2.6435224742999202</v>
      </c>
      <c r="AS24" s="17">
        <v>-1.8660920389615996</v>
      </c>
      <c r="AT24" s="17">
        <v>-2.093093112672475</v>
      </c>
      <c r="AU24" s="17">
        <v>3.7326772224547207</v>
      </c>
      <c r="AV24" s="17">
        <v>-2.1408794200099286</v>
      </c>
      <c r="AW24" s="17">
        <v>3.7398245545358351</v>
      </c>
      <c r="AX24" s="17">
        <v>-2.2879026259832855</v>
      </c>
      <c r="AY24" s="17">
        <v>0.31767254979860304</v>
      </c>
      <c r="AZ24" s="17">
        <v>1.1092185388995575</v>
      </c>
      <c r="BA24" s="17">
        <v>-5.4612280967342484</v>
      </c>
      <c r="BB24" s="17">
        <v>-4.280411943106901</v>
      </c>
      <c r="BC24" s="17">
        <v>0.80502033999431077</v>
      </c>
      <c r="BD24" s="17">
        <v>0.49677766523641703</v>
      </c>
      <c r="BE24" s="17">
        <v>-0.40283825372569287</v>
      </c>
      <c r="BF24" s="17">
        <v>1.8884437825825604</v>
      </c>
      <c r="BH24" s="17">
        <v>-13538.07557657174</v>
      </c>
      <c r="BI24" s="17">
        <v>13610.190225161656</v>
      </c>
      <c r="BK24" s="20">
        <v>-4.5677186087957802E-2</v>
      </c>
      <c r="BL24" s="20">
        <v>1.0456322210850044</v>
      </c>
      <c r="BN24" s="21">
        <f t="shared" si="2"/>
        <v>1</v>
      </c>
    </row>
    <row r="25" spans="1:66">
      <c r="A25" s="14">
        <v>21.16</v>
      </c>
      <c r="B25" s="14">
        <v>23.04</v>
      </c>
      <c r="C25" s="14">
        <v>137.19999999999999</v>
      </c>
      <c r="D25" s="14">
        <v>1404</v>
      </c>
      <c r="E25" s="14">
        <v>0.1022</v>
      </c>
      <c r="F25" s="14">
        <v>0.10970000000000001</v>
      </c>
      <c r="G25" s="14">
        <v>8.6319999999999994E-2</v>
      </c>
      <c r="H25" s="14">
        <v>29.17</v>
      </c>
      <c r="I25" s="14">
        <v>2615</v>
      </c>
      <c r="J25" s="14">
        <v>0.2009</v>
      </c>
      <c r="M25" s="16">
        <v>1</v>
      </c>
      <c r="O25" s="12">
        <f t="shared" si="0"/>
        <v>0</v>
      </c>
      <c r="P25" s="12">
        <f t="shared" si="1"/>
        <v>1</v>
      </c>
      <c r="R25" s="17">
        <v>0.31134480413910248</v>
      </c>
      <c r="S25" s="17">
        <v>-0.32106399805759733</v>
      </c>
      <c r="T25" s="17">
        <v>0.85827497689705945</v>
      </c>
      <c r="U25" s="17">
        <v>-0.31480138370814537</v>
      </c>
      <c r="V25" s="17">
        <v>-0.53064803292895579</v>
      </c>
      <c r="W25" s="17">
        <v>-0.12505048213319081</v>
      </c>
      <c r="X25" s="17">
        <v>-0.63148779730976989</v>
      </c>
      <c r="Y25" s="17">
        <v>0.47031049604930675</v>
      </c>
      <c r="Z25" s="17">
        <v>0.86786911988161286</v>
      </c>
      <c r="AA25" s="17">
        <v>-0.75276533025119718</v>
      </c>
      <c r="AB25" s="17">
        <v>0.11316402548190263</v>
      </c>
      <c r="AC25" s="17">
        <v>0.50584713660369562</v>
      </c>
      <c r="AD25" s="17">
        <v>-0.34394459503151698</v>
      </c>
      <c r="AE25" s="17">
        <v>-0.64803367060874972</v>
      </c>
      <c r="AF25" s="17">
        <v>0.89957363784761646</v>
      </c>
      <c r="AG25" s="17">
        <v>-0.33713999429988117</v>
      </c>
      <c r="AH25" s="17">
        <v>-0.68428364515183482</v>
      </c>
      <c r="AI25" s="17">
        <v>-0.7614609334620277</v>
      </c>
      <c r="AJ25" s="17">
        <v>-0.548307094795353</v>
      </c>
      <c r="AK25" s="17">
        <v>0.44156127532799205</v>
      </c>
      <c r="AM25" s="17">
        <v>-0.16097611947025228</v>
      </c>
      <c r="AN25" s="17">
        <v>3.1159152947214188E-2</v>
      </c>
      <c r="AO25" s="17">
        <v>-0.14846187254639689</v>
      </c>
      <c r="AP25" s="17">
        <v>4.3264518565078777E-2</v>
      </c>
      <c r="AQ25" s="17">
        <v>2.4640388044616268E-2</v>
      </c>
      <c r="AR25" s="17">
        <v>-0.20277125436736029</v>
      </c>
      <c r="AS25" s="17">
        <v>-0.13809302834851675</v>
      </c>
      <c r="AT25" s="17">
        <v>-0.17687378691587427</v>
      </c>
      <c r="AU25" s="17">
        <v>0.28656037236011112</v>
      </c>
      <c r="AV25" s="17">
        <v>-0.18369252343441583</v>
      </c>
      <c r="AW25" s="17">
        <v>0.30487628316044707</v>
      </c>
      <c r="AX25" s="17">
        <v>-0.19426141227152163</v>
      </c>
      <c r="AY25" s="17">
        <v>3.2795719062342688E-2</v>
      </c>
      <c r="AZ25" s="17">
        <v>7.4951987502630699E-2</v>
      </c>
      <c r="BA25" s="17">
        <v>-0.4437126604509446</v>
      </c>
      <c r="BB25" s="17">
        <v>-0.34859730959383256</v>
      </c>
      <c r="BC25" s="17">
        <v>6.0227594234933325E-2</v>
      </c>
      <c r="BD25" s="17">
        <v>5.4143888486714802E-2</v>
      </c>
      <c r="BE25" s="17">
        <v>-2.7714300892396355E-2</v>
      </c>
      <c r="BF25" s="17">
        <v>-0.29142403583084814</v>
      </c>
      <c r="BH25" s="17">
        <v>395.75881005550161</v>
      </c>
      <c r="BI25" s="17">
        <v>-388.58503980277749</v>
      </c>
      <c r="BK25" s="20">
        <v>0.16026504899148417</v>
      </c>
      <c r="BL25" s="20">
        <v>0.83982764801394538</v>
      </c>
      <c r="BN25" s="21">
        <f t="shared" si="2"/>
        <v>1</v>
      </c>
    </row>
    <row r="26" spans="1:66">
      <c r="A26" s="14">
        <v>16.649999999999999</v>
      </c>
      <c r="B26" s="14">
        <v>21.38</v>
      </c>
      <c r="C26" s="14">
        <v>110</v>
      </c>
      <c r="D26" s="14">
        <v>904.6</v>
      </c>
      <c r="E26" s="14">
        <v>0.1457</v>
      </c>
      <c r="F26" s="14">
        <v>0.1525</v>
      </c>
      <c r="G26" s="14">
        <v>9.1700000000000004E-2</v>
      </c>
      <c r="H26" s="14">
        <v>26.46</v>
      </c>
      <c r="I26" s="14">
        <v>2215</v>
      </c>
      <c r="J26" s="14">
        <v>0.20949999999999999</v>
      </c>
      <c r="M26" s="16">
        <v>1</v>
      </c>
      <c r="O26" s="12">
        <f t="shared" si="0"/>
        <v>0</v>
      </c>
      <c r="P26" s="12">
        <f t="shared" si="1"/>
        <v>1</v>
      </c>
      <c r="R26" s="17">
        <v>-0.77625566145838598</v>
      </c>
      <c r="S26" s="17">
        <v>-0.17463314509107231</v>
      </c>
      <c r="T26" s="17">
        <v>-0.31303146466438325</v>
      </c>
      <c r="U26" s="17">
        <v>0.29945473650046051</v>
      </c>
      <c r="V26" s="17">
        <v>0.62776760178787683</v>
      </c>
      <c r="W26" s="17">
        <v>-0.40981214547749567</v>
      </c>
      <c r="X26" s="17">
        <v>-0.46497743359731625</v>
      </c>
      <c r="Y26" s="17">
        <v>0.72585928515919451</v>
      </c>
      <c r="Z26" s="17">
        <v>8.6674224002031286E-2</v>
      </c>
      <c r="AA26" s="17">
        <v>-9.9880831470984255E-3</v>
      </c>
      <c r="AB26" s="17">
        <v>-0.6889872136093107</v>
      </c>
      <c r="AC26" s="17">
        <v>0.10554562399165301</v>
      </c>
      <c r="AD26" s="17">
        <v>-0.90653005578187784</v>
      </c>
      <c r="AE26" s="17">
        <v>0.87591558028099592</v>
      </c>
      <c r="AF26" s="17">
        <v>0.98482411775926515</v>
      </c>
      <c r="AG26" s="17">
        <v>0.86484629840424532</v>
      </c>
      <c r="AH26" s="17">
        <v>0.66705084032124984</v>
      </c>
      <c r="AI26" s="17">
        <v>-0.42168901332882203</v>
      </c>
      <c r="AJ26" s="17">
        <v>-0.73028272781782455</v>
      </c>
      <c r="AK26" s="17">
        <v>-0.13334994066431949</v>
      </c>
      <c r="AM26" s="17">
        <v>9.1833283668563549E-4</v>
      </c>
      <c r="AN26" s="17">
        <v>-1.4748554266396483E-4</v>
      </c>
      <c r="AO26" s="17">
        <v>-5.1032744123076772E-4</v>
      </c>
      <c r="AP26" s="17">
        <v>-2.4343704029023149E-4</v>
      </c>
      <c r="AQ26" s="17">
        <v>-8.9034506057052723E-5</v>
      </c>
      <c r="AR26" s="17">
        <v>1.1804083602002112E-3</v>
      </c>
      <c r="AS26" s="17">
        <v>7.7935196313646442E-4</v>
      </c>
      <c r="AT26" s="17">
        <v>1.1090414145328974E-3</v>
      </c>
      <c r="AU26" s="17">
        <v>-1.669370929770342E-3</v>
      </c>
      <c r="AV26" s="17">
        <v>1.1640727053446086E-3</v>
      </c>
      <c r="AW26" s="17">
        <v>-1.8624124582178746E-3</v>
      </c>
      <c r="AX26" s="17">
        <v>1.2221521522788915E-3</v>
      </c>
      <c r="AY26" s="17">
        <v>-2.3191128906938666E-4</v>
      </c>
      <c r="AZ26" s="17">
        <v>-3.8705133619461085E-4</v>
      </c>
      <c r="BA26" s="17">
        <v>2.7036867637012904E-3</v>
      </c>
      <c r="BB26" s="17">
        <v>2.1278983585801946E-3</v>
      </c>
      <c r="BC26" s="17">
        <v>-3.4320770329989499E-4</v>
      </c>
      <c r="BD26" s="17">
        <v>-3.9319988933514578E-4</v>
      </c>
      <c r="BE26" s="17">
        <v>1.4584250640715959E-4</v>
      </c>
      <c r="BF26" s="17">
        <v>1.7892160191506124E-4</v>
      </c>
      <c r="BH26" s="17">
        <v>585.87381699260732</v>
      </c>
      <c r="BI26" s="17">
        <v>-587.71886013950916</v>
      </c>
      <c r="BK26" s="20">
        <v>1.7888865084192341E-2</v>
      </c>
      <c r="BL26" s="20">
        <v>0.98215194680934337</v>
      </c>
      <c r="BN26" s="21">
        <f t="shared" si="2"/>
        <v>1</v>
      </c>
    </row>
    <row r="27" spans="1:66">
      <c r="A27" s="14">
        <v>17.14</v>
      </c>
      <c r="B27" s="14">
        <v>16.399999999999999</v>
      </c>
      <c r="C27" s="14">
        <v>116</v>
      </c>
      <c r="D27" s="14">
        <v>912.7</v>
      </c>
      <c r="E27" s="14">
        <v>0.2276</v>
      </c>
      <c r="F27" s="14">
        <v>0.22289999999999999</v>
      </c>
      <c r="G27" s="14">
        <v>0.1401</v>
      </c>
      <c r="H27" s="14">
        <v>22.25</v>
      </c>
      <c r="I27" s="14">
        <v>1461</v>
      </c>
      <c r="J27" s="14">
        <v>0.255</v>
      </c>
      <c r="M27" s="16">
        <v>1</v>
      </c>
      <c r="O27" s="12">
        <f t="shared" si="0"/>
        <v>0</v>
      </c>
      <c r="P27" s="12">
        <f t="shared" si="1"/>
        <v>1</v>
      </c>
      <c r="R27" s="17">
        <v>0.63708213350707354</v>
      </c>
      <c r="S27" s="17">
        <v>0.2936745159941001</v>
      </c>
      <c r="T27" s="17">
        <v>0.89745576865751131</v>
      </c>
      <c r="U27" s="17">
        <v>0.90971751952105295</v>
      </c>
      <c r="V27" s="17">
        <v>-0.54491159588974791</v>
      </c>
      <c r="W27" s="17">
        <v>0.15312274096745426</v>
      </c>
      <c r="X27" s="17">
        <v>-0.41855093517960862</v>
      </c>
      <c r="Y27" s="17">
        <v>-0.77951973550230491</v>
      </c>
      <c r="Z27" s="17">
        <v>-0.96383650813945776</v>
      </c>
      <c r="AA27" s="17">
        <v>0.84989340061656193</v>
      </c>
      <c r="AB27" s="17">
        <v>-0.36765925747930583</v>
      </c>
      <c r="AC27" s="17">
        <v>0.10141623696922086</v>
      </c>
      <c r="AD27" s="17">
        <v>-0.49546642288998743</v>
      </c>
      <c r="AE27" s="17">
        <v>0.4344261101065463</v>
      </c>
      <c r="AF27" s="17">
        <v>0.72758403282280781</v>
      </c>
      <c r="AG27" s="17">
        <v>0.28459412648183036</v>
      </c>
      <c r="AH27" s="17">
        <v>0.17697362507815972</v>
      </c>
      <c r="AI27" s="17">
        <v>-0.62284420770334536</v>
      </c>
      <c r="AJ27" s="17">
        <v>-0.78837532455376946</v>
      </c>
      <c r="AK27" s="17">
        <v>-0.56298056804466912</v>
      </c>
      <c r="AM27" s="17">
        <v>-1.077613042929628</v>
      </c>
      <c r="AN27" s="17">
        <v>-0.20266713721702856</v>
      </c>
      <c r="AO27" s="17">
        <v>-2.3009303673928714</v>
      </c>
      <c r="AP27" s="17">
        <v>0.24373808416070139</v>
      </c>
      <c r="AQ27" s="17">
        <v>-0.53518318477604521</v>
      </c>
      <c r="AR27" s="17">
        <v>-1.6786213543965662</v>
      </c>
      <c r="AS27" s="17">
        <v>-0.80979033672297096</v>
      </c>
      <c r="AT27" s="17">
        <v>-2.5428504044327807</v>
      </c>
      <c r="AU27" s="17">
        <v>2.3884874125816853</v>
      </c>
      <c r="AV27" s="17">
        <v>-2.8076646376614578</v>
      </c>
      <c r="AW27" s="17">
        <v>3.7141825793525256</v>
      </c>
      <c r="AX27" s="17">
        <v>-2.848339976916149</v>
      </c>
      <c r="AY27" s="17">
        <v>0.82845295566082477</v>
      </c>
      <c r="AZ27" s="17">
        <v>-4.8934186323752099E-2</v>
      </c>
      <c r="BA27" s="17">
        <v>-5.3126115704473333</v>
      </c>
      <c r="BB27" s="17">
        <v>-4.2251503879633816</v>
      </c>
      <c r="BC27" s="17">
        <v>0.39805233888422492</v>
      </c>
      <c r="BD27" s="17">
        <v>1.5080369571908365</v>
      </c>
      <c r="BE27" s="17">
        <v>-1.8943148621951074E-2</v>
      </c>
      <c r="BF27" s="17">
        <v>3.5146565209315339</v>
      </c>
      <c r="BH27" s="17">
        <v>-888.70403709240486</v>
      </c>
      <c r="BI27" s="17">
        <v>890.08698557783441</v>
      </c>
      <c r="BK27" s="20">
        <v>3.687488028805995E-2</v>
      </c>
      <c r="BL27" s="20">
        <v>0.96318175901147707</v>
      </c>
      <c r="BN27" s="21">
        <f t="shared" si="2"/>
        <v>1</v>
      </c>
    </row>
    <row r="28" spans="1:66">
      <c r="A28" s="14">
        <v>14.58</v>
      </c>
      <c r="B28" s="14">
        <v>21.53</v>
      </c>
      <c r="C28" s="14">
        <v>97.41</v>
      </c>
      <c r="D28" s="14">
        <v>644.79999999999995</v>
      </c>
      <c r="E28" s="14">
        <v>0.18679999999999999</v>
      </c>
      <c r="F28" s="14">
        <v>0.14249999999999999</v>
      </c>
      <c r="G28" s="14">
        <v>8.7830000000000005E-2</v>
      </c>
      <c r="H28" s="14">
        <v>17.62</v>
      </c>
      <c r="I28" s="14">
        <v>896.9</v>
      </c>
      <c r="J28" s="14">
        <v>0.27010000000000001</v>
      </c>
      <c r="M28" s="16">
        <v>1</v>
      </c>
      <c r="O28" s="12">
        <f t="shared" si="0"/>
        <v>0</v>
      </c>
      <c r="P28" s="12">
        <f t="shared" si="1"/>
        <v>1</v>
      </c>
      <c r="BH28" s="17">
        <v>634.56839808259451</v>
      </c>
      <c r="BI28" s="17">
        <v>-634.43706077259458</v>
      </c>
      <c r="BK28" s="20">
        <v>0.25501157168054678</v>
      </c>
      <c r="BL28" s="20">
        <v>0.74507976110371499</v>
      </c>
      <c r="BN28" s="21">
        <f t="shared" si="2"/>
        <v>1</v>
      </c>
    </row>
    <row r="29" spans="1:66">
      <c r="A29" s="14">
        <v>18.61</v>
      </c>
      <c r="B29" s="14">
        <v>20.25</v>
      </c>
      <c r="C29" s="14">
        <v>122.1</v>
      </c>
      <c r="D29" s="14">
        <v>1094</v>
      </c>
      <c r="E29" s="14">
        <v>0.1066</v>
      </c>
      <c r="F29" s="14">
        <v>0.14899999999999999</v>
      </c>
      <c r="G29" s="14">
        <v>7.7310000000000004E-2</v>
      </c>
      <c r="H29" s="14">
        <v>21.31</v>
      </c>
      <c r="I29" s="14">
        <v>1403</v>
      </c>
      <c r="J29" s="14">
        <v>0.14899999999999999</v>
      </c>
      <c r="M29" s="16">
        <v>1</v>
      </c>
      <c r="O29" s="12">
        <f t="shared" si="0"/>
        <v>0</v>
      </c>
      <c r="P29" s="12">
        <f t="shared" si="1"/>
        <v>1</v>
      </c>
      <c r="R29" s="15" t="s">
        <v>12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M29" s="15" t="s">
        <v>15</v>
      </c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H29" s="17">
        <v>69.33245692993296</v>
      </c>
      <c r="BI29" s="17">
        <v>-76.385075439003003</v>
      </c>
      <c r="BK29" s="20">
        <v>-2.1137064512218123E-2</v>
      </c>
      <c r="BL29" s="20">
        <v>1.0211609308241876</v>
      </c>
      <c r="BN29" s="21">
        <f t="shared" si="2"/>
        <v>1</v>
      </c>
    </row>
    <row r="30" spans="1:66">
      <c r="A30" s="14">
        <v>15.3</v>
      </c>
      <c r="B30" s="14">
        <v>25.27</v>
      </c>
      <c r="C30" s="14">
        <v>102.4</v>
      </c>
      <c r="D30" s="14">
        <v>732.4</v>
      </c>
      <c r="E30" s="14">
        <v>0.16969999999999999</v>
      </c>
      <c r="F30" s="14">
        <v>0.16830000000000001</v>
      </c>
      <c r="G30" s="14">
        <v>8.7510000000000004E-2</v>
      </c>
      <c r="H30" s="14">
        <v>20.27</v>
      </c>
      <c r="I30" s="14">
        <v>1269</v>
      </c>
      <c r="J30" s="14">
        <v>0.2024</v>
      </c>
      <c r="M30" s="16">
        <v>1</v>
      </c>
      <c r="O30" s="12">
        <f t="shared" si="0"/>
        <v>0</v>
      </c>
      <c r="P30" s="12">
        <f t="shared" si="1"/>
        <v>1</v>
      </c>
      <c r="R30" s="17">
        <v>0.1387180415052327</v>
      </c>
      <c r="S30" s="17">
        <v>-0.13488820797014389</v>
      </c>
      <c r="T30" s="17">
        <v>0.15036380671674854</v>
      </c>
      <c r="U30" s="17">
        <v>-0.84850399021897971</v>
      </c>
      <c r="V30" s="17">
        <v>0.33391955406379892</v>
      </c>
      <c r="W30" s="17">
        <v>0.49730024762845959</v>
      </c>
      <c r="X30" s="17">
        <v>6.5629072232297636E-2</v>
      </c>
      <c r="Y30" s="17">
        <v>0.37961231759896408</v>
      </c>
      <c r="Z30" s="17">
        <v>-0.2708655506573372</v>
      </c>
      <c r="AA30" s="17">
        <v>0.86414508461138317</v>
      </c>
      <c r="AB30" s="17">
        <v>-0.2145389131873785</v>
      </c>
      <c r="AC30" s="17">
        <v>0.6786796031942528</v>
      </c>
      <c r="AD30" s="17">
        <v>0.14157566617089801</v>
      </c>
      <c r="AE30" s="17">
        <v>0.35123080135903106</v>
      </c>
      <c r="AF30" s="17">
        <v>0.70085764615775958</v>
      </c>
      <c r="AG30" s="17">
        <v>0.36337731446055854</v>
      </c>
      <c r="AH30" s="17">
        <v>-0.80841880980721759</v>
      </c>
      <c r="AI30" s="17">
        <v>-0.78795904199366529</v>
      </c>
      <c r="AJ30" s="17">
        <v>0.64517397622388128</v>
      </c>
      <c r="AK30" s="17">
        <v>-0.7435177081981017</v>
      </c>
      <c r="AM30" s="17" cm="1">
        <f t="array" ref="AM30:BF484">TANH(MMULT(A2:J456,_xlfn.ANCHORARRAY(AM18)))</f>
        <v>-0.900318797436512</v>
      </c>
      <c r="AN30" s="17">
        <v>0.78736530904529412</v>
      </c>
      <c r="AO30" s="17">
        <v>-0.43176111602949846</v>
      </c>
      <c r="AP30" s="17">
        <v>0.44869496173977391</v>
      </c>
      <c r="AQ30" s="17">
        <v>0.91412920115192597</v>
      </c>
      <c r="AR30" s="17">
        <v>-0.84771794468755113</v>
      </c>
      <c r="AS30" s="17">
        <v>-0.90176288189013432</v>
      </c>
      <c r="AT30" s="17">
        <v>0.74202442937144497</v>
      </c>
      <c r="AU30" s="17">
        <v>0.9394019615432373</v>
      </c>
      <c r="AV30" s="17">
        <v>0.86371140888631615</v>
      </c>
      <c r="AW30" s="17">
        <v>-0.36161469900316356</v>
      </c>
      <c r="AX30" s="17">
        <v>0.8190831486178366</v>
      </c>
      <c r="AY30" s="17">
        <v>-0.69282692583580763</v>
      </c>
      <c r="AZ30" s="17">
        <v>0.93900735203192798</v>
      </c>
      <c r="BA30" s="17">
        <v>0.3584423501731635</v>
      </c>
      <c r="BB30" s="17">
        <v>0.3730870501355889</v>
      </c>
      <c r="BC30" s="17">
        <v>0.50883469973144102</v>
      </c>
      <c r="BD30" s="17">
        <v>-0.93217008928933676</v>
      </c>
      <c r="BE30" s="17">
        <v>-0.5148914026930772</v>
      </c>
      <c r="BF30" s="17">
        <v>-0.84319050735399192</v>
      </c>
      <c r="BH30" s="17">
        <v>-2005.7300708244325</v>
      </c>
      <c r="BI30" s="17">
        <v>2014.7668105282514</v>
      </c>
      <c r="BK30" s="20">
        <v>-1.567560701889658E-2</v>
      </c>
      <c r="BL30" s="20">
        <v>1.0157263858337713</v>
      </c>
      <c r="BN30" s="21">
        <f t="shared" si="2"/>
        <v>1</v>
      </c>
    </row>
    <row r="31" spans="1:66">
      <c r="A31" s="14">
        <v>17.57</v>
      </c>
      <c r="B31" s="14">
        <v>15.05</v>
      </c>
      <c r="C31" s="14">
        <v>115</v>
      </c>
      <c r="D31" s="14">
        <v>955.1</v>
      </c>
      <c r="E31" s="14">
        <v>0.1157</v>
      </c>
      <c r="F31" s="14">
        <v>9.8750000000000004E-2</v>
      </c>
      <c r="G31" s="14">
        <v>7.9530000000000003E-2</v>
      </c>
      <c r="H31" s="14">
        <v>20.010000000000002</v>
      </c>
      <c r="I31" s="14">
        <v>1227</v>
      </c>
      <c r="J31" s="14">
        <v>0.14560000000000001</v>
      </c>
      <c r="M31" s="16">
        <v>1</v>
      </c>
      <c r="O31" s="12">
        <f t="shared" si="0"/>
        <v>0</v>
      </c>
      <c r="P31" s="12">
        <f t="shared" si="1"/>
        <v>1</v>
      </c>
      <c r="R31" s="17">
        <v>-0.50278866839174108</v>
      </c>
      <c r="S31" s="17">
        <v>3.5948847822044883E-2</v>
      </c>
      <c r="T31" s="17">
        <v>-0.61791560774702203</v>
      </c>
      <c r="U31" s="17">
        <v>-0.57975702621653391</v>
      </c>
      <c r="V31" s="17">
        <v>0.55628145978646026</v>
      </c>
      <c r="W31" s="17">
        <v>-0.26261015449466529</v>
      </c>
      <c r="X31" s="17">
        <v>-0.50483710194200815</v>
      </c>
      <c r="Y31" s="17">
        <v>-0.12323425789903109</v>
      </c>
      <c r="Z31" s="17">
        <v>0.9646707833938617</v>
      </c>
      <c r="AA31" s="17">
        <v>0.21985995250631563</v>
      </c>
      <c r="AB31" s="17">
        <v>0.89043123588533901</v>
      </c>
      <c r="AC31" s="17">
        <v>6.5307439965735403E-2</v>
      </c>
      <c r="AD31" s="17">
        <v>0.18628891900168254</v>
      </c>
      <c r="AE31" s="17">
        <v>0.84682943255741705</v>
      </c>
      <c r="AF31" s="17">
        <v>-0.97379335512209364</v>
      </c>
      <c r="AG31" s="17">
        <v>-0.88697363449511801</v>
      </c>
      <c r="AH31" s="17">
        <v>-0.47566512166488084</v>
      </c>
      <c r="AI31" s="17">
        <v>-0.69883812133270684</v>
      </c>
      <c r="AJ31" s="17">
        <v>0.47607131126462465</v>
      </c>
      <c r="AK31" s="17">
        <v>-0.67374506214968521</v>
      </c>
      <c r="AM31" s="17">
        <v>-0.87321109044766243</v>
      </c>
      <c r="AN31" s="17">
        <v>0.75524562697707442</v>
      </c>
      <c r="AO31" s="17">
        <v>0.28453934128597302</v>
      </c>
      <c r="AP31" s="17">
        <v>0.41588180587525414</v>
      </c>
      <c r="AQ31" s="17">
        <v>0.89357563344747459</v>
      </c>
      <c r="AR31" s="17">
        <v>-0.81108411319715146</v>
      </c>
      <c r="AS31" s="17">
        <v>-0.8756907323579779</v>
      </c>
      <c r="AT31" s="17">
        <v>0.72312432588284747</v>
      </c>
      <c r="AU31" s="17">
        <v>0.91680651275073854</v>
      </c>
      <c r="AV31" s="17">
        <v>0.84636519190008663</v>
      </c>
      <c r="AW31" s="17">
        <v>-0.37775077065365559</v>
      </c>
      <c r="AX31" s="17">
        <v>0.80115141126640721</v>
      </c>
      <c r="AY31" s="17">
        <v>-0.66308315886654612</v>
      </c>
      <c r="AZ31" s="17">
        <v>0.92120835610533058</v>
      </c>
      <c r="BA31" s="17">
        <v>0.39243280797447205</v>
      </c>
      <c r="BB31" s="17">
        <v>0.39377498779931575</v>
      </c>
      <c r="BC31" s="17">
        <v>0.47211394966672909</v>
      </c>
      <c r="BD31" s="17">
        <v>-0.91624232287427088</v>
      </c>
      <c r="BE31" s="17">
        <v>-0.48174052624154828</v>
      </c>
      <c r="BF31" s="17">
        <v>0.36931274832048361</v>
      </c>
      <c r="BH31" s="17">
        <v>135.8541662418541</v>
      </c>
      <c r="BI31" s="17">
        <v>-95.10531173517569</v>
      </c>
      <c r="BK31" s="20">
        <v>0.52521228908000894</v>
      </c>
      <c r="BL31" s="20">
        <v>0.47491422417587903</v>
      </c>
      <c r="BN31" s="21">
        <f t="shared" si="2"/>
        <v>0</v>
      </c>
    </row>
    <row r="32" spans="1:66">
      <c r="A32" s="14">
        <v>18.63</v>
      </c>
      <c r="B32" s="14">
        <v>25.11</v>
      </c>
      <c r="C32" s="14">
        <v>124.8</v>
      </c>
      <c r="D32" s="14">
        <v>1088</v>
      </c>
      <c r="E32" s="14">
        <v>0.18870000000000001</v>
      </c>
      <c r="F32" s="14">
        <v>0.2319</v>
      </c>
      <c r="G32" s="14">
        <v>0.1244</v>
      </c>
      <c r="H32" s="14">
        <v>23.15</v>
      </c>
      <c r="I32" s="14">
        <v>1670</v>
      </c>
      <c r="J32" s="14">
        <v>0.18479999999999999</v>
      </c>
      <c r="M32" s="16">
        <v>1</v>
      </c>
      <c r="O32" s="12">
        <f t="shared" si="0"/>
        <v>0</v>
      </c>
      <c r="P32" s="12">
        <f t="shared" si="1"/>
        <v>1</v>
      </c>
      <c r="AM32" s="17">
        <v>-0.91378518479174431</v>
      </c>
      <c r="AN32" s="17">
        <v>0.78571410884618487</v>
      </c>
      <c r="AO32" s="17">
        <v>0.2472507454226488</v>
      </c>
      <c r="AP32" s="17">
        <v>0.4632103607483844</v>
      </c>
      <c r="AQ32" s="17">
        <v>0.91064466616422857</v>
      </c>
      <c r="AR32" s="17">
        <v>-0.87609801151192046</v>
      </c>
      <c r="AS32" s="17">
        <v>-0.91237945400604359</v>
      </c>
      <c r="AT32" s="17">
        <v>0.66869610742816576</v>
      </c>
      <c r="AU32" s="17">
        <v>0.95538993316502507</v>
      </c>
      <c r="AV32" s="17">
        <v>0.81702600477030096</v>
      </c>
      <c r="AW32" s="17">
        <v>-0.15579090944758983</v>
      </c>
      <c r="AX32" s="17">
        <v>0.757555717000027</v>
      </c>
      <c r="AY32" s="17">
        <v>-0.66939615401023922</v>
      </c>
      <c r="AZ32" s="17">
        <v>0.9401685818879616</v>
      </c>
      <c r="BA32" s="17">
        <v>5.6725926631524738E-2</v>
      </c>
      <c r="BB32" s="17">
        <v>0.13864854130383827</v>
      </c>
      <c r="BC32" s="17">
        <v>0.52945669362290171</v>
      </c>
      <c r="BD32" s="17">
        <v>-0.9210657298317968</v>
      </c>
      <c r="BE32" s="17">
        <v>-0.51883488855376703</v>
      </c>
      <c r="BF32" s="17">
        <v>0.28601605822477699</v>
      </c>
      <c r="BH32" s="17">
        <v>-44.967570848921987</v>
      </c>
      <c r="BI32" s="17">
        <v>45.098237403769623</v>
      </c>
      <c r="BK32" s="20">
        <v>0.27509133574603589</v>
      </c>
      <c r="BL32" s="20">
        <v>0.72499129536356555</v>
      </c>
      <c r="BN32" s="21">
        <f t="shared" si="2"/>
        <v>1</v>
      </c>
    </row>
    <row r="33" spans="1:66">
      <c r="A33" s="14">
        <v>11.84</v>
      </c>
      <c r="B33" s="14">
        <v>18.7</v>
      </c>
      <c r="C33" s="14">
        <v>77.930000000000007</v>
      </c>
      <c r="D33" s="14">
        <v>440.6</v>
      </c>
      <c r="E33" s="14">
        <v>0.15160000000000001</v>
      </c>
      <c r="F33" s="14">
        <v>0.12180000000000001</v>
      </c>
      <c r="G33" s="14">
        <v>5.1819999999999998E-2</v>
      </c>
      <c r="H33" s="14">
        <v>16.82</v>
      </c>
      <c r="I33" s="14">
        <v>888.7</v>
      </c>
      <c r="J33" s="14">
        <v>0.15459999999999999</v>
      </c>
      <c r="M33" s="16">
        <v>1</v>
      </c>
      <c r="O33" s="12">
        <f t="shared" si="0"/>
        <v>0</v>
      </c>
      <c r="P33" s="12">
        <f t="shared" si="1"/>
        <v>1</v>
      </c>
      <c r="R33" s="15" t="s">
        <v>13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M33" s="17">
        <v>-0.90499940847213733</v>
      </c>
      <c r="AN33" s="17">
        <v>0.77825993090337786</v>
      </c>
      <c r="AO33" s="17">
        <v>0.44458724445256848</v>
      </c>
      <c r="AP33" s="17">
        <v>0.45158430104817304</v>
      </c>
      <c r="AQ33" s="17">
        <v>0.90651001091141081</v>
      </c>
      <c r="AR33" s="17">
        <v>-0.86224163298603784</v>
      </c>
      <c r="AS33" s="17">
        <v>-0.90430265613719407</v>
      </c>
      <c r="AT33" s="17">
        <v>0.68225580057999657</v>
      </c>
      <c r="AU33" s="17">
        <v>0.94787405250287482</v>
      </c>
      <c r="AV33" s="17">
        <v>0.82424534588939313</v>
      </c>
      <c r="AW33" s="17">
        <v>-0.21200704061595352</v>
      </c>
      <c r="AX33" s="17">
        <v>0.768471693865867</v>
      </c>
      <c r="AY33" s="17">
        <v>-0.66746405338509762</v>
      </c>
      <c r="AZ33" s="17">
        <v>0.93582213223515853</v>
      </c>
      <c r="BA33" s="17">
        <v>0.14262786225154975</v>
      </c>
      <c r="BB33" s="17">
        <v>0.20369883930211388</v>
      </c>
      <c r="BC33" s="17">
        <v>0.51554955185374862</v>
      </c>
      <c r="BD33" s="17">
        <v>-0.91969630607216979</v>
      </c>
      <c r="BE33" s="17">
        <v>-0.50961275302686437</v>
      </c>
      <c r="BF33" s="17">
        <v>-0.86742546443220481</v>
      </c>
      <c r="BH33" s="17">
        <v>477.14935429318132</v>
      </c>
      <c r="BI33" s="17">
        <v>-477.53399163229858</v>
      </c>
      <c r="BK33" s="20">
        <v>-3.8605206262157847E-2</v>
      </c>
      <c r="BL33" s="20">
        <v>1.0386309431751273</v>
      </c>
      <c r="BN33" s="21">
        <f t="shared" si="2"/>
        <v>1</v>
      </c>
    </row>
    <row r="34" spans="1:66">
      <c r="A34" s="14">
        <v>17.02</v>
      </c>
      <c r="B34" s="14">
        <v>23.98</v>
      </c>
      <c r="C34" s="14">
        <v>112.8</v>
      </c>
      <c r="D34" s="14">
        <v>899.3</v>
      </c>
      <c r="E34" s="14">
        <v>0.14960000000000001</v>
      </c>
      <c r="F34" s="14">
        <v>0.2417</v>
      </c>
      <c r="G34" s="14">
        <v>0.1203</v>
      </c>
      <c r="H34" s="14">
        <v>20.88</v>
      </c>
      <c r="I34" s="14">
        <v>1344</v>
      </c>
      <c r="J34" s="14">
        <v>0.1847</v>
      </c>
      <c r="M34" s="16">
        <v>1</v>
      </c>
      <c r="O34" s="12">
        <f t="shared" si="0"/>
        <v>0</v>
      </c>
      <c r="P34" s="12">
        <f t="shared" si="1"/>
        <v>1</v>
      </c>
      <c r="R34" s="17" cm="1">
        <f t="array" ref="R34:AK488">TANH(MMULT(A2:J456,R18:AK27))+TANH(MMULT(O2:P456,R30:AK31))</f>
        <v>-1.4643074708783446</v>
      </c>
      <c r="S34" s="17">
        <v>1.0359333700219733</v>
      </c>
      <c r="T34" s="17">
        <v>-1.5496750869862126</v>
      </c>
      <c r="U34" s="17">
        <v>0.47751119115197871</v>
      </c>
      <c r="V34" s="17">
        <v>1.5052132201123889</v>
      </c>
      <c r="W34" s="17">
        <v>-1.2567352733816861</v>
      </c>
      <c r="X34" s="17">
        <v>-1.4659127711484521</v>
      </c>
      <c r="Y34" s="17">
        <v>0.877385815472147</v>
      </c>
      <c r="Z34" s="17">
        <v>1.7463530467411736</v>
      </c>
      <c r="AA34" s="17">
        <v>1.2163845753889837</v>
      </c>
      <c r="AB34" s="17">
        <v>-0.28839333793737798</v>
      </c>
      <c r="AC34" s="17">
        <v>1.0652147513376473</v>
      </c>
      <c r="AD34" s="17">
        <v>-0.81583654438301023</v>
      </c>
      <c r="AE34" s="17">
        <v>1.6894094608623824</v>
      </c>
      <c r="AF34" s="17">
        <v>0.2496334827590041</v>
      </c>
      <c r="AG34" s="17">
        <v>0.29010426800531797</v>
      </c>
      <c r="AH34" s="17">
        <v>0.55723475600471262</v>
      </c>
      <c r="AI34" s="17">
        <v>-1.603629768829455</v>
      </c>
      <c r="AJ34" s="17">
        <v>-0.55690825498325469</v>
      </c>
      <c r="AK34" s="17">
        <v>-1.5874379826198148</v>
      </c>
      <c r="AM34" s="17">
        <v>-0.85585750778508474</v>
      </c>
      <c r="AN34" s="17">
        <v>0.73916173507290572</v>
      </c>
      <c r="AO34" s="17">
        <v>0.6061117584298612</v>
      </c>
      <c r="AP34" s="17">
        <v>0.39830672221979624</v>
      </c>
      <c r="AQ34" s="17">
        <v>0.88306549923844635</v>
      </c>
      <c r="AR34" s="17">
        <v>-0.78627004912176135</v>
      </c>
      <c r="AS34" s="17">
        <v>-0.85952516918501176</v>
      </c>
      <c r="AT34" s="17">
        <v>0.72275717049766186</v>
      </c>
      <c r="AU34" s="17">
        <v>0.90006905842328733</v>
      </c>
      <c r="AV34" s="17">
        <v>0.84345510603096219</v>
      </c>
      <c r="AW34" s="17">
        <v>-0.40840546668922378</v>
      </c>
      <c r="AX34" s="17">
        <v>0.79972707118407449</v>
      </c>
      <c r="AY34" s="17">
        <v>-0.65161182439098897</v>
      </c>
      <c r="AZ34" s="17">
        <v>0.9111025702450799</v>
      </c>
      <c r="BA34" s="17">
        <v>0.44035575995361875</v>
      </c>
      <c r="BB34" s="17">
        <v>0.42922017325070982</v>
      </c>
      <c r="BC34" s="17">
        <v>0.45164181009324533</v>
      </c>
      <c r="BD34" s="17">
        <v>-0.90936818445049206</v>
      </c>
      <c r="BE34" s="17">
        <v>-0.46529147136033838</v>
      </c>
      <c r="BF34" s="17">
        <v>0.73969543154635697</v>
      </c>
      <c r="BH34" s="17">
        <v>4301.8418628820828</v>
      </c>
      <c r="BI34" s="17">
        <v>-4317.3654503874623</v>
      </c>
      <c r="BK34" s="20">
        <v>-4.6564028050638973E-2</v>
      </c>
      <c r="BL34" s="20">
        <v>1.0465202701098024</v>
      </c>
      <c r="BN34" s="21">
        <f t="shared" si="2"/>
        <v>1</v>
      </c>
    </row>
    <row r="35" spans="1:66">
      <c r="A35" s="14">
        <v>19.27</v>
      </c>
      <c r="B35" s="14">
        <v>26.47</v>
      </c>
      <c r="C35" s="14">
        <v>127.9</v>
      </c>
      <c r="D35" s="14">
        <v>1162</v>
      </c>
      <c r="E35" s="14">
        <v>0.1719</v>
      </c>
      <c r="F35" s="14">
        <v>0.16569999999999999</v>
      </c>
      <c r="G35" s="14">
        <v>7.5929999999999997E-2</v>
      </c>
      <c r="H35" s="14">
        <v>24.15</v>
      </c>
      <c r="I35" s="14">
        <v>1813</v>
      </c>
      <c r="J35" s="14">
        <v>0.17849999999999999</v>
      </c>
      <c r="M35" s="16">
        <v>1</v>
      </c>
      <c r="O35" s="12">
        <f t="shared" si="0"/>
        <v>0</v>
      </c>
      <c r="P35" s="12">
        <f t="shared" si="1"/>
        <v>1</v>
      </c>
      <c r="R35" s="17">
        <v>-1.4643074708783446</v>
      </c>
      <c r="S35" s="17">
        <v>1.0359333700219733</v>
      </c>
      <c r="T35" s="17">
        <v>0.4503249130137873</v>
      </c>
      <c r="U35" s="17">
        <v>0.47751119115197871</v>
      </c>
      <c r="V35" s="17">
        <v>1.5052132201123889</v>
      </c>
      <c r="W35" s="17">
        <v>-1.2567352733816861</v>
      </c>
      <c r="X35" s="17">
        <v>-1.4659127711484521</v>
      </c>
      <c r="Y35" s="17">
        <v>0.877385815472147</v>
      </c>
      <c r="Z35" s="17">
        <v>1.7463530467411736</v>
      </c>
      <c r="AA35" s="17">
        <v>1.2163845753889837</v>
      </c>
      <c r="AB35" s="17">
        <v>-0.28839333793737798</v>
      </c>
      <c r="AC35" s="17">
        <v>1.0652147513376473</v>
      </c>
      <c r="AD35" s="17">
        <v>-0.81583654438301023</v>
      </c>
      <c r="AE35" s="17">
        <v>1.6894094608623824</v>
      </c>
      <c r="AF35" s="17">
        <v>0.2496334827590041</v>
      </c>
      <c r="AG35" s="17">
        <v>0.29010426800531797</v>
      </c>
      <c r="AH35" s="17">
        <v>0.55723475600471262</v>
      </c>
      <c r="AI35" s="17">
        <v>-1.603629768829455</v>
      </c>
      <c r="AJ35" s="17">
        <v>-0.55690825498325469</v>
      </c>
      <c r="AK35" s="17">
        <v>0.41256201738018505</v>
      </c>
      <c r="AM35" s="17">
        <v>-0.84192877604438376</v>
      </c>
      <c r="AN35" s="17">
        <v>0.74217108961915723</v>
      </c>
      <c r="AO35" s="17">
        <v>0.48888032298460854</v>
      </c>
      <c r="AP35" s="17">
        <v>0.38851324303436019</v>
      </c>
      <c r="AQ35" s="17">
        <v>0.88742487081927257</v>
      </c>
      <c r="AR35" s="17">
        <v>-0.75564932242887939</v>
      </c>
      <c r="AS35" s="17">
        <v>-0.84920013283181994</v>
      </c>
      <c r="AT35" s="17">
        <v>0.7707376204467149</v>
      </c>
      <c r="AU35" s="17">
        <v>0.87757349798062323</v>
      </c>
      <c r="AV35" s="17">
        <v>0.87466268415710524</v>
      </c>
      <c r="AW35" s="17">
        <v>-0.5331923097033705</v>
      </c>
      <c r="AX35" s="17">
        <v>0.83950573503862502</v>
      </c>
      <c r="AY35" s="17">
        <v>-0.67092695961433024</v>
      </c>
      <c r="AZ35" s="17">
        <v>0.91086930104485908</v>
      </c>
      <c r="BA35" s="17">
        <v>0.60636503006422904</v>
      </c>
      <c r="BB35" s="17">
        <v>0.56629590958217113</v>
      </c>
      <c r="BC35" s="17">
        <v>0.43682396328115541</v>
      </c>
      <c r="BD35" s="17">
        <v>-0.91955087000056568</v>
      </c>
      <c r="BE35" s="17">
        <v>-0.4637409722389258</v>
      </c>
      <c r="BF35" s="17">
        <v>-0.44902976464875549</v>
      </c>
      <c r="BH35" s="17">
        <v>-2382.456769562119</v>
      </c>
      <c r="BI35" s="17">
        <v>2372.3520457069731</v>
      </c>
      <c r="BK35" s="20">
        <v>2.3484078940488297E-2</v>
      </c>
      <c r="BL35" s="20">
        <v>0.9765576582945914</v>
      </c>
      <c r="BN35" s="21">
        <f t="shared" si="2"/>
        <v>1</v>
      </c>
    </row>
    <row r="36" spans="1:66">
      <c r="A36" s="14">
        <v>16.13</v>
      </c>
      <c r="B36" s="14">
        <v>17.88</v>
      </c>
      <c r="C36" s="14">
        <v>107</v>
      </c>
      <c r="D36" s="14">
        <v>807.2</v>
      </c>
      <c r="E36" s="14">
        <v>0.15590000000000001</v>
      </c>
      <c r="F36" s="14">
        <v>0.13539999999999999</v>
      </c>
      <c r="G36" s="14">
        <v>7.7520000000000006E-2</v>
      </c>
      <c r="H36" s="14">
        <v>20.21</v>
      </c>
      <c r="I36" s="14">
        <v>1261</v>
      </c>
      <c r="J36" s="14">
        <v>0.18640000000000001</v>
      </c>
      <c r="M36" s="16">
        <v>1</v>
      </c>
      <c r="O36" s="12">
        <f t="shared" si="0"/>
        <v>0</v>
      </c>
      <c r="P36" s="12">
        <f t="shared" si="1"/>
        <v>1</v>
      </c>
      <c r="R36" s="17">
        <v>-1.4643074708783446</v>
      </c>
      <c r="S36" s="17">
        <v>1.0359333700219733</v>
      </c>
      <c r="T36" s="17">
        <v>0.4503249130137873</v>
      </c>
      <c r="U36" s="17">
        <v>0.47751119115197871</v>
      </c>
      <c r="V36" s="17">
        <v>1.5052132201123889</v>
      </c>
      <c r="W36" s="17">
        <v>-1.2567352733816861</v>
      </c>
      <c r="X36" s="17">
        <v>-1.4659127711484521</v>
      </c>
      <c r="Y36" s="17">
        <v>0.877385815472147</v>
      </c>
      <c r="Z36" s="17">
        <v>1.7463530467411736</v>
      </c>
      <c r="AA36" s="17">
        <v>1.2163845753889837</v>
      </c>
      <c r="AB36" s="17">
        <v>-0.28839333793737798</v>
      </c>
      <c r="AC36" s="17">
        <v>1.0652147513376473</v>
      </c>
      <c r="AD36" s="17">
        <v>-0.81583654438301023</v>
      </c>
      <c r="AE36" s="17">
        <v>1.6894094608623824</v>
      </c>
      <c r="AF36" s="17">
        <v>0.2496334827590041</v>
      </c>
      <c r="AG36" s="17">
        <v>0.29010426800531797</v>
      </c>
      <c r="AH36" s="17">
        <v>0.55723475600471262</v>
      </c>
      <c r="AI36" s="17">
        <v>-1.603629768829455</v>
      </c>
      <c r="AJ36" s="17">
        <v>-0.55690825498325469</v>
      </c>
      <c r="AK36" s="17">
        <v>0.41256201738018505</v>
      </c>
      <c r="AM36" s="17">
        <v>-0.89053083555554102</v>
      </c>
      <c r="AN36" s="17">
        <v>0.76741525509254938</v>
      </c>
      <c r="AO36" s="17">
        <v>0.19348997458680067</v>
      </c>
      <c r="AP36" s="17">
        <v>0.43433092046893873</v>
      </c>
      <c r="AQ36" s="17">
        <v>0.90051114290740797</v>
      </c>
      <c r="AR36" s="17">
        <v>-0.83896763495624205</v>
      </c>
      <c r="AS36" s="17">
        <v>-0.89121249711512895</v>
      </c>
      <c r="AT36" s="17">
        <v>0.70348712855903062</v>
      </c>
      <c r="AU36" s="17">
        <v>0.93436544984988623</v>
      </c>
      <c r="AV36" s="17">
        <v>0.83586191513590036</v>
      </c>
      <c r="AW36" s="17">
        <v>-0.29677035013069258</v>
      </c>
      <c r="AX36" s="17">
        <v>0.78557389431713165</v>
      </c>
      <c r="AY36" s="17">
        <v>-0.66565570522888928</v>
      </c>
      <c r="AZ36" s="17">
        <v>0.92910864381507963</v>
      </c>
      <c r="BA36" s="17">
        <v>0.27145492921757514</v>
      </c>
      <c r="BB36" s="17">
        <v>0.30130602787645583</v>
      </c>
      <c r="BC36" s="17">
        <v>0.49462005912960272</v>
      </c>
      <c r="BD36" s="17">
        <v>-0.91819874068362051</v>
      </c>
      <c r="BE36" s="17">
        <v>-0.49623147607149748</v>
      </c>
      <c r="BF36" s="17">
        <v>0.21939111686576845</v>
      </c>
      <c r="BH36" s="17">
        <v>-447.9013712638677</v>
      </c>
      <c r="BI36" s="17">
        <v>464.74688900683861</v>
      </c>
      <c r="BK36" s="20">
        <v>-0.11064726880876337</v>
      </c>
      <c r="BL36" s="20">
        <v>1.1104079766911354</v>
      </c>
      <c r="BN36" s="21">
        <f t="shared" si="2"/>
        <v>1</v>
      </c>
    </row>
    <row r="37" spans="1:66">
      <c r="A37" s="14">
        <v>16.739999999999998</v>
      </c>
      <c r="B37" s="14">
        <v>21.59</v>
      </c>
      <c r="C37" s="14">
        <v>110.1</v>
      </c>
      <c r="D37" s="14">
        <v>869.5</v>
      </c>
      <c r="E37" s="14">
        <v>0.1336</v>
      </c>
      <c r="F37" s="14">
        <v>0.1348</v>
      </c>
      <c r="G37" s="14">
        <v>6.0179999999999997E-2</v>
      </c>
      <c r="H37" s="14">
        <v>20.010000000000002</v>
      </c>
      <c r="I37" s="14">
        <v>1229</v>
      </c>
      <c r="J37" s="14">
        <v>0.18129999999999999</v>
      </c>
      <c r="M37" s="16">
        <v>1</v>
      </c>
      <c r="O37" s="12">
        <f t="shared" si="0"/>
        <v>0</v>
      </c>
      <c r="P37" s="12">
        <f t="shared" si="1"/>
        <v>1</v>
      </c>
      <c r="R37" s="17">
        <v>-1.4643074708783446</v>
      </c>
      <c r="S37" s="17">
        <v>1.0359333700219733</v>
      </c>
      <c r="T37" s="17">
        <v>0.4503249130137873</v>
      </c>
      <c r="U37" s="17">
        <v>0.47751119115197871</v>
      </c>
      <c r="V37" s="17">
        <v>1.5052132201123889</v>
      </c>
      <c r="W37" s="17">
        <v>-1.2567352733816861</v>
      </c>
      <c r="X37" s="17">
        <v>-1.4659127711484521</v>
      </c>
      <c r="Y37" s="17">
        <v>0.877385815472147</v>
      </c>
      <c r="Z37" s="17">
        <v>1.7463530467411736</v>
      </c>
      <c r="AA37" s="17">
        <v>1.2163845753889837</v>
      </c>
      <c r="AB37" s="17">
        <v>-0.28839333793737798</v>
      </c>
      <c r="AC37" s="17">
        <v>1.0652147513376473</v>
      </c>
      <c r="AD37" s="17">
        <v>-0.81583654438301023</v>
      </c>
      <c r="AE37" s="17">
        <v>1.6894094608623824</v>
      </c>
      <c r="AF37" s="17">
        <v>0.2496334827590041</v>
      </c>
      <c r="AG37" s="17">
        <v>0.29010426800531797</v>
      </c>
      <c r="AH37" s="17">
        <v>0.55723475600471262</v>
      </c>
      <c r="AI37" s="17">
        <v>-1.603629768829455</v>
      </c>
      <c r="AJ37" s="17">
        <v>-0.55690825498325469</v>
      </c>
      <c r="AK37" s="17">
        <v>-1.5874377834793731</v>
      </c>
      <c r="AM37" s="17">
        <v>-0.85109078451929565</v>
      </c>
      <c r="AN37" s="17">
        <v>0.76073340174443282</v>
      </c>
      <c r="AO37" s="17">
        <v>0.55004783898751808</v>
      </c>
      <c r="AP37" s="17">
        <v>0.39928624938829371</v>
      </c>
      <c r="AQ37" s="17">
        <v>0.90082722972591556</v>
      </c>
      <c r="AR37" s="17">
        <v>-0.76087717659134202</v>
      </c>
      <c r="AS37" s="17">
        <v>-0.85943071435335672</v>
      </c>
      <c r="AT37" s="17">
        <v>0.80295637604681436</v>
      </c>
      <c r="AU37" s="17">
        <v>0.8811881950257332</v>
      </c>
      <c r="AV37" s="17">
        <v>0.89674624800187941</v>
      </c>
      <c r="AW37" s="17">
        <v>-0.59246205928691753</v>
      </c>
      <c r="AX37" s="17">
        <v>0.86615517921467056</v>
      </c>
      <c r="AY37" s="17">
        <v>-0.69611986851127972</v>
      </c>
      <c r="AZ37" s="17">
        <v>0.92112485176054881</v>
      </c>
      <c r="BA37" s="17">
        <v>0.67579558875297108</v>
      </c>
      <c r="BB37" s="17">
        <v>0.62881118730525598</v>
      </c>
      <c r="BC37" s="17">
        <v>0.44692462583238152</v>
      </c>
      <c r="BD37" s="17">
        <v>-0.93242256951807712</v>
      </c>
      <c r="BE37" s="17">
        <v>-0.47953295126752371</v>
      </c>
      <c r="BF37" s="17">
        <v>-0.37604242396679827</v>
      </c>
      <c r="BH37" s="17">
        <v>-4.6615214369201831E-2</v>
      </c>
      <c r="BI37" s="17">
        <v>4.6599084684802498E-2</v>
      </c>
      <c r="BK37" s="20">
        <v>0.78999908923655782</v>
      </c>
      <c r="BL37" s="20">
        <v>0.20988727301474519</v>
      </c>
      <c r="BN37" s="21">
        <f t="shared" si="2"/>
        <v>0</v>
      </c>
    </row>
    <row r="38" spans="1:66">
      <c r="A38" s="14">
        <v>14.25</v>
      </c>
      <c r="B38" s="14">
        <v>21.72</v>
      </c>
      <c r="C38" s="14">
        <v>93.63</v>
      </c>
      <c r="D38" s="14">
        <v>633</v>
      </c>
      <c r="E38" s="14">
        <v>0.10979999999999999</v>
      </c>
      <c r="F38" s="14">
        <v>0.13189999999999999</v>
      </c>
      <c r="G38" s="14">
        <v>5.5980000000000002E-2</v>
      </c>
      <c r="H38" s="14">
        <v>15.89</v>
      </c>
      <c r="I38" s="14">
        <v>799.6</v>
      </c>
      <c r="J38" s="14">
        <v>0.1447</v>
      </c>
      <c r="M38" s="16">
        <v>1</v>
      </c>
      <c r="O38" s="12">
        <f t="shared" si="0"/>
        <v>0</v>
      </c>
      <c r="P38" s="12">
        <f t="shared" si="1"/>
        <v>1</v>
      </c>
      <c r="R38" s="17">
        <v>-1.4643074708783446</v>
      </c>
      <c r="S38" s="17">
        <v>1.0359333700219733</v>
      </c>
      <c r="T38" s="17">
        <v>0.4503249130137873</v>
      </c>
      <c r="U38" s="17">
        <v>0.47751119115197871</v>
      </c>
      <c r="V38" s="17">
        <v>1.5052132201123889</v>
      </c>
      <c r="W38" s="17">
        <v>-1.2567352733816861</v>
      </c>
      <c r="X38" s="17">
        <v>-1.4659127711484521</v>
      </c>
      <c r="Y38" s="17">
        <v>0.877385815472147</v>
      </c>
      <c r="Z38" s="17">
        <v>1.7463530467411736</v>
      </c>
      <c r="AA38" s="17">
        <v>1.2163845753889837</v>
      </c>
      <c r="AB38" s="17">
        <v>-0.28839333793737798</v>
      </c>
      <c r="AC38" s="17">
        <v>1.0652147513376473</v>
      </c>
      <c r="AD38" s="17">
        <v>-0.81583654438301023</v>
      </c>
      <c r="AE38" s="17">
        <v>1.6894094608623824</v>
      </c>
      <c r="AF38" s="17">
        <v>0.2496334827590041</v>
      </c>
      <c r="AG38" s="17">
        <v>0.29010426800531797</v>
      </c>
      <c r="AH38" s="17">
        <v>0.55723475600471262</v>
      </c>
      <c r="AI38" s="17">
        <v>-1.603629768829455</v>
      </c>
      <c r="AJ38" s="17">
        <v>-0.55690825498325469</v>
      </c>
      <c r="AK38" s="17">
        <v>0.41256201738018505</v>
      </c>
      <c r="AM38" s="17">
        <v>-0.86661004538156816</v>
      </c>
      <c r="AN38" s="17">
        <v>0.75524109079243396</v>
      </c>
      <c r="AO38" s="17">
        <v>0.49085448786490898</v>
      </c>
      <c r="AP38" s="17">
        <v>0.41031714741505659</v>
      </c>
      <c r="AQ38" s="17">
        <v>0.8945331016836664</v>
      </c>
      <c r="AR38" s="17">
        <v>-0.7975726045120719</v>
      </c>
      <c r="AS38" s="17">
        <v>-0.870504320937589</v>
      </c>
      <c r="AT38" s="17">
        <v>0.74486001934064716</v>
      </c>
      <c r="AU38" s="17">
        <v>0.90770143963188676</v>
      </c>
      <c r="AV38" s="17">
        <v>0.86024531434269502</v>
      </c>
      <c r="AW38" s="17">
        <v>-0.4383368602858923</v>
      </c>
      <c r="AX38" s="17">
        <v>0.81917588431395905</v>
      </c>
      <c r="AY38" s="17">
        <v>-0.67046577680947028</v>
      </c>
      <c r="AZ38" s="17">
        <v>0.92035370210069345</v>
      </c>
      <c r="BA38" s="17">
        <v>0.47719624358019741</v>
      </c>
      <c r="BB38" s="17">
        <v>0.46144953311586068</v>
      </c>
      <c r="BC38" s="17">
        <v>0.46423609916831421</v>
      </c>
      <c r="BD38" s="17">
        <v>-0.9199698915413832</v>
      </c>
      <c r="BE38" s="17">
        <v>-0.47978064083481808</v>
      </c>
      <c r="BF38" s="17">
        <v>-0.13091852996137746</v>
      </c>
      <c r="BK38" s="20">
        <v>1.0322118761830608</v>
      </c>
      <c r="BL38" s="20">
        <v>-3.2223279400538672E-2</v>
      </c>
      <c r="BN38" s="21">
        <f t="shared" si="2"/>
        <v>0</v>
      </c>
    </row>
    <row r="39" spans="1:66">
      <c r="A39" s="14">
        <v>13.03</v>
      </c>
      <c r="B39" s="14">
        <v>18.420000000000002</v>
      </c>
      <c r="C39" s="14">
        <v>82.61</v>
      </c>
      <c r="D39" s="14">
        <v>523.79999999999995</v>
      </c>
      <c r="E39" s="14">
        <v>3.7659999999999999E-2</v>
      </c>
      <c r="F39" s="14">
        <v>2.562E-2</v>
      </c>
      <c r="G39" s="14">
        <v>2.9229999999999999E-2</v>
      </c>
      <c r="H39" s="14">
        <v>13.3</v>
      </c>
      <c r="I39" s="14">
        <v>545.9</v>
      </c>
      <c r="J39" s="14">
        <v>5.0130000000000001E-2</v>
      </c>
      <c r="M39" s="16">
        <v>0</v>
      </c>
      <c r="O39" s="12">
        <f t="shared" si="0"/>
        <v>1</v>
      </c>
      <c r="P39" s="12">
        <f t="shared" si="1"/>
        <v>0</v>
      </c>
      <c r="R39" s="17">
        <v>-1.4643074708783446</v>
      </c>
      <c r="S39" s="17">
        <v>1.0359333700219733</v>
      </c>
      <c r="T39" s="17">
        <v>0.4503249130137873</v>
      </c>
      <c r="U39" s="17">
        <v>0.47751119115197871</v>
      </c>
      <c r="V39" s="17">
        <v>1.5052132201123889</v>
      </c>
      <c r="W39" s="17">
        <v>-1.2567352733816861</v>
      </c>
      <c r="X39" s="17">
        <v>-1.4659127711484521</v>
      </c>
      <c r="Y39" s="17">
        <v>0.877385815472147</v>
      </c>
      <c r="Z39" s="17">
        <v>1.7463530467411736</v>
      </c>
      <c r="AA39" s="17">
        <v>1.2163845753889837</v>
      </c>
      <c r="AB39" s="17">
        <v>-0.28839333793737798</v>
      </c>
      <c r="AC39" s="17">
        <v>1.0652147513376473</v>
      </c>
      <c r="AD39" s="17">
        <v>-0.81583654438301023</v>
      </c>
      <c r="AE39" s="17">
        <v>1.6894094608623824</v>
      </c>
      <c r="AF39" s="17">
        <v>0.2496334827590041</v>
      </c>
      <c r="AG39" s="17">
        <v>0.29010426800531797</v>
      </c>
      <c r="AH39" s="17">
        <v>0.55723475600471262</v>
      </c>
      <c r="AI39" s="17">
        <v>-1.603629768829455</v>
      </c>
      <c r="AJ39" s="17">
        <v>-0.55690825498325469</v>
      </c>
      <c r="AK39" s="17">
        <v>-1.5874379748294341</v>
      </c>
      <c r="AM39" s="17">
        <v>-0.86784752168144286</v>
      </c>
      <c r="AN39" s="17">
        <v>0.77040231871803644</v>
      </c>
      <c r="AO39" s="17">
        <v>0.55485770765602405</v>
      </c>
      <c r="AP39" s="17">
        <v>0.41469937214293429</v>
      </c>
      <c r="AQ39" s="17">
        <v>0.90605424889128683</v>
      </c>
      <c r="AR39" s="17">
        <v>-0.78969315158842956</v>
      </c>
      <c r="AS39" s="17">
        <v>-0.87388364948716168</v>
      </c>
      <c r="AT39" s="17">
        <v>0.79039373678842861</v>
      </c>
      <c r="AU39" s="17">
        <v>0.90199738302487398</v>
      </c>
      <c r="AV39" s="17">
        <v>0.89044352137049587</v>
      </c>
      <c r="AW39" s="17">
        <v>-0.54015088392615118</v>
      </c>
      <c r="AX39" s="17">
        <v>0.85679714479251157</v>
      </c>
      <c r="AY39" s="17">
        <v>-0.69772190161841652</v>
      </c>
      <c r="AZ39" s="17">
        <v>0.92760320666223883</v>
      </c>
      <c r="BA39" s="17">
        <v>0.60858908337805895</v>
      </c>
      <c r="BB39" s="17">
        <v>0.57216417750711424</v>
      </c>
      <c r="BC39" s="17">
        <v>0.46604443682562341</v>
      </c>
      <c r="BD39" s="17">
        <v>-0.93357187672054098</v>
      </c>
      <c r="BE39" s="17">
        <v>-0.49136637373923259</v>
      </c>
      <c r="BF39" s="17">
        <v>-0.63853510887629983</v>
      </c>
      <c r="BK39" s="20">
        <v>0.92948831459520853</v>
      </c>
      <c r="BL39" s="20">
        <v>7.0929865668155456E-2</v>
      </c>
      <c r="BN39" s="21">
        <f t="shared" si="2"/>
        <v>0</v>
      </c>
    </row>
    <row r="40" spans="1:66">
      <c r="A40" s="14">
        <v>14.99</v>
      </c>
      <c r="B40" s="14">
        <v>25.2</v>
      </c>
      <c r="C40" s="14">
        <v>95.54</v>
      </c>
      <c r="D40" s="14">
        <v>698.8</v>
      </c>
      <c r="E40" s="14">
        <v>5.1310000000000001E-2</v>
      </c>
      <c r="F40" s="14">
        <v>2.3980000000000001E-2</v>
      </c>
      <c r="G40" s="14">
        <v>2.8989999999999998E-2</v>
      </c>
      <c r="H40" s="14">
        <v>14.99</v>
      </c>
      <c r="I40" s="14">
        <v>698.8</v>
      </c>
      <c r="J40" s="14">
        <v>2.8989999999999998E-2</v>
      </c>
      <c r="M40" s="16">
        <v>1</v>
      </c>
      <c r="O40" s="12">
        <f t="shared" si="0"/>
        <v>0</v>
      </c>
      <c r="P40" s="12">
        <f t="shared" si="1"/>
        <v>1</v>
      </c>
      <c r="R40" s="17">
        <v>-1.4643074708783446</v>
      </c>
      <c r="S40" s="17">
        <v>1.0359333700219733</v>
      </c>
      <c r="T40" s="17">
        <v>0.4503249130137873</v>
      </c>
      <c r="U40" s="17">
        <v>0.47751119115197871</v>
      </c>
      <c r="V40" s="17">
        <v>1.5052132201123889</v>
      </c>
      <c r="W40" s="17">
        <v>-1.2567352733816861</v>
      </c>
      <c r="X40" s="17">
        <v>-1.4659127711484521</v>
      </c>
      <c r="Y40" s="17">
        <v>0.877385815472147</v>
      </c>
      <c r="Z40" s="17">
        <v>1.7463530467411736</v>
      </c>
      <c r="AA40" s="17">
        <v>1.2163845753889837</v>
      </c>
      <c r="AB40" s="17">
        <v>-0.28839333793737798</v>
      </c>
      <c r="AC40" s="17">
        <v>1.0652147513376473</v>
      </c>
      <c r="AD40" s="17">
        <v>-0.81583654438301023</v>
      </c>
      <c r="AE40" s="17">
        <v>1.6894094608623824</v>
      </c>
      <c r="AF40" s="17">
        <v>0.2496334827590041</v>
      </c>
      <c r="AG40" s="17">
        <v>0.29010426800531797</v>
      </c>
      <c r="AH40" s="17">
        <v>0.55723475600471262</v>
      </c>
      <c r="AI40" s="17">
        <v>-1.603629768829455</v>
      </c>
      <c r="AJ40" s="17">
        <v>-0.55690825498325469</v>
      </c>
      <c r="AK40" s="17">
        <v>0.41256201738018505</v>
      </c>
      <c r="AM40" s="17">
        <v>-0.84116676588986772</v>
      </c>
      <c r="AN40" s="17">
        <v>0.76523924284273148</v>
      </c>
      <c r="AO40" s="17">
        <v>0.63229614279437241</v>
      </c>
      <c r="AP40" s="17">
        <v>0.39301851698546098</v>
      </c>
      <c r="AQ40" s="17">
        <v>0.90534964903361448</v>
      </c>
      <c r="AR40" s="17">
        <v>-0.73548328693016851</v>
      </c>
      <c r="AS40" s="17">
        <v>-0.85273031742866834</v>
      </c>
      <c r="AT40" s="17">
        <v>0.83464540751946437</v>
      </c>
      <c r="AU40" s="17">
        <v>0.86141037401888532</v>
      </c>
      <c r="AV40" s="17">
        <v>0.91583472548767797</v>
      </c>
      <c r="AW40" s="17">
        <v>-0.67454457107775079</v>
      </c>
      <c r="AX40" s="17">
        <v>0.89078173907131153</v>
      </c>
      <c r="AY40" s="17">
        <v>-0.71279082822788542</v>
      </c>
      <c r="AZ40" s="17">
        <v>0.92221251337547305</v>
      </c>
      <c r="BA40" s="17">
        <v>0.76888974402484755</v>
      </c>
      <c r="BB40" s="17">
        <v>0.71426501635682615</v>
      </c>
      <c r="BC40" s="17">
        <v>0.43657740036098769</v>
      </c>
      <c r="BD40" s="17">
        <v>-0.93990849331691917</v>
      </c>
      <c r="BE40" s="17">
        <v>-0.48037298894188074</v>
      </c>
      <c r="BF40" s="17">
        <v>0.14591527813655233</v>
      </c>
      <c r="BK40" s="20">
        <v>2.294101831556275E-2</v>
      </c>
      <c r="BL40" s="20">
        <v>0.97709199530479063</v>
      </c>
      <c r="BN40" s="21">
        <f t="shared" si="2"/>
        <v>1</v>
      </c>
    </row>
    <row r="41" spans="1:66">
      <c r="A41" s="14">
        <v>13.48</v>
      </c>
      <c r="B41" s="14">
        <v>20.82</v>
      </c>
      <c r="C41" s="14">
        <v>88.4</v>
      </c>
      <c r="D41" s="14">
        <v>559.20000000000005</v>
      </c>
      <c r="E41" s="14">
        <v>0.1255</v>
      </c>
      <c r="F41" s="14">
        <v>0.10630000000000001</v>
      </c>
      <c r="G41" s="14">
        <v>5.4390000000000001E-2</v>
      </c>
      <c r="H41" s="14">
        <v>15.53</v>
      </c>
      <c r="I41" s="14">
        <v>740.4</v>
      </c>
      <c r="J41" s="14">
        <v>0.2258</v>
      </c>
      <c r="M41" s="16">
        <v>1</v>
      </c>
      <c r="O41" s="12">
        <f t="shared" si="0"/>
        <v>0</v>
      </c>
      <c r="P41" s="12">
        <f t="shared" si="1"/>
        <v>1</v>
      </c>
      <c r="R41" s="17">
        <v>-1.4643074708783446</v>
      </c>
      <c r="S41" s="17">
        <v>1.0359333700219733</v>
      </c>
      <c r="T41" s="17">
        <v>0.4503249130137873</v>
      </c>
      <c r="U41" s="17">
        <v>0.47751119115197871</v>
      </c>
      <c r="V41" s="17">
        <v>1.5052132201123889</v>
      </c>
      <c r="W41" s="17">
        <v>-1.2567352733816861</v>
      </c>
      <c r="X41" s="17">
        <v>-1.4659127711484521</v>
      </c>
      <c r="Y41" s="17">
        <v>0.877385815472147</v>
      </c>
      <c r="Z41" s="17">
        <v>1.7463530467411736</v>
      </c>
      <c r="AA41" s="17">
        <v>1.2163845753889837</v>
      </c>
      <c r="AB41" s="17">
        <v>-0.28839333793737798</v>
      </c>
      <c r="AC41" s="17">
        <v>1.0652147513376473</v>
      </c>
      <c r="AD41" s="17">
        <v>-0.81583654438301023</v>
      </c>
      <c r="AE41" s="17">
        <v>1.6894094608623824</v>
      </c>
      <c r="AF41" s="17">
        <v>0.2496334827590041</v>
      </c>
      <c r="AG41" s="17">
        <v>0.29010426800531797</v>
      </c>
      <c r="AH41" s="17">
        <v>0.55723475600471262</v>
      </c>
      <c r="AI41" s="17">
        <v>-1.603629768829455</v>
      </c>
      <c r="AJ41" s="17">
        <v>-0.55690825498325469</v>
      </c>
      <c r="AK41" s="17">
        <v>-1.5436602801638846</v>
      </c>
      <c r="AM41" s="17">
        <v>-0.87464671421238915</v>
      </c>
      <c r="AN41" s="17">
        <v>0.76067189792280865</v>
      </c>
      <c r="AO41" s="17">
        <v>0.23585411326222938</v>
      </c>
      <c r="AP41" s="17">
        <v>0.41829788409027058</v>
      </c>
      <c r="AQ41" s="17">
        <v>0.89765899984946351</v>
      </c>
      <c r="AR41" s="17">
        <v>-0.81060870874188817</v>
      </c>
      <c r="AS41" s="17">
        <v>-0.87764418658547871</v>
      </c>
      <c r="AT41" s="17">
        <v>0.73784705013414487</v>
      </c>
      <c r="AU41" s="17">
        <v>0.91642003235179992</v>
      </c>
      <c r="AV41" s="17">
        <v>0.85666714180353476</v>
      </c>
      <c r="AW41" s="17">
        <v>-0.40784833114009544</v>
      </c>
      <c r="AX41" s="17">
        <v>0.81375970496924421</v>
      </c>
      <c r="AY41" s="17">
        <v>-0.67190023470417659</v>
      </c>
      <c r="AZ41" s="17">
        <v>0.92393687749916098</v>
      </c>
      <c r="BA41" s="17">
        <v>0.43322400744296119</v>
      </c>
      <c r="BB41" s="17">
        <v>0.42710346109415309</v>
      </c>
      <c r="BC41" s="17">
        <v>0.47399075259490764</v>
      </c>
      <c r="BD41" s="17">
        <v>-0.92095823407864374</v>
      </c>
      <c r="BE41" s="17">
        <v>-0.48613284806758356</v>
      </c>
      <c r="BF41" s="17">
        <v>-0.17697932207112679</v>
      </c>
      <c r="BK41" s="20">
        <v>1.7281600808004977E-5</v>
      </c>
      <c r="BL41" s="20">
        <v>0.99999083042631898</v>
      </c>
      <c r="BN41" s="21">
        <f t="shared" si="2"/>
        <v>1</v>
      </c>
    </row>
    <row r="42" spans="1:66">
      <c r="A42" s="14">
        <v>13.44</v>
      </c>
      <c r="B42" s="14">
        <v>21.58</v>
      </c>
      <c r="C42" s="14">
        <v>86.18</v>
      </c>
      <c r="D42" s="14">
        <v>563</v>
      </c>
      <c r="E42" s="14">
        <v>6.0310000000000002E-2</v>
      </c>
      <c r="F42" s="14">
        <v>3.1099999999999999E-2</v>
      </c>
      <c r="G42" s="14">
        <v>2.0310000000000002E-2</v>
      </c>
      <c r="H42" s="14">
        <v>15.93</v>
      </c>
      <c r="I42" s="14">
        <v>787.9</v>
      </c>
      <c r="J42" s="14">
        <v>0.11119999999999999</v>
      </c>
      <c r="M42" s="16">
        <v>1</v>
      </c>
      <c r="O42" s="12">
        <f t="shared" si="0"/>
        <v>0</v>
      </c>
      <c r="P42" s="12">
        <f t="shared" si="1"/>
        <v>1</v>
      </c>
      <c r="R42" s="17">
        <v>-1.4643074708783446</v>
      </c>
      <c r="S42" s="17">
        <v>1.0359333700219733</v>
      </c>
      <c r="T42" s="17">
        <v>0.4503249130137873</v>
      </c>
      <c r="U42" s="17">
        <v>0.47751119115197871</v>
      </c>
      <c r="V42" s="17">
        <v>1.5052132201123889</v>
      </c>
      <c r="W42" s="17">
        <v>-1.2567352733816861</v>
      </c>
      <c r="X42" s="17">
        <v>-1.4659127711484521</v>
      </c>
      <c r="Y42" s="17">
        <v>0.877385815472147</v>
      </c>
      <c r="Z42" s="17">
        <v>1.7463530467411736</v>
      </c>
      <c r="AA42" s="17">
        <v>1.2163845753889837</v>
      </c>
      <c r="AB42" s="17">
        <v>-0.28839333793737798</v>
      </c>
      <c r="AC42" s="17">
        <v>1.0652147513376473</v>
      </c>
      <c r="AD42" s="17">
        <v>-0.81583654438301023</v>
      </c>
      <c r="AE42" s="17">
        <v>1.6894094608623824</v>
      </c>
      <c r="AF42" s="17">
        <v>0.2496334827590041</v>
      </c>
      <c r="AG42" s="17">
        <v>0.29010426800531797</v>
      </c>
      <c r="AH42" s="17">
        <v>0.55723475600471262</v>
      </c>
      <c r="AI42" s="17">
        <v>-1.603629768829455</v>
      </c>
      <c r="AJ42" s="17">
        <v>-0.55690825498325469</v>
      </c>
      <c r="AK42" s="17">
        <v>0.40902995965852373</v>
      </c>
      <c r="AM42" s="17">
        <v>-0.8693091928699348</v>
      </c>
      <c r="AN42" s="17">
        <v>0.76196137643229378</v>
      </c>
      <c r="AO42" s="17">
        <v>0.66687532137764072</v>
      </c>
      <c r="AP42" s="17">
        <v>0.41402879356065309</v>
      </c>
      <c r="AQ42" s="17">
        <v>0.89942195360726662</v>
      </c>
      <c r="AR42" s="17">
        <v>-0.79868857828433681</v>
      </c>
      <c r="AS42" s="17">
        <v>-0.87366764365758087</v>
      </c>
      <c r="AT42" s="17">
        <v>0.75931358477334288</v>
      </c>
      <c r="AU42" s="17">
        <v>0.90836889534725929</v>
      </c>
      <c r="AV42" s="17">
        <v>0.87032430763260471</v>
      </c>
      <c r="AW42" s="17">
        <v>-0.46622548388570267</v>
      </c>
      <c r="AX42" s="17">
        <v>0.83141850845117893</v>
      </c>
      <c r="AY42" s="17">
        <v>-0.68029477317580955</v>
      </c>
      <c r="AZ42" s="17">
        <v>0.92386502049959907</v>
      </c>
      <c r="BA42" s="17">
        <v>0.51336110762687825</v>
      </c>
      <c r="BB42" s="17">
        <v>0.49186988382039737</v>
      </c>
      <c r="BC42" s="17">
        <v>0.46757561408615333</v>
      </c>
      <c r="BD42" s="17">
        <v>-0.92510842741689059</v>
      </c>
      <c r="BE42" s="17">
        <v>-0.48548650300576668</v>
      </c>
      <c r="BF42" s="17">
        <v>0.79968621352718094</v>
      </c>
      <c r="BK42" s="20">
        <v>2.9917421370401022E-2</v>
      </c>
      <c r="BL42" s="20">
        <v>0.97011375019531343</v>
      </c>
      <c r="BN42" s="21">
        <f t="shared" si="2"/>
        <v>1</v>
      </c>
    </row>
    <row r="43" spans="1:66">
      <c r="A43" s="14">
        <v>10.95</v>
      </c>
      <c r="B43" s="14">
        <v>21.35</v>
      </c>
      <c r="C43" s="14">
        <v>71.900000000000006</v>
      </c>
      <c r="D43" s="14">
        <v>371.1</v>
      </c>
      <c r="E43" s="14">
        <v>0.12180000000000001</v>
      </c>
      <c r="F43" s="14">
        <v>0.10440000000000001</v>
      </c>
      <c r="G43" s="14">
        <v>5.6689999999999997E-2</v>
      </c>
      <c r="H43" s="14">
        <v>12.84</v>
      </c>
      <c r="I43" s="14">
        <v>514</v>
      </c>
      <c r="J43" s="14">
        <v>0.1424</v>
      </c>
      <c r="M43" s="16">
        <v>1</v>
      </c>
      <c r="O43" s="12">
        <f t="shared" si="0"/>
        <v>0</v>
      </c>
      <c r="P43" s="12">
        <f t="shared" si="1"/>
        <v>1</v>
      </c>
      <c r="R43" s="17">
        <v>-1.4643074708783446</v>
      </c>
      <c r="S43" s="17">
        <v>1.0359333700219733</v>
      </c>
      <c r="T43" s="17">
        <v>0.4503249130137873</v>
      </c>
      <c r="U43" s="17">
        <v>0.47751119115197871</v>
      </c>
      <c r="V43" s="17">
        <v>1.5052132201123889</v>
      </c>
      <c r="W43" s="17">
        <v>-1.2567352733816861</v>
      </c>
      <c r="X43" s="17">
        <v>-1.4659127711484521</v>
      </c>
      <c r="Y43" s="17">
        <v>0.877385815472147</v>
      </c>
      <c r="Z43" s="17">
        <v>1.7463530467411736</v>
      </c>
      <c r="AA43" s="17">
        <v>1.2163845753889837</v>
      </c>
      <c r="AB43" s="17">
        <v>-0.28839333793737798</v>
      </c>
      <c r="AC43" s="17">
        <v>1.0652147513376473</v>
      </c>
      <c r="AD43" s="17">
        <v>-0.81583654438301023</v>
      </c>
      <c r="AE43" s="17">
        <v>1.6894094608623824</v>
      </c>
      <c r="AF43" s="17">
        <v>0.2496334827590041</v>
      </c>
      <c r="AG43" s="17">
        <v>0.29010426800531797</v>
      </c>
      <c r="AH43" s="17">
        <v>0.55723475600471262</v>
      </c>
      <c r="AI43" s="17">
        <v>-1.603629768829455</v>
      </c>
      <c r="AJ43" s="17">
        <v>-0.55690825498325469</v>
      </c>
      <c r="AK43" s="17">
        <v>-1.5744710957525547</v>
      </c>
      <c r="AM43" s="17">
        <v>-0.81783547737070938</v>
      </c>
      <c r="AN43" s="17">
        <v>0.75373419123107888</v>
      </c>
      <c r="AO43" s="17">
        <v>0.79928718296836898</v>
      </c>
      <c r="AP43" s="17">
        <v>0.37464638738009881</v>
      </c>
      <c r="AQ43" s="17">
        <v>0.8992031371723902</v>
      </c>
      <c r="AR43" s="17">
        <v>-0.69425866872947894</v>
      </c>
      <c r="AS43" s="17">
        <v>-0.83312936918906111</v>
      </c>
      <c r="AT43" s="17">
        <v>0.84648494374834971</v>
      </c>
      <c r="AU43" s="17">
        <v>0.82743832404127005</v>
      </c>
      <c r="AV43" s="17">
        <v>0.92156833828833373</v>
      </c>
      <c r="AW43" s="17">
        <v>-0.72077422432023708</v>
      </c>
      <c r="AX43" s="17">
        <v>0.89925577778140697</v>
      </c>
      <c r="AY43" s="17">
        <v>-0.71104836952043504</v>
      </c>
      <c r="AZ43" s="17">
        <v>0.91407433749379241</v>
      </c>
      <c r="BA43" s="17">
        <v>0.81834246407968281</v>
      </c>
      <c r="BB43" s="17">
        <v>0.7614526340871195</v>
      </c>
      <c r="BC43" s="17">
        <v>0.41348821352393905</v>
      </c>
      <c r="BD43" s="17">
        <v>-0.93871232129759052</v>
      </c>
      <c r="BE43" s="17">
        <v>-0.46637824717461651</v>
      </c>
      <c r="BF43" s="17">
        <v>0.63504621306261622</v>
      </c>
      <c r="BK43" s="20">
        <v>5.0983297197123127E-2</v>
      </c>
      <c r="BL43" s="20">
        <v>0.94904303837842141</v>
      </c>
      <c r="BN43" s="21">
        <f t="shared" si="2"/>
        <v>1</v>
      </c>
    </row>
    <row r="44" spans="1:66">
      <c r="A44" s="14">
        <v>19.07</v>
      </c>
      <c r="B44" s="14">
        <v>24.81</v>
      </c>
      <c r="C44" s="14">
        <v>128.30000000000001</v>
      </c>
      <c r="D44" s="14">
        <v>1104</v>
      </c>
      <c r="E44" s="14">
        <v>0.219</v>
      </c>
      <c r="F44" s="14">
        <v>0.2107</v>
      </c>
      <c r="G44" s="14">
        <v>9.9610000000000004E-2</v>
      </c>
      <c r="H44" s="14">
        <v>24.09</v>
      </c>
      <c r="I44" s="14">
        <v>1651</v>
      </c>
      <c r="J44" s="14">
        <v>0.24929999999999999</v>
      </c>
      <c r="M44" s="16">
        <v>1</v>
      </c>
      <c r="O44" s="12">
        <f t="shared" si="0"/>
        <v>0</v>
      </c>
      <c r="P44" s="12">
        <f t="shared" si="1"/>
        <v>1</v>
      </c>
      <c r="R44" s="17">
        <v>-1.4643074708783446</v>
      </c>
      <c r="S44" s="17">
        <v>1.0359333700219733</v>
      </c>
      <c r="T44" s="17">
        <v>0.4503249130137873</v>
      </c>
      <c r="U44" s="17">
        <v>0.47751119115197871</v>
      </c>
      <c r="V44" s="17">
        <v>1.5052132201123889</v>
      </c>
      <c r="W44" s="17">
        <v>-1.2567352733816861</v>
      </c>
      <c r="X44" s="17">
        <v>-1.4659127711484521</v>
      </c>
      <c r="Y44" s="17">
        <v>0.877385815472147</v>
      </c>
      <c r="Z44" s="17">
        <v>1.7463530467411736</v>
      </c>
      <c r="AA44" s="17">
        <v>1.2163845753889837</v>
      </c>
      <c r="AB44" s="17">
        <v>-0.28839333793737798</v>
      </c>
      <c r="AC44" s="17">
        <v>1.0652147513376473</v>
      </c>
      <c r="AD44" s="17">
        <v>-0.81583654438301023</v>
      </c>
      <c r="AE44" s="17">
        <v>1.6894094608623824</v>
      </c>
      <c r="AF44" s="17">
        <v>0.2496334827590041</v>
      </c>
      <c r="AG44" s="17">
        <v>0.29010426800531797</v>
      </c>
      <c r="AH44" s="17">
        <v>0.55723475600471262</v>
      </c>
      <c r="AI44" s="17">
        <v>-1.603629768829455</v>
      </c>
      <c r="AJ44" s="17">
        <v>-0.55690825498325469</v>
      </c>
      <c r="AK44" s="17">
        <v>0.41256201738018505</v>
      </c>
      <c r="AM44" s="17">
        <v>-0.83721672897696042</v>
      </c>
      <c r="AN44" s="17">
        <v>0.75120129267958824</v>
      </c>
      <c r="AO44" s="17">
        <v>0.69001685351997399</v>
      </c>
      <c r="AP44" s="17">
        <v>0.38709493290354452</v>
      </c>
      <c r="AQ44" s="17">
        <v>0.89514576065576812</v>
      </c>
      <c r="AR44" s="17">
        <v>-0.73866032521241776</v>
      </c>
      <c r="AS44" s="17">
        <v>-0.84719506748040274</v>
      </c>
      <c r="AT44" s="17">
        <v>0.80664115780970824</v>
      </c>
      <c r="AU44" s="17">
        <v>0.86422939031910551</v>
      </c>
      <c r="AV44" s="17">
        <v>0.89784374647189802</v>
      </c>
      <c r="AW44" s="17">
        <v>-0.61719299414146644</v>
      </c>
      <c r="AX44" s="17">
        <v>0.86856922617302057</v>
      </c>
      <c r="AY44" s="17">
        <v>-0.69131874534480175</v>
      </c>
      <c r="AZ44" s="17">
        <v>0.91487438754354256</v>
      </c>
      <c r="BA44" s="17">
        <v>0.70692985805570185</v>
      </c>
      <c r="BB44" s="17">
        <v>0.65541185772779353</v>
      </c>
      <c r="BC44" s="17">
        <v>0.43221539571091189</v>
      </c>
      <c r="BD44" s="17">
        <v>-0.92980487941855616</v>
      </c>
      <c r="BE44" s="17">
        <v>-0.46903878934495685</v>
      </c>
      <c r="BF44" s="17">
        <v>0.17904645591154172</v>
      </c>
      <c r="BK44" s="20">
        <v>-3.5577768213896271E-2</v>
      </c>
      <c r="BL44" s="20">
        <v>1.0354230037184853</v>
      </c>
      <c r="BN44" s="21">
        <f t="shared" si="2"/>
        <v>1</v>
      </c>
    </row>
    <row r="45" spans="1:66">
      <c r="A45" s="14">
        <v>13.28</v>
      </c>
      <c r="B45" s="14">
        <v>20.28</v>
      </c>
      <c r="C45" s="14">
        <v>87.32</v>
      </c>
      <c r="D45" s="14">
        <v>545.20000000000005</v>
      </c>
      <c r="E45" s="14">
        <v>0.14360000000000001</v>
      </c>
      <c r="F45" s="14">
        <v>9.8470000000000002E-2</v>
      </c>
      <c r="G45" s="14">
        <v>6.1580000000000003E-2</v>
      </c>
      <c r="H45" s="14">
        <v>17.38</v>
      </c>
      <c r="I45" s="14">
        <v>907.2</v>
      </c>
      <c r="J45" s="14">
        <v>0.1492</v>
      </c>
      <c r="M45" s="16">
        <v>1</v>
      </c>
      <c r="O45" s="12">
        <f t="shared" si="0"/>
        <v>0</v>
      </c>
      <c r="P45" s="12">
        <f t="shared" si="1"/>
        <v>1</v>
      </c>
      <c r="R45" s="17">
        <v>-1.4643074708783446</v>
      </c>
      <c r="S45" s="17">
        <v>1.0359333700219733</v>
      </c>
      <c r="T45" s="17">
        <v>0.4503249130137873</v>
      </c>
      <c r="U45" s="17">
        <v>0.47751119115197871</v>
      </c>
      <c r="V45" s="17">
        <v>1.5052132201123889</v>
      </c>
      <c r="W45" s="17">
        <v>-1.2567352733816861</v>
      </c>
      <c r="X45" s="17">
        <v>-1.4659127711484521</v>
      </c>
      <c r="Y45" s="17">
        <v>0.877385815472147</v>
      </c>
      <c r="Z45" s="17">
        <v>1.7463530467411736</v>
      </c>
      <c r="AA45" s="17">
        <v>1.2163845753889837</v>
      </c>
      <c r="AB45" s="17">
        <v>-0.28839333793737798</v>
      </c>
      <c r="AC45" s="17">
        <v>1.0652147513376473</v>
      </c>
      <c r="AD45" s="17">
        <v>-0.81583654438301023</v>
      </c>
      <c r="AE45" s="17">
        <v>1.6894094608623824</v>
      </c>
      <c r="AF45" s="17">
        <v>0.2496334827590041</v>
      </c>
      <c r="AG45" s="17">
        <v>0.29010426800531797</v>
      </c>
      <c r="AH45" s="17">
        <v>0.55723475600471262</v>
      </c>
      <c r="AI45" s="17">
        <v>-1.603629768829455</v>
      </c>
      <c r="AJ45" s="17">
        <v>-0.55690825498325469</v>
      </c>
      <c r="AK45" s="17">
        <v>-1.5868230524741811</v>
      </c>
      <c r="AM45" s="17">
        <v>-0.88030996550593643</v>
      </c>
      <c r="AN45" s="17">
        <v>0.77539761074600533</v>
      </c>
      <c r="AO45" s="17">
        <v>0.50956307723935745</v>
      </c>
      <c r="AP45" s="17">
        <v>0.42658995133572541</v>
      </c>
      <c r="AQ45" s="17">
        <v>0.9081441527505888</v>
      </c>
      <c r="AR45" s="17">
        <v>-0.81288904827974717</v>
      </c>
      <c r="AS45" s="17">
        <v>-0.88431543832276638</v>
      </c>
      <c r="AT45" s="17">
        <v>0.77051907059624214</v>
      </c>
      <c r="AU45" s="17">
        <v>0.91772675928409597</v>
      </c>
      <c r="AV45" s="17">
        <v>0.8791719414567295</v>
      </c>
      <c r="AW45" s="17">
        <v>-0.47238240719285712</v>
      </c>
      <c r="AX45" s="17">
        <v>0.84129529558131422</v>
      </c>
      <c r="AY45" s="17">
        <v>-0.69383028535699942</v>
      </c>
      <c r="AZ45" s="17">
        <v>0.93134758218093994</v>
      </c>
      <c r="BA45" s="17">
        <v>0.51785311366756626</v>
      </c>
      <c r="BB45" s="17">
        <v>0.49774198989224355</v>
      </c>
      <c r="BC45" s="17">
        <v>0.48140069438128669</v>
      </c>
      <c r="BD45" s="17">
        <v>-0.9320511073417419</v>
      </c>
      <c r="BE45" s="17">
        <v>-0.49890027052366126</v>
      </c>
      <c r="BF45" s="17">
        <v>-5.0335270761299081E-2</v>
      </c>
      <c r="BK45" s="20">
        <v>3.7595824991569771E-3</v>
      </c>
      <c r="BL45" s="20">
        <v>0.9963011110678649</v>
      </c>
      <c r="BN45" s="21">
        <f t="shared" si="2"/>
        <v>1</v>
      </c>
    </row>
    <row r="46" spans="1:66">
      <c r="A46" s="14">
        <v>13.17</v>
      </c>
      <c r="B46" s="14">
        <v>21.81</v>
      </c>
      <c r="C46" s="14">
        <v>85.42</v>
      </c>
      <c r="D46" s="14">
        <v>531.5</v>
      </c>
      <c r="E46" s="14">
        <v>0.1047</v>
      </c>
      <c r="F46" s="14">
        <v>8.2589999999999997E-2</v>
      </c>
      <c r="G46" s="14">
        <v>5.2519999999999997E-2</v>
      </c>
      <c r="H46" s="14">
        <v>16.23</v>
      </c>
      <c r="I46" s="14">
        <v>740.7</v>
      </c>
      <c r="J46" s="14">
        <v>0.16070000000000001</v>
      </c>
      <c r="M46" s="16">
        <v>1</v>
      </c>
      <c r="O46" s="12">
        <f t="shared" si="0"/>
        <v>0</v>
      </c>
      <c r="P46" s="12">
        <f t="shared" si="1"/>
        <v>1</v>
      </c>
      <c r="R46" s="17">
        <v>-1.4643074708783446</v>
      </c>
      <c r="S46" s="17">
        <v>1.0359333700219733</v>
      </c>
      <c r="T46" s="17">
        <v>0.4503249130137873</v>
      </c>
      <c r="U46" s="17">
        <v>0.47751119115197871</v>
      </c>
      <c r="V46" s="17">
        <v>1.5052132201123889</v>
      </c>
      <c r="W46" s="17">
        <v>-1.2567352733816861</v>
      </c>
      <c r="X46" s="17">
        <v>-1.4659127711484521</v>
      </c>
      <c r="Y46" s="17">
        <v>0.877385815472147</v>
      </c>
      <c r="Z46" s="17">
        <v>1.7463530467411736</v>
      </c>
      <c r="AA46" s="17">
        <v>1.2163845753889837</v>
      </c>
      <c r="AB46" s="17">
        <v>-0.28839333793737798</v>
      </c>
      <c r="AC46" s="17">
        <v>1.0652147513376473</v>
      </c>
      <c r="AD46" s="17">
        <v>-0.81583654438301023</v>
      </c>
      <c r="AE46" s="17">
        <v>1.6894094608623824</v>
      </c>
      <c r="AF46" s="17">
        <v>0.2496334827590041</v>
      </c>
      <c r="AG46" s="17">
        <v>0.29010426800531797</v>
      </c>
      <c r="AH46" s="17">
        <v>0.55723475600471262</v>
      </c>
      <c r="AI46" s="17">
        <v>-1.603629768829455</v>
      </c>
      <c r="AJ46" s="17">
        <v>-0.55690825498325469</v>
      </c>
      <c r="AK46" s="17">
        <v>0.41256201738018505</v>
      </c>
      <c r="AM46" s="17">
        <v>-0.8765631626398559</v>
      </c>
      <c r="AN46" s="17">
        <v>0.75428207136959768</v>
      </c>
      <c r="AO46" s="17">
        <v>0.22756781687960193</v>
      </c>
      <c r="AP46" s="17">
        <v>0.41859279759960955</v>
      </c>
      <c r="AQ46" s="17">
        <v>0.89229200074331727</v>
      </c>
      <c r="AR46" s="17">
        <v>-0.81844870845025175</v>
      </c>
      <c r="AS46" s="17">
        <v>-0.87819992323575014</v>
      </c>
      <c r="AT46" s="17">
        <v>0.70738123313143764</v>
      </c>
      <c r="AU46" s="17">
        <v>0.92163630353899717</v>
      </c>
      <c r="AV46" s="17">
        <v>0.83598368740771645</v>
      </c>
      <c r="AW46" s="17">
        <v>-0.33637770271109912</v>
      </c>
      <c r="AX46" s="17">
        <v>0.78784844010492494</v>
      </c>
      <c r="AY46" s="17">
        <v>-0.65725962047277231</v>
      </c>
      <c r="AZ46" s="17">
        <v>0.92120105013186793</v>
      </c>
      <c r="BA46" s="17">
        <v>0.33351095904388534</v>
      </c>
      <c r="BB46" s="17">
        <v>0.34723023532514019</v>
      </c>
      <c r="BC46" s="17">
        <v>0.47621026254368404</v>
      </c>
      <c r="BD46" s="17">
        <v>-0.91318079978914812</v>
      </c>
      <c r="BE46" s="17">
        <v>-0.48207291319432788</v>
      </c>
      <c r="BF46" s="17">
        <v>-8.7143522104574642E-2</v>
      </c>
      <c r="BK46" s="20">
        <v>4.1904264302926653E-2</v>
      </c>
      <c r="BL46" s="20">
        <v>0.95811636965781144</v>
      </c>
      <c r="BN46" s="21">
        <f t="shared" si="2"/>
        <v>1</v>
      </c>
    </row>
    <row r="47" spans="1:66">
      <c r="A47" s="14">
        <v>18.649999999999999</v>
      </c>
      <c r="B47" s="14">
        <v>17.600000000000001</v>
      </c>
      <c r="C47" s="14">
        <v>123.7</v>
      </c>
      <c r="D47" s="14">
        <v>1076</v>
      </c>
      <c r="E47" s="14">
        <v>0.1686</v>
      </c>
      <c r="F47" s="14">
        <v>0.19739999999999999</v>
      </c>
      <c r="G47" s="14">
        <v>0.1009</v>
      </c>
      <c r="H47" s="14">
        <v>22.82</v>
      </c>
      <c r="I47" s="14">
        <v>1567</v>
      </c>
      <c r="J47" s="14">
        <v>0.23780000000000001</v>
      </c>
      <c r="M47" s="16">
        <v>1</v>
      </c>
      <c r="O47" s="12">
        <f t="shared" si="0"/>
        <v>0</v>
      </c>
      <c r="P47" s="12">
        <f t="shared" si="1"/>
        <v>1</v>
      </c>
      <c r="R47" s="17">
        <v>-1.4643074708783446</v>
      </c>
      <c r="S47" s="17">
        <v>1.0359333700219733</v>
      </c>
      <c r="T47" s="17">
        <v>0.4503249130137873</v>
      </c>
      <c r="U47" s="17">
        <v>0.47751119115197871</v>
      </c>
      <c r="V47" s="17">
        <v>1.5052132201123889</v>
      </c>
      <c r="W47" s="17">
        <v>-1.2567352733816861</v>
      </c>
      <c r="X47" s="17">
        <v>-1.4659127711484521</v>
      </c>
      <c r="Y47" s="17">
        <v>0.877385815472147</v>
      </c>
      <c r="Z47" s="17">
        <v>1.7463530467411736</v>
      </c>
      <c r="AA47" s="17">
        <v>1.2163845753889837</v>
      </c>
      <c r="AB47" s="17">
        <v>-0.28839333793737798</v>
      </c>
      <c r="AC47" s="17">
        <v>1.0652147513376473</v>
      </c>
      <c r="AD47" s="17">
        <v>-0.81583654438301023</v>
      </c>
      <c r="AE47" s="17">
        <v>1.6894094608623824</v>
      </c>
      <c r="AF47" s="17">
        <v>0.2496334827590041</v>
      </c>
      <c r="AG47" s="17">
        <v>0.29010426800531797</v>
      </c>
      <c r="AH47" s="17">
        <v>0.55723475600471262</v>
      </c>
      <c r="AI47" s="17">
        <v>-1.603629768829455</v>
      </c>
      <c r="AJ47" s="17">
        <v>-0.55690825498325469</v>
      </c>
      <c r="AK47" s="17">
        <v>0.41256201738018505</v>
      </c>
      <c r="AM47" s="17">
        <v>-0.90465029138093189</v>
      </c>
      <c r="AN47" s="17">
        <v>0.78792020345031766</v>
      </c>
      <c r="AO47" s="17">
        <v>0.19595502456361766</v>
      </c>
      <c r="AP47" s="17">
        <v>0.45342224890992816</v>
      </c>
      <c r="AQ47" s="17">
        <v>0.91386053355711683</v>
      </c>
      <c r="AR47" s="17">
        <v>-0.85642867608302953</v>
      </c>
      <c r="AS47" s="17">
        <v>-0.90528470055836008</v>
      </c>
      <c r="AT47" s="17">
        <v>0.72552206245655781</v>
      </c>
      <c r="AU47" s="17">
        <v>0.94447978795178378</v>
      </c>
      <c r="AV47" s="17">
        <v>0.85363337583318677</v>
      </c>
      <c r="AW47" s="17">
        <v>-0.31138069663729812</v>
      </c>
      <c r="AX47" s="17">
        <v>0.80558927836707284</v>
      </c>
      <c r="AY47" s="17">
        <v>-0.68796744205527771</v>
      </c>
      <c r="AZ47" s="17">
        <v>0.93980381310414052</v>
      </c>
      <c r="BA47" s="17">
        <v>0.28518215261794877</v>
      </c>
      <c r="BB47" s="17">
        <v>0.31615601398742377</v>
      </c>
      <c r="BC47" s="17">
        <v>0.51525250664013122</v>
      </c>
      <c r="BD47" s="17">
        <v>-0.92999117681885624</v>
      </c>
      <c r="BE47" s="17">
        <v>-0.51693254368014152</v>
      </c>
      <c r="BF47" s="17">
        <v>-0.41536956822610233</v>
      </c>
      <c r="BK47" s="20">
        <v>0.21775195892617513</v>
      </c>
      <c r="BL47" s="20">
        <v>0.78233245611851432</v>
      </c>
      <c r="BN47" s="21">
        <f t="shared" si="2"/>
        <v>1</v>
      </c>
    </row>
    <row r="48" spans="1:66">
      <c r="A48" s="14">
        <v>8.1959999999999997</v>
      </c>
      <c r="B48" s="14">
        <v>16.84</v>
      </c>
      <c r="C48" s="14">
        <v>51.71</v>
      </c>
      <c r="D48" s="14">
        <v>201.9</v>
      </c>
      <c r="E48" s="14">
        <v>5.9429999999999997E-2</v>
      </c>
      <c r="F48" s="14">
        <v>1.5879999999999998E-2</v>
      </c>
      <c r="G48" s="14">
        <v>5.9170000000000004E-3</v>
      </c>
      <c r="H48" s="14">
        <v>8.9640000000000004</v>
      </c>
      <c r="I48" s="14">
        <v>242.2</v>
      </c>
      <c r="J48" s="14">
        <v>2.564E-2</v>
      </c>
      <c r="M48" s="16">
        <v>0</v>
      </c>
      <c r="O48" s="12">
        <f t="shared" si="0"/>
        <v>1</v>
      </c>
      <c r="P48" s="12">
        <f t="shared" si="1"/>
        <v>0</v>
      </c>
      <c r="R48" s="17">
        <v>-1.4643074708783446</v>
      </c>
      <c r="S48" s="17">
        <v>1.0359333700219733</v>
      </c>
      <c r="T48" s="17">
        <v>0.4503249130137873</v>
      </c>
      <c r="U48" s="17">
        <v>0.47751119115197871</v>
      </c>
      <c r="V48" s="17">
        <v>1.5052132201123889</v>
      </c>
      <c r="W48" s="17">
        <v>-1.2567352733816861</v>
      </c>
      <c r="X48" s="17">
        <v>-1.4659127711484521</v>
      </c>
      <c r="Y48" s="17">
        <v>0.877385815472147</v>
      </c>
      <c r="Z48" s="17">
        <v>1.7463530467411736</v>
      </c>
      <c r="AA48" s="17">
        <v>1.2163845753889837</v>
      </c>
      <c r="AB48" s="17">
        <v>-0.28839333793737798</v>
      </c>
      <c r="AC48" s="17">
        <v>1.0652147513376473</v>
      </c>
      <c r="AD48" s="17">
        <v>-0.81583654438301023</v>
      </c>
      <c r="AE48" s="17">
        <v>1.6894094608623824</v>
      </c>
      <c r="AF48" s="17">
        <v>0.2496334827590041</v>
      </c>
      <c r="AG48" s="17">
        <v>0.29010426800531797</v>
      </c>
      <c r="AH48" s="17">
        <v>0.55723475600471262</v>
      </c>
      <c r="AI48" s="17">
        <v>-1.603629768829455</v>
      </c>
      <c r="AJ48" s="17">
        <v>-0.55690825498325469</v>
      </c>
      <c r="AK48" s="17">
        <v>0.41256201738018505</v>
      </c>
      <c r="AM48" s="17">
        <v>-0.90603924635417743</v>
      </c>
      <c r="AN48" s="17">
        <v>0.76331968819428064</v>
      </c>
      <c r="AO48" s="17">
        <v>-0.61230333398900605</v>
      </c>
      <c r="AP48" s="17">
        <v>0.44944774270918092</v>
      </c>
      <c r="AQ48" s="17">
        <v>0.8944767917925549</v>
      </c>
      <c r="AR48" s="17">
        <v>-0.87141406947492162</v>
      </c>
      <c r="AS48" s="17">
        <v>-0.90327313091676797</v>
      </c>
      <c r="AT48" s="17">
        <v>0.60539711684177633</v>
      </c>
      <c r="AU48" s="17">
        <v>0.95305368363553788</v>
      </c>
      <c r="AV48" s="17">
        <v>0.76895024453752414</v>
      </c>
      <c r="AW48" s="17">
        <v>-4.9930059705176034E-2</v>
      </c>
      <c r="AX48" s="17">
        <v>0.69975363938040847</v>
      </c>
      <c r="AY48" s="17">
        <v>-0.63443610749411294</v>
      </c>
      <c r="AZ48" s="17">
        <v>0.92956810632848186</v>
      </c>
      <c r="BA48" s="17">
        <v>-8.816376956036949E-2</v>
      </c>
      <c r="BB48" s="17">
        <v>1.9579541553373433E-2</v>
      </c>
      <c r="BC48" s="17">
        <v>0.5167878963463336</v>
      </c>
      <c r="BD48" s="17">
        <v>-0.90136091100095661</v>
      </c>
      <c r="BE48" s="17">
        <v>-0.49889461800898516</v>
      </c>
      <c r="BF48" s="17">
        <v>-0.20506431370573236</v>
      </c>
      <c r="BK48" s="20">
        <v>-5.8944693608809834E-3</v>
      </c>
      <c r="BL48" s="20">
        <v>1.005873528349837</v>
      </c>
      <c r="BN48" s="21">
        <f t="shared" si="2"/>
        <v>1</v>
      </c>
    </row>
    <row r="49" spans="1:66">
      <c r="A49" s="14">
        <v>13.17</v>
      </c>
      <c r="B49" s="14">
        <v>18.66</v>
      </c>
      <c r="C49" s="14">
        <v>85.98</v>
      </c>
      <c r="D49" s="14">
        <v>534.6</v>
      </c>
      <c r="E49" s="14">
        <v>0.1231</v>
      </c>
      <c r="F49" s="14">
        <v>0.1226</v>
      </c>
      <c r="G49" s="14">
        <v>7.3400000000000007E-2</v>
      </c>
      <c r="H49" s="14">
        <v>15.67</v>
      </c>
      <c r="I49" s="14">
        <v>759.4</v>
      </c>
      <c r="J49" s="14">
        <v>0.20880000000000001</v>
      </c>
      <c r="M49" s="16">
        <v>1</v>
      </c>
      <c r="O49" s="12">
        <f t="shared" si="0"/>
        <v>0</v>
      </c>
      <c r="P49" s="12">
        <f t="shared" si="1"/>
        <v>1</v>
      </c>
      <c r="R49" s="17">
        <v>-1.4643074708783446</v>
      </c>
      <c r="S49" s="17">
        <v>1.0359333700219733</v>
      </c>
      <c r="T49" s="17">
        <v>0.4503249130137873</v>
      </c>
      <c r="U49" s="17">
        <v>0.47751119115197871</v>
      </c>
      <c r="V49" s="17">
        <v>1.5052132201123889</v>
      </c>
      <c r="W49" s="17">
        <v>-1.2567352733816861</v>
      </c>
      <c r="X49" s="17">
        <v>-1.4659127711484521</v>
      </c>
      <c r="Y49" s="17">
        <v>0.877385815472147</v>
      </c>
      <c r="Z49" s="17">
        <v>1.7463530467411736</v>
      </c>
      <c r="AA49" s="17">
        <v>1.2163845753889837</v>
      </c>
      <c r="AB49" s="17">
        <v>-0.28839333793737798</v>
      </c>
      <c r="AC49" s="17">
        <v>1.0652147513376473</v>
      </c>
      <c r="AD49" s="17">
        <v>-0.81583654438301023</v>
      </c>
      <c r="AE49" s="17">
        <v>1.6894094608623824</v>
      </c>
      <c r="AF49" s="17">
        <v>0.2496334827590041</v>
      </c>
      <c r="AG49" s="17">
        <v>0.29010426800531797</v>
      </c>
      <c r="AH49" s="17">
        <v>0.55723475600471262</v>
      </c>
      <c r="AI49" s="17">
        <v>-1.603629768829455</v>
      </c>
      <c r="AJ49" s="17">
        <v>-0.55690825498325469</v>
      </c>
      <c r="AK49" s="17">
        <v>0.41256201738013254</v>
      </c>
      <c r="AM49" s="17">
        <v>-0.77903358563184588</v>
      </c>
      <c r="AN49" s="17">
        <v>0.71876732574971547</v>
      </c>
      <c r="AO49" s="17">
        <v>0.71218824659676949</v>
      </c>
      <c r="AP49" s="17">
        <v>0.34411814374203609</v>
      </c>
      <c r="AQ49" s="17">
        <v>0.87565393820611337</v>
      </c>
      <c r="AR49" s="17">
        <v>-0.64366879484998285</v>
      </c>
      <c r="AS49" s="17">
        <v>-0.79712620417850677</v>
      </c>
      <c r="AT49" s="17">
        <v>0.82669102828615249</v>
      </c>
      <c r="AU49" s="17">
        <v>0.78279081717000776</v>
      </c>
      <c r="AV49" s="17">
        <v>0.90661576710565905</v>
      </c>
      <c r="AW49" s="17">
        <v>-0.70941526245352238</v>
      </c>
      <c r="AX49" s="17">
        <v>0.88279234897046954</v>
      </c>
      <c r="AY49" s="17">
        <v>-0.67979370300690045</v>
      </c>
      <c r="AZ49" s="17">
        <v>0.89109557247266524</v>
      </c>
      <c r="BA49" s="17">
        <v>0.81119991605219544</v>
      </c>
      <c r="BB49" s="17">
        <v>0.7513351509558176</v>
      </c>
      <c r="BC49" s="17">
        <v>0.3790570504242991</v>
      </c>
      <c r="BD49" s="17">
        <v>-0.92287957621216143</v>
      </c>
      <c r="BE49" s="17">
        <v>-0.43366252287366763</v>
      </c>
      <c r="BF49" s="17">
        <v>0.39692625173079971</v>
      </c>
      <c r="BK49" s="20">
        <v>-1.727054631682795E-3</v>
      </c>
      <c r="BL49" s="20">
        <v>1.0017239068938988</v>
      </c>
      <c r="BN49" s="21">
        <f t="shared" si="2"/>
        <v>1</v>
      </c>
    </row>
    <row r="50" spans="1:66">
      <c r="A50" s="14">
        <v>12.05</v>
      </c>
      <c r="B50" s="14">
        <v>14.63</v>
      </c>
      <c r="C50" s="14">
        <v>78.040000000000006</v>
      </c>
      <c r="D50" s="14">
        <v>449.3</v>
      </c>
      <c r="E50" s="14">
        <v>9.0920000000000001E-2</v>
      </c>
      <c r="F50" s="14">
        <v>6.5920000000000006E-2</v>
      </c>
      <c r="G50" s="14">
        <v>2.7490000000000001E-2</v>
      </c>
      <c r="H50" s="14">
        <v>13.76</v>
      </c>
      <c r="I50" s="14">
        <v>582.6</v>
      </c>
      <c r="J50" s="14">
        <v>6.5479999999999997E-2</v>
      </c>
      <c r="M50" s="16">
        <v>0</v>
      </c>
      <c r="O50" s="12">
        <f t="shared" si="0"/>
        <v>1</v>
      </c>
      <c r="P50" s="12">
        <f t="shared" si="1"/>
        <v>0</v>
      </c>
      <c r="R50" s="17">
        <v>-1.4643074708783446</v>
      </c>
      <c r="S50" s="17">
        <v>1.0359333700219733</v>
      </c>
      <c r="T50" s="17">
        <v>0.4503249130137873</v>
      </c>
      <c r="U50" s="17">
        <v>0.47751119115197871</v>
      </c>
      <c r="V50" s="17">
        <v>1.5052132201123889</v>
      </c>
      <c r="W50" s="17">
        <v>-1.2567352733816861</v>
      </c>
      <c r="X50" s="17">
        <v>-1.4659127711484521</v>
      </c>
      <c r="Y50" s="17">
        <v>0.877385815472147</v>
      </c>
      <c r="Z50" s="17">
        <v>1.7463530467411736</v>
      </c>
      <c r="AA50" s="17">
        <v>1.2163845753889837</v>
      </c>
      <c r="AB50" s="17">
        <v>-0.28839333793737798</v>
      </c>
      <c r="AC50" s="17">
        <v>1.0652147513376473</v>
      </c>
      <c r="AD50" s="17">
        <v>-0.81583654438301023</v>
      </c>
      <c r="AE50" s="17">
        <v>1.6894094608623824</v>
      </c>
      <c r="AF50" s="17">
        <v>0.2496334827590041</v>
      </c>
      <c r="AG50" s="17">
        <v>0.29010426800531797</v>
      </c>
      <c r="AH50" s="17">
        <v>0.55723475600471262</v>
      </c>
      <c r="AI50" s="17">
        <v>-1.603629768829455</v>
      </c>
      <c r="AJ50" s="17">
        <v>-0.55690825498325469</v>
      </c>
      <c r="AK50" s="17">
        <v>-1.5868537309514967</v>
      </c>
      <c r="AM50" s="17">
        <v>-0.72810656821405351</v>
      </c>
      <c r="AN50" s="17">
        <v>0.71889069098687852</v>
      </c>
      <c r="AO50" s="17">
        <v>0.81894151476828203</v>
      </c>
      <c r="AP50" s="17">
        <v>0.31812927129722218</v>
      </c>
      <c r="AQ50" s="17">
        <v>0.88052916792459923</v>
      </c>
      <c r="AR50" s="17">
        <v>-0.53521350695358216</v>
      </c>
      <c r="AS50" s="17">
        <v>-0.75978814319965637</v>
      </c>
      <c r="AT50" s="17">
        <v>0.88183088234029494</v>
      </c>
      <c r="AU50" s="17">
        <v>0.67268515833323439</v>
      </c>
      <c r="AV50" s="17">
        <v>0.9392764515107862</v>
      </c>
      <c r="AW50" s="17">
        <v>-0.8348866233202441</v>
      </c>
      <c r="AX50" s="17">
        <v>0.92433933259992296</v>
      </c>
      <c r="AY50" s="17">
        <v>-0.70994619000430792</v>
      </c>
      <c r="AZ50" s="17">
        <v>0.8860325069756968</v>
      </c>
      <c r="BA50" s="17">
        <v>0.91986968983266482</v>
      </c>
      <c r="BB50" s="17">
        <v>0.87129985227013129</v>
      </c>
      <c r="BC50" s="17">
        <v>0.34081553257815267</v>
      </c>
      <c r="BD50" s="17">
        <v>-0.93693205575404881</v>
      </c>
      <c r="BE50" s="17">
        <v>-0.42470439988472602</v>
      </c>
      <c r="BF50" s="17">
        <v>0.12295653347927687</v>
      </c>
      <c r="BK50" s="20">
        <v>-2.9762133297850261E-2</v>
      </c>
      <c r="BL50" s="20">
        <v>1.029659305982692</v>
      </c>
      <c r="BN50" s="21">
        <f t="shared" si="2"/>
        <v>1</v>
      </c>
    </row>
    <row r="51" spans="1:66">
      <c r="A51" s="14">
        <v>13.49</v>
      </c>
      <c r="B51" s="14">
        <v>22.3</v>
      </c>
      <c r="C51" s="14">
        <v>86.91</v>
      </c>
      <c r="D51" s="14">
        <v>561</v>
      </c>
      <c r="E51" s="14">
        <v>7.6980000000000007E-2</v>
      </c>
      <c r="F51" s="14">
        <v>4.7509999999999997E-2</v>
      </c>
      <c r="G51" s="14">
        <v>3.3840000000000002E-2</v>
      </c>
      <c r="H51" s="14">
        <v>15.15</v>
      </c>
      <c r="I51" s="14">
        <v>698.8</v>
      </c>
      <c r="J51" s="14">
        <v>0.12820000000000001</v>
      </c>
      <c r="M51" s="16">
        <v>0</v>
      </c>
      <c r="O51" s="12">
        <f t="shared" si="0"/>
        <v>1</v>
      </c>
      <c r="P51" s="12">
        <f t="shared" si="1"/>
        <v>0</v>
      </c>
      <c r="R51" s="17">
        <v>-1.4643074708783446</v>
      </c>
      <c r="S51" s="17">
        <v>1.0359333700219733</v>
      </c>
      <c r="T51" s="17">
        <v>0.4503249130137873</v>
      </c>
      <c r="U51" s="17">
        <v>0.47751119115197871</v>
      </c>
      <c r="V51" s="17">
        <v>1.5052132201123889</v>
      </c>
      <c r="W51" s="17">
        <v>-1.2567352733816861</v>
      </c>
      <c r="X51" s="17">
        <v>-1.4659127711484521</v>
      </c>
      <c r="Y51" s="17">
        <v>0.877385815472147</v>
      </c>
      <c r="Z51" s="17">
        <v>1.7463530467411736</v>
      </c>
      <c r="AA51" s="17">
        <v>1.2163845753889837</v>
      </c>
      <c r="AB51" s="17">
        <v>-0.28839333793737798</v>
      </c>
      <c r="AC51" s="17">
        <v>1.0652147513376473</v>
      </c>
      <c r="AD51" s="17">
        <v>-0.81583654438301023</v>
      </c>
      <c r="AE51" s="17">
        <v>1.6894094608623824</v>
      </c>
      <c r="AF51" s="17">
        <v>0.2496334827590041</v>
      </c>
      <c r="AG51" s="17">
        <v>0.29010426800531797</v>
      </c>
      <c r="AH51" s="17">
        <v>0.55723475600471262</v>
      </c>
      <c r="AI51" s="17">
        <v>-1.603629768829455</v>
      </c>
      <c r="AJ51" s="17">
        <v>-0.55690825498325469</v>
      </c>
      <c r="AK51" s="17">
        <v>-1.5808006584725438</v>
      </c>
      <c r="AM51" s="17">
        <v>-0.6285548183531785</v>
      </c>
      <c r="AN51" s="17">
        <v>0.63966024167532798</v>
      </c>
      <c r="AO51" s="17">
        <v>0.76626953119788166</v>
      </c>
      <c r="AP51" s="17">
        <v>0.2610083197944229</v>
      </c>
      <c r="AQ51" s="17">
        <v>0.82082830737519863</v>
      </c>
      <c r="AR51" s="17">
        <v>-0.42262905990604765</v>
      </c>
      <c r="AS51" s="17">
        <v>-0.66697641036355337</v>
      </c>
      <c r="AT51" s="17">
        <v>0.83921493105810596</v>
      </c>
      <c r="AU51" s="17">
        <v>0.54620530839961279</v>
      </c>
      <c r="AV51" s="17">
        <v>0.90777283700087685</v>
      </c>
      <c r="AW51" s="17">
        <v>-0.80077335052490239</v>
      </c>
      <c r="AX51" s="17">
        <v>0.88986051892990781</v>
      </c>
      <c r="AY51" s="17">
        <v>-0.64069583955127729</v>
      </c>
      <c r="AZ51" s="17">
        <v>0.82330697560754862</v>
      </c>
      <c r="BA51" s="17">
        <v>0.89825825819837057</v>
      </c>
      <c r="BB51" s="17">
        <v>0.8414857333892426</v>
      </c>
      <c r="BC51" s="17">
        <v>0.27674878566998806</v>
      </c>
      <c r="BD51" s="17">
        <v>-0.89829468702912219</v>
      </c>
      <c r="BE51" s="17">
        <v>-0.35937130884415935</v>
      </c>
      <c r="BF51" s="17">
        <v>6.0969152632047698E-2</v>
      </c>
      <c r="BK51" s="20">
        <v>-8.9050944507134119E-2</v>
      </c>
      <c r="BL51" s="20">
        <v>1.0889793802032772</v>
      </c>
      <c r="BN51" s="21">
        <f t="shared" si="2"/>
        <v>1</v>
      </c>
    </row>
    <row r="52" spans="1:66">
      <c r="A52" s="14">
        <v>11.76</v>
      </c>
      <c r="B52" s="14">
        <v>21.6</v>
      </c>
      <c r="C52" s="14">
        <v>74.72</v>
      </c>
      <c r="D52" s="14">
        <v>427.9</v>
      </c>
      <c r="E52" s="14">
        <v>4.9660000000000003E-2</v>
      </c>
      <c r="F52" s="14">
        <v>1.6570000000000001E-2</v>
      </c>
      <c r="G52" s="14">
        <v>1.115E-2</v>
      </c>
      <c r="H52" s="14">
        <v>12.98</v>
      </c>
      <c r="I52" s="14">
        <v>516.5</v>
      </c>
      <c r="J52" s="14">
        <v>3.7150000000000002E-2</v>
      </c>
      <c r="M52" s="16">
        <v>0</v>
      </c>
      <c r="O52" s="12">
        <f t="shared" si="0"/>
        <v>1</v>
      </c>
      <c r="P52" s="12">
        <f t="shared" si="1"/>
        <v>0</v>
      </c>
      <c r="R52" s="17">
        <v>-1.4643074708783446</v>
      </c>
      <c r="S52" s="17">
        <v>1.0359333700219733</v>
      </c>
      <c r="T52" s="17">
        <v>-1.5496750869862126</v>
      </c>
      <c r="U52" s="17">
        <v>0.47751119115197871</v>
      </c>
      <c r="V52" s="17">
        <v>1.5052132201123889</v>
      </c>
      <c r="W52" s="17">
        <v>-1.2567352733816861</v>
      </c>
      <c r="X52" s="17">
        <v>-1.4659127711484521</v>
      </c>
      <c r="Y52" s="17">
        <v>0.877385815472147</v>
      </c>
      <c r="Z52" s="17">
        <v>1.7463530467411736</v>
      </c>
      <c r="AA52" s="17">
        <v>1.2163845753889837</v>
      </c>
      <c r="AB52" s="17">
        <v>-0.28839333793737798</v>
      </c>
      <c r="AC52" s="17">
        <v>1.0652147513376473</v>
      </c>
      <c r="AD52" s="17">
        <v>-0.81583654438301023</v>
      </c>
      <c r="AE52" s="17">
        <v>1.6894094608623824</v>
      </c>
      <c r="AF52" s="17">
        <v>0.2496334827590041</v>
      </c>
      <c r="AG52" s="17">
        <v>0.29010426800531797</v>
      </c>
      <c r="AH52" s="17">
        <v>0.55723475600471262</v>
      </c>
      <c r="AI52" s="17">
        <v>-1.603629768829455</v>
      </c>
      <c r="AJ52" s="17">
        <v>-0.55690825498325469</v>
      </c>
      <c r="AK52" s="17">
        <v>-1.5874379826198144</v>
      </c>
      <c r="AM52" s="17">
        <v>-0.86552329767206115</v>
      </c>
      <c r="AN52" s="17">
        <v>0.77185714220958956</v>
      </c>
      <c r="AO52" s="17">
        <v>0.57579832879797432</v>
      </c>
      <c r="AP52" s="17">
        <v>0.41311819909361497</v>
      </c>
      <c r="AQ52" s="17">
        <v>0.90743373727800192</v>
      </c>
      <c r="AR52" s="17">
        <v>-0.78360212005599239</v>
      </c>
      <c r="AS52" s="17">
        <v>-0.87233690760550997</v>
      </c>
      <c r="AT52" s="17">
        <v>0.80070503714572439</v>
      </c>
      <c r="AU52" s="17">
        <v>0.8976596751326904</v>
      </c>
      <c r="AV52" s="17">
        <v>0.89676113095161991</v>
      </c>
      <c r="AW52" s="17">
        <v>-0.5676275622474205</v>
      </c>
      <c r="AX52" s="17">
        <v>0.86497138439521937</v>
      </c>
      <c r="AY52" s="17">
        <v>-0.70276410565549641</v>
      </c>
      <c r="AZ52" s="17">
        <v>0.92800374110733719</v>
      </c>
      <c r="BA52" s="17">
        <v>0.64293405906434731</v>
      </c>
      <c r="BB52" s="17">
        <v>0.60168409489478714</v>
      </c>
      <c r="BC52" s="17">
        <v>0.46335737941089805</v>
      </c>
      <c r="BD52" s="17">
        <v>-0.93586711705379055</v>
      </c>
      <c r="BE52" s="17">
        <v>-0.49180474704068572</v>
      </c>
      <c r="BF52" s="17">
        <v>-0.18814500431348813</v>
      </c>
      <c r="BK52" s="20">
        <v>-1.1253301681115975E-2</v>
      </c>
      <c r="BL52" s="20">
        <v>1.0113054082777402</v>
      </c>
      <c r="BN52" s="21">
        <f t="shared" si="2"/>
        <v>1</v>
      </c>
    </row>
    <row r="53" spans="1:66">
      <c r="A53" s="14">
        <v>13.64</v>
      </c>
      <c r="B53" s="14">
        <v>16.34</v>
      </c>
      <c r="C53" s="14">
        <v>87.21</v>
      </c>
      <c r="D53" s="14">
        <v>571.79999999999995</v>
      </c>
      <c r="E53" s="14">
        <v>6.0589999999999998E-2</v>
      </c>
      <c r="F53" s="14">
        <v>1.857E-2</v>
      </c>
      <c r="G53" s="14">
        <v>1.7229999999999999E-2</v>
      </c>
      <c r="H53" s="14">
        <v>14.67</v>
      </c>
      <c r="I53" s="14">
        <v>656.7</v>
      </c>
      <c r="J53" s="14">
        <v>8.5860000000000006E-2</v>
      </c>
      <c r="M53" s="16">
        <v>0</v>
      </c>
      <c r="O53" s="12">
        <f t="shared" si="0"/>
        <v>1</v>
      </c>
      <c r="P53" s="12">
        <f t="shared" si="1"/>
        <v>0</v>
      </c>
      <c r="R53" s="17">
        <v>-0.86216493245391179</v>
      </c>
      <c r="S53" s="17">
        <v>0.86592397083683859</v>
      </c>
      <c r="T53" s="17">
        <v>1.1492407566427856</v>
      </c>
      <c r="U53" s="17">
        <v>0.30971288832147947</v>
      </c>
      <c r="V53" s="17">
        <v>1.322038261257461</v>
      </c>
      <c r="W53" s="17">
        <v>-0.54000870393571332</v>
      </c>
      <c r="X53" s="17">
        <v>-0.93446499101467595</v>
      </c>
      <c r="Y53" s="17">
        <v>1.3623707400649003</v>
      </c>
      <c r="Z53" s="17">
        <v>0.73556995189170193</v>
      </c>
      <c r="AA53" s="17">
        <v>1.6983871669386827</v>
      </c>
      <c r="AB53" s="17">
        <v>-1.2113068807979621</v>
      </c>
      <c r="AC53" s="17">
        <v>1.5906603286575782</v>
      </c>
      <c r="AD53" s="17">
        <v>-0.8593627097567913</v>
      </c>
      <c r="AE53" s="17">
        <v>1.3374666300864129</v>
      </c>
      <c r="AF53" s="17">
        <v>1.6049118769290147</v>
      </c>
      <c r="AG53" s="17">
        <v>1.3481853892245086</v>
      </c>
      <c r="AH53" s="17">
        <v>0.33128292594394448</v>
      </c>
      <c r="AI53" s="17">
        <v>-1.6572512841003593</v>
      </c>
      <c r="AJ53" s="17">
        <v>-0.4315878441673433</v>
      </c>
      <c r="AK53" s="17">
        <v>0.3687342244129862</v>
      </c>
      <c r="AM53" s="17">
        <v>-0.90567340094699722</v>
      </c>
      <c r="AN53" s="17">
        <v>0.78104480357983885</v>
      </c>
      <c r="AO53" s="17">
        <v>-0.51461470877439053</v>
      </c>
      <c r="AP53" s="17">
        <v>0.4529492916856816</v>
      </c>
      <c r="AQ53" s="17">
        <v>0.90852646470219833</v>
      </c>
      <c r="AR53" s="17">
        <v>-0.86217105587085718</v>
      </c>
      <c r="AS53" s="17">
        <v>-0.90520677440093145</v>
      </c>
      <c r="AT53" s="17">
        <v>0.69122156400352308</v>
      </c>
      <c r="AU53" s="17">
        <v>0.94780899335596547</v>
      </c>
      <c r="AV53" s="17">
        <v>0.83061805184419291</v>
      </c>
      <c r="AW53" s="17">
        <v>-0.22995947510110984</v>
      </c>
      <c r="AX53" s="17">
        <v>0.77633642464391606</v>
      </c>
      <c r="AY53" s="17">
        <v>-0.67225071548499749</v>
      </c>
      <c r="AZ53" s="17">
        <v>0.93708717686532139</v>
      </c>
      <c r="BA53" s="17">
        <v>0.16802667124676524</v>
      </c>
      <c r="BB53" s="17">
        <v>0.2239719723572762</v>
      </c>
      <c r="BC53" s="17">
        <v>0.51663358643190072</v>
      </c>
      <c r="BD53" s="17">
        <v>-0.92220330903342851</v>
      </c>
      <c r="BE53" s="17">
        <v>-0.51199776433999966</v>
      </c>
      <c r="BF53" s="17">
        <v>-0.54029092618214325</v>
      </c>
      <c r="BK53" s="20">
        <v>-1.1531810858116005E-2</v>
      </c>
      <c r="BL53" s="20">
        <v>1.0115821114358539</v>
      </c>
      <c r="BN53" s="21">
        <f t="shared" si="2"/>
        <v>1</v>
      </c>
    </row>
    <row r="54" spans="1:66">
      <c r="A54" s="14">
        <v>11.94</v>
      </c>
      <c r="B54" s="14">
        <v>18.239999999999998</v>
      </c>
      <c r="C54" s="14">
        <v>75.709999999999994</v>
      </c>
      <c r="D54" s="14">
        <v>437.6</v>
      </c>
      <c r="E54" s="14">
        <v>4.7509999999999997E-2</v>
      </c>
      <c r="F54" s="14">
        <v>1.9720000000000001E-2</v>
      </c>
      <c r="G54" s="14">
        <v>1.349E-2</v>
      </c>
      <c r="H54" s="14">
        <v>13.1</v>
      </c>
      <c r="I54" s="14">
        <v>527.20000000000005</v>
      </c>
      <c r="J54" s="14">
        <v>6.2960000000000002E-2</v>
      </c>
      <c r="M54" s="16">
        <v>0</v>
      </c>
      <c r="O54" s="12">
        <f t="shared" si="0"/>
        <v>1</v>
      </c>
      <c r="P54" s="12">
        <f t="shared" si="1"/>
        <v>0</v>
      </c>
      <c r="R54" s="17">
        <v>-0.86216493245391179</v>
      </c>
      <c r="S54" s="17">
        <v>0.86592397083683859</v>
      </c>
      <c r="T54" s="17">
        <v>1.1492407566427856</v>
      </c>
      <c r="U54" s="17">
        <v>0.30971288832147947</v>
      </c>
      <c r="V54" s="17">
        <v>1.322038261257461</v>
      </c>
      <c r="W54" s="17">
        <v>-0.54000870393571332</v>
      </c>
      <c r="X54" s="17">
        <v>-0.93446499101467595</v>
      </c>
      <c r="Y54" s="17">
        <v>1.3623707400649003</v>
      </c>
      <c r="Z54" s="17">
        <v>0.73556995189170193</v>
      </c>
      <c r="AA54" s="17">
        <v>1.6983871669386827</v>
      </c>
      <c r="AB54" s="17">
        <v>-1.2113068807979621</v>
      </c>
      <c r="AC54" s="17">
        <v>1.5906603286575782</v>
      </c>
      <c r="AD54" s="17">
        <v>-0.8593627097567913</v>
      </c>
      <c r="AE54" s="17">
        <v>1.3374666300864129</v>
      </c>
      <c r="AF54" s="17">
        <v>1.6049118769290147</v>
      </c>
      <c r="AG54" s="17">
        <v>1.3481853892245086</v>
      </c>
      <c r="AH54" s="17">
        <v>0.33128292594394448</v>
      </c>
      <c r="AI54" s="17">
        <v>-1.6572512841003593</v>
      </c>
      <c r="AJ54" s="17">
        <v>-0.4315878441673433</v>
      </c>
      <c r="AK54" s="17">
        <v>0.36873422441290638</v>
      </c>
      <c r="AM54" s="17">
        <v>-0.91999026319301158</v>
      </c>
      <c r="AN54" s="17">
        <v>0.78599891151288603</v>
      </c>
      <c r="AO54" s="17">
        <v>-0.78304629252100399</v>
      </c>
      <c r="AP54" s="17">
        <v>0.4708057086253592</v>
      </c>
      <c r="AQ54" s="17">
        <v>0.90968232524346304</v>
      </c>
      <c r="AR54" s="17">
        <v>-0.88815503191261669</v>
      </c>
      <c r="AS54" s="17">
        <v>-0.91751359170195301</v>
      </c>
      <c r="AT54" s="17">
        <v>0.63101908088141112</v>
      </c>
      <c r="AU54" s="17">
        <v>0.96164509752867799</v>
      </c>
      <c r="AV54" s="17">
        <v>0.79218074124238713</v>
      </c>
      <c r="AW54" s="17">
        <v>-5.5558075148190222E-2</v>
      </c>
      <c r="AX54" s="17">
        <v>0.72487692507453094</v>
      </c>
      <c r="AY54" s="17">
        <v>-0.6593400176295815</v>
      </c>
      <c r="AZ54" s="17">
        <v>0.94120915855608345</v>
      </c>
      <c r="BA54" s="17">
        <v>-8.9095399548064891E-2</v>
      </c>
      <c r="BB54" s="17">
        <v>2.389713709447432E-2</v>
      </c>
      <c r="BC54" s="17">
        <v>0.53980736063935786</v>
      </c>
      <c r="BD54" s="17">
        <v>-0.9160610949962873</v>
      </c>
      <c r="BE54" s="17">
        <v>-0.52171931396882587</v>
      </c>
      <c r="BF54" s="17">
        <v>-0.90408602906056879</v>
      </c>
      <c r="BK54" s="20">
        <v>0.42707897906600717</v>
      </c>
      <c r="BL54" s="20">
        <v>0.57297038434232561</v>
      </c>
      <c r="BN54" s="21">
        <f t="shared" si="2"/>
        <v>1</v>
      </c>
    </row>
    <row r="55" spans="1:66">
      <c r="A55" s="14">
        <v>18.22</v>
      </c>
      <c r="B55" s="14">
        <v>18.7</v>
      </c>
      <c r="C55" s="14">
        <v>120.3</v>
      </c>
      <c r="D55" s="14">
        <v>1033</v>
      </c>
      <c r="E55" s="14">
        <v>0.14849999999999999</v>
      </c>
      <c r="F55" s="14">
        <v>0.1772</v>
      </c>
      <c r="G55" s="14">
        <v>0.106</v>
      </c>
      <c r="H55" s="14">
        <v>20.6</v>
      </c>
      <c r="I55" s="14">
        <v>1321</v>
      </c>
      <c r="J55" s="14">
        <v>0.13250000000000001</v>
      </c>
      <c r="M55" s="16">
        <v>1</v>
      </c>
      <c r="O55" s="12">
        <f t="shared" si="0"/>
        <v>0</v>
      </c>
      <c r="P55" s="12">
        <f t="shared" si="1"/>
        <v>1</v>
      </c>
      <c r="R55" s="17">
        <v>-0.86216493245391179</v>
      </c>
      <c r="S55" s="17">
        <v>0.86592397083683859</v>
      </c>
      <c r="T55" s="17">
        <v>1.1492407566427856</v>
      </c>
      <c r="U55" s="17">
        <v>0.30971288832147947</v>
      </c>
      <c r="V55" s="17">
        <v>1.322038261257461</v>
      </c>
      <c r="W55" s="17">
        <v>-0.54000870393571332</v>
      </c>
      <c r="X55" s="17">
        <v>-0.93446499101467595</v>
      </c>
      <c r="Y55" s="17">
        <v>1.3623707400649003</v>
      </c>
      <c r="Z55" s="17">
        <v>0.73556995189170193</v>
      </c>
      <c r="AA55" s="17">
        <v>1.6983871669386827</v>
      </c>
      <c r="AB55" s="17">
        <v>-1.2113068807979621</v>
      </c>
      <c r="AC55" s="17">
        <v>1.5906603286575782</v>
      </c>
      <c r="AD55" s="17">
        <v>-0.8593627097567913</v>
      </c>
      <c r="AE55" s="17">
        <v>1.3374666300864129</v>
      </c>
      <c r="AF55" s="17">
        <v>1.6049118769290147</v>
      </c>
      <c r="AG55" s="17">
        <v>1.3481853892245086</v>
      </c>
      <c r="AH55" s="17">
        <v>0.33128292594394448</v>
      </c>
      <c r="AI55" s="17">
        <v>-1.6572512841003593</v>
      </c>
      <c r="AJ55" s="17">
        <v>-0.4315878441673433</v>
      </c>
      <c r="AK55" s="17">
        <v>-1.0694210120935839</v>
      </c>
      <c r="AM55" s="17">
        <v>-0.92056678006529002</v>
      </c>
      <c r="AN55" s="17">
        <v>0.78542604469660071</v>
      </c>
      <c r="AO55" s="17">
        <v>-5.9918653242640625E-3</v>
      </c>
      <c r="AP55" s="17">
        <v>0.47139997939182993</v>
      </c>
      <c r="AQ55" s="17">
        <v>0.90912649238872956</v>
      </c>
      <c r="AR55" s="17">
        <v>-0.88951613959684195</v>
      </c>
      <c r="AS55" s="17">
        <v>-0.91792544085072614</v>
      </c>
      <c r="AT55" s="17">
        <v>0.62405229680684937</v>
      </c>
      <c r="AU55" s="17">
        <v>0.96233482050995345</v>
      </c>
      <c r="AV55" s="17">
        <v>0.78735011529616206</v>
      </c>
      <c r="AW55" s="17">
        <v>-3.9405469437243552E-2</v>
      </c>
      <c r="AX55" s="17">
        <v>0.71868656012899579</v>
      </c>
      <c r="AY55" s="17">
        <v>-0.65703708433943475</v>
      </c>
      <c r="AZ55" s="17">
        <v>0.94106893508462308</v>
      </c>
      <c r="BA55" s="17">
        <v>-0.11192017533005121</v>
      </c>
      <c r="BB55" s="17">
        <v>5.5077908758948552E-3</v>
      </c>
      <c r="BC55" s="17">
        <v>0.54078539337701326</v>
      </c>
      <c r="BD55" s="17">
        <v>-0.91485183525248825</v>
      </c>
      <c r="BE55" s="17">
        <v>-0.52153492185662642</v>
      </c>
      <c r="BF55" s="17">
        <v>-0.30509191822334425</v>
      </c>
      <c r="BK55" s="20">
        <v>0.9887564712250273</v>
      </c>
      <c r="BL55" s="20">
        <v>1.1212781992060796E-2</v>
      </c>
      <c r="BN55" s="21">
        <f t="shared" si="2"/>
        <v>0</v>
      </c>
    </row>
    <row r="56" spans="1:66">
      <c r="A56" s="14">
        <v>15.1</v>
      </c>
      <c r="B56" s="14">
        <v>22.02</v>
      </c>
      <c r="C56" s="14">
        <v>97.26</v>
      </c>
      <c r="D56" s="14">
        <v>712.8</v>
      </c>
      <c r="E56" s="14">
        <v>7.0809999999999998E-2</v>
      </c>
      <c r="F56" s="14">
        <v>5.253E-2</v>
      </c>
      <c r="G56" s="14">
        <v>3.3340000000000002E-2</v>
      </c>
      <c r="H56" s="14">
        <v>18.100000000000001</v>
      </c>
      <c r="I56" s="14">
        <v>1030</v>
      </c>
      <c r="J56" s="14">
        <v>0.153</v>
      </c>
      <c r="M56" s="16">
        <v>1</v>
      </c>
      <c r="O56" s="12">
        <f t="shared" si="0"/>
        <v>0</v>
      </c>
      <c r="P56" s="12">
        <f t="shared" si="1"/>
        <v>1</v>
      </c>
      <c r="R56" s="17">
        <v>-1.4643074708783446</v>
      </c>
      <c r="S56" s="17">
        <v>1.0359333700219733</v>
      </c>
      <c r="T56" s="17">
        <v>0.4503249130137873</v>
      </c>
      <c r="U56" s="17">
        <v>0.47751119115197871</v>
      </c>
      <c r="V56" s="17">
        <v>1.5052132201123889</v>
      </c>
      <c r="W56" s="17">
        <v>-1.2567352733816861</v>
      </c>
      <c r="X56" s="17">
        <v>-1.4659127711484521</v>
      </c>
      <c r="Y56" s="17">
        <v>0.877385815472147</v>
      </c>
      <c r="Z56" s="17">
        <v>1.7463530467411736</v>
      </c>
      <c r="AA56" s="17">
        <v>1.2163845753889837</v>
      </c>
      <c r="AB56" s="17">
        <v>-0.28839333793737798</v>
      </c>
      <c r="AC56" s="17">
        <v>1.0652147513376473</v>
      </c>
      <c r="AD56" s="17">
        <v>-0.81583654438301023</v>
      </c>
      <c r="AE56" s="17">
        <v>1.6894094608623824</v>
      </c>
      <c r="AF56" s="17">
        <v>0.2496334827590041</v>
      </c>
      <c r="AG56" s="17">
        <v>0.29010426800531797</v>
      </c>
      <c r="AH56" s="17">
        <v>0.55723475600471262</v>
      </c>
      <c r="AI56" s="17">
        <v>-1.603629768829455</v>
      </c>
      <c r="AJ56" s="17">
        <v>-0.55690825498325469</v>
      </c>
      <c r="AK56" s="17">
        <v>0.41256201729309605</v>
      </c>
      <c r="AM56" s="17">
        <v>-0.9000727159888714</v>
      </c>
      <c r="AN56" s="17">
        <v>0.76611134690260452</v>
      </c>
      <c r="AO56" s="17">
        <v>0.38071395515357054</v>
      </c>
      <c r="AP56" s="17">
        <v>0.44364684197250953</v>
      </c>
      <c r="AQ56" s="17">
        <v>0.89785410680037436</v>
      </c>
      <c r="AR56" s="17">
        <v>-0.85861070236126336</v>
      </c>
      <c r="AS56" s="17">
        <v>-0.8987323852524034</v>
      </c>
      <c r="AT56" s="17">
        <v>0.65274880710650551</v>
      </c>
      <c r="AU56" s="17">
        <v>0.94593315637337283</v>
      </c>
      <c r="AV56" s="17">
        <v>0.80210780443905316</v>
      </c>
      <c r="AW56" s="17">
        <v>-0.16261786138786283</v>
      </c>
      <c r="AX56" s="17">
        <v>0.7419181263426915</v>
      </c>
      <c r="AY56" s="17">
        <v>-0.64960975417743727</v>
      </c>
      <c r="AZ56" s="17">
        <v>0.92988342585669315</v>
      </c>
      <c r="BA56" s="17">
        <v>7.4596480896329767E-2</v>
      </c>
      <c r="BB56" s="17">
        <v>0.14826286455803925</v>
      </c>
      <c r="BC56" s="17">
        <v>0.50798150920183993</v>
      </c>
      <c r="BD56" s="17">
        <v>-0.9098206024116644</v>
      </c>
      <c r="BE56" s="17">
        <v>-0.49866197548847108</v>
      </c>
      <c r="BF56" s="17">
        <v>0.19950390223690714</v>
      </c>
      <c r="BK56" s="20">
        <v>0.62876352678306124</v>
      </c>
      <c r="BL56" s="20">
        <v>0.37154712394344164</v>
      </c>
      <c r="BN56" s="21">
        <f t="shared" si="2"/>
        <v>0</v>
      </c>
    </row>
    <row r="57" spans="1:66">
      <c r="A57" s="14">
        <v>11.52</v>
      </c>
      <c r="B57" s="14">
        <v>18.75</v>
      </c>
      <c r="C57" s="14">
        <v>73.34</v>
      </c>
      <c r="D57" s="14">
        <v>409</v>
      </c>
      <c r="E57" s="14">
        <v>5.4730000000000001E-2</v>
      </c>
      <c r="F57" s="14">
        <v>3.0360000000000002E-2</v>
      </c>
      <c r="G57" s="14">
        <v>2.2780000000000002E-2</v>
      </c>
      <c r="H57" s="14">
        <v>12.84</v>
      </c>
      <c r="I57" s="14">
        <v>506.2</v>
      </c>
      <c r="J57" s="14">
        <v>6.3159999999999994E-2</v>
      </c>
      <c r="M57" s="16">
        <v>0</v>
      </c>
      <c r="O57" s="12">
        <f t="shared" si="0"/>
        <v>1</v>
      </c>
      <c r="P57" s="12">
        <f t="shared" si="1"/>
        <v>0</v>
      </c>
      <c r="R57" s="17">
        <v>-1.4643074708783446</v>
      </c>
      <c r="S57" s="17">
        <v>1.0359333700219733</v>
      </c>
      <c r="T57" s="17">
        <v>-1.5496750869862126</v>
      </c>
      <c r="U57" s="17">
        <v>0.47751119115197871</v>
      </c>
      <c r="V57" s="17">
        <v>1.5052132201123889</v>
      </c>
      <c r="W57" s="17">
        <v>-1.2567352733816861</v>
      </c>
      <c r="X57" s="17">
        <v>-1.4659127711484521</v>
      </c>
      <c r="Y57" s="17">
        <v>0.877385815472147</v>
      </c>
      <c r="Z57" s="17">
        <v>1.7463530467411736</v>
      </c>
      <c r="AA57" s="17">
        <v>1.2163845753889837</v>
      </c>
      <c r="AB57" s="17">
        <v>-0.28839333793737798</v>
      </c>
      <c r="AC57" s="17">
        <v>1.0652147513376473</v>
      </c>
      <c r="AD57" s="17">
        <v>-0.81583654438301023</v>
      </c>
      <c r="AE57" s="17">
        <v>1.6894094608623824</v>
      </c>
      <c r="AF57" s="17">
        <v>0.2496334827590041</v>
      </c>
      <c r="AG57" s="17">
        <v>0.29010426800531797</v>
      </c>
      <c r="AH57" s="17">
        <v>0.55723475600471262</v>
      </c>
      <c r="AI57" s="17">
        <v>-1.603629768829455</v>
      </c>
      <c r="AJ57" s="17">
        <v>-0.55690825498325469</v>
      </c>
      <c r="AK57" s="17">
        <v>-1.5874347568441225</v>
      </c>
      <c r="AM57" s="17">
        <v>-0.86710033101016348</v>
      </c>
      <c r="AN57" s="17">
        <v>0.76224083960562639</v>
      </c>
      <c r="AO57" s="17">
        <v>0.60057202550632094</v>
      </c>
      <c r="AP57" s="17">
        <v>0.4122515552404814</v>
      </c>
      <c r="AQ57" s="17">
        <v>0.8999399352001638</v>
      </c>
      <c r="AR57" s="17">
        <v>-0.7938665457905123</v>
      </c>
      <c r="AS57" s="17">
        <v>-0.87199428816634028</v>
      </c>
      <c r="AT57" s="17">
        <v>0.76674855055612468</v>
      </c>
      <c r="AU57" s="17">
        <v>0.90503959727302696</v>
      </c>
      <c r="AV57" s="17">
        <v>0.87496445365882813</v>
      </c>
      <c r="AW57" s="17">
        <v>-0.48691241198080271</v>
      </c>
      <c r="AX57" s="17">
        <v>0.83745320002330215</v>
      </c>
      <c r="AY57" s="17">
        <v>-0.68317748118885158</v>
      </c>
      <c r="AZ57" s="17">
        <v>0.92372439928570338</v>
      </c>
      <c r="BA57" s="17">
        <v>0.54109208606645443</v>
      </c>
      <c r="BB57" s="17">
        <v>0.51462803763182086</v>
      </c>
      <c r="BC57" s="17">
        <v>0.46497229202686463</v>
      </c>
      <c r="BD57" s="17">
        <v>-0.92649609518824427</v>
      </c>
      <c r="BE57" s="17">
        <v>-0.48504988900065982</v>
      </c>
      <c r="BF57" s="17">
        <v>0.4952207999472249</v>
      </c>
      <c r="BK57" s="20">
        <v>4.2458248454089242E-2</v>
      </c>
      <c r="BL57" s="20">
        <v>0.95758403329520114</v>
      </c>
      <c r="BN57" s="21">
        <f t="shared" si="2"/>
        <v>1</v>
      </c>
    </row>
    <row r="58" spans="1:66">
      <c r="A58" s="14">
        <v>19.21</v>
      </c>
      <c r="B58" s="14">
        <v>18.57</v>
      </c>
      <c r="C58" s="14">
        <v>125.5</v>
      </c>
      <c r="D58" s="14">
        <v>1152</v>
      </c>
      <c r="E58" s="14">
        <v>0.12670000000000001</v>
      </c>
      <c r="F58" s="14">
        <v>0.1323</v>
      </c>
      <c r="G58" s="14">
        <v>8.9940000000000006E-2</v>
      </c>
      <c r="H58" s="14">
        <v>26.14</v>
      </c>
      <c r="I58" s="14">
        <v>2145</v>
      </c>
      <c r="J58" s="14">
        <v>0.20910000000000001</v>
      </c>
      <c r="M58" s="16">
        <v>1</v>
      </c>
      <c r="O58" s="12">
        <f t="shared" si="0"/>
        <v>0</v>
      </c>
      <c r="P58" s="12">
        <f t="shared" si="1"/>
        <v>1</v>
      </c>
      <c r="R58" s="17">
        <v>-1.4643074708783446</v>
      </c>
      <c r="S58" s="17">
        <v>1.0359333700219733</v>
      </c>
      <c r="T58" s="17">
        <v>-1.5496750869862126</v>
      </c>
      <c r="U58" s="17">
        <v>0.47751119115197871</v>
      </c>
      <c r="V58" s="17">
        <v>1.5052132201123889</v>
      </c>
      <c r="W58" s="17">
        <v>-1.2567352733816861</v>
      </c>
      <c r="X58" s="17">
        <v>-1.4659127711484521</v>
      </c>
      <c r="Y58" s="17">
        <v>0.877385815472147</v>
      </c>
      <c r="Z58" s="17">
        <v>1.7463530467411736</v>
      </c>
      <c r="AA58" s="17">
        <v>1.2163845753889837</v>
      </c>
      <c r="AB58" s="17">
        <v>-0.28839333793737798</v>
      </c>
      <c r="AC58" s="17">
        <v>1.0652147513376473</v>
      </c>
      <c r="AD58" s="17">
        <v>-0.81583654438301023</v>
      </c>
      <c r="AE58" s="17">
        <v>1.6894094608623824</v>
      </c>
      <c r="AF58" s="17">
        <v>0.2496334827590041</v>
      </c>
      <c r="AG58" s="17">
        <v>0.29010426800531797</v>
      </c>
      <c r="AH58" s="17">
        <v>0.55723475600471262</v>
      </c>
      <c r="AI58" s="17">
        <v>-1.603629768829455</v>
      </c>
      <c r="AJ58" s="17">
        <v>-0.55690825498325469</v>
      </c>
      <c r="AK58" s="17">
        <v>-1.5874379826198148</v>
      </c>
      <c r="AM58" s="17">
        <v>-0.90805703904521906</v>
      </c>
      <c r="AN58" s="17">
        <v>0.78172879285616326</v>
      </c>
      <c r="AO58" s="17">
        <v>5.3530239106181848E-2</v>
      </c>
      <c r="AP58" s="17">
        <v>0.45573753789073124</v>
      </c>
      <c r="AQ58" s="17">
        <v>0.90863491581646993</v>
      </c>
      <c r="AR58" s="17">
        <v>-0.86661155921599475</v>
      </c>
      <c r="AS58" s="17">
        <v>-0.90722323351540146</v>
      </c>
      <c r="AT58" s="17">
        <v>0.68195631091797682</v>
      </c>
      <c r="AU58" s="17">
        <v>0.95027716884052704</v>
      </c>
      <c r="AV58" s="17">
        <v>0.82477804583717773</v>
      </c>
      <c r="AW58" s="17">
        <v>-0.20246434157861781</v>
      </c>
      <c r="AX58" s="17">
        <v>0.76852583986342016</v>
      </c>
      <c r="AY58" s="17">
        <v>-0.67006305943036171</v>
      </c>
      <c r="AZ58" s="17">
        <v>0.93770845682931425</v>
      </c>
      <c r="BA58" s="17">
        <v>0.12715185563794967</v>
      </c>
      <c r="BB58" s="17">
        <v>0.19246513881506291</v>
      </c>
      <c r="BC58" s="17">
        <v>0.52029785614763513</v>
      </c>
      <c r="BD58" s="17">
        <v>-0.92117104671262529</v>
      </c>
      <c r="BE58" s="17">
        <v>-0.51344981015021274</v>
      </c>
      <c r="BF58" s="17">
        <v>-0.33359781913078401</v>
      </c>
      <c r="BK58" s="20">
        <v>0.47391534764196619</v>
      </c>
      <c r="BL58" s="20">
        <v>0.52607577045176102</v>
      </c>
      <c r="BN58" s="21">
        <f t="shared" si="2"/>
        <v>1</v>
      </c>
    </row>
    <row r="59" spans="1:66">
      <c r="A59" s="14">
        <v>14.71</v>
      </c>
      <c r="B59" s="14">
        <v>21.59</v>
      </c>
      <c r="C59" s="14">
        <v>95.55</v>
      </c>
      <c r="D59" s="14">
        <v>656.9</v>
      </c>
      <c r="E59" s="14">
        <v>0.13650000000000001</v>
      </c>
      <c r="F59" s="14">
        <v>0.1293</v>
      </c>
      <c r="G59" s="14">
        <v>8.1229999999999997E-2</v>
      </c>
      <c r="H59" s="14">
        <v>17.87</v>
      </c>
      <c r="I59" s="14">
        <v>985.5</v>
      </c>
      <c r="J59" s="14">
        <v>0.18340000000000001</v>
      </c>
      <c r="M59" s="16">
        <v>1</v>
      </c>
      <c r="O59" s="12">
        <f t="shared" si="0"/>
        <v>0</v>
      </c>
      <c r="P59" s="12">
        <f t="shared" si="1"/>
        <v>1</v>
      </c>
      <c r="R59" s="17">
        <v>-1.4643074708783446</v>
      </c>
      <c r="S59" s="17">
        <v>1.0359333700219733</v>
      </c>
      <c r="T59" s="17">
        <v>0.4503249130137873</v>
      </c>
      <c r="U59" s="17">
        <v>0.47751119115197871</v>
      </c>
      <c r="V59" s="17">
        <v>1.5052132201123889</v>
      </c>
      <c r="W59" s="17">
        <v>-1.2567352733816861</v>
      </c>
      <c r="X59" s="17">
        <v>-1.4659127711484521</v>
      </c>
      <c r="Y59" s="17">
        <v>0.877385815472147</v>
      </c>
      <c r="Z59" s="17">
        <v>1.7463530467411736</v>
      </c>
      <c r="AA59" s="17">
        <v>1.2163845753889837</v>
      </c>
      <c r="AB59" s="17">
        <v>-0.28839333793737798</v>
      </c>
      <c r="AC59" s="17">
        <v>1.0652147513376473</v>
      </c>
      <c r="AD59" s="17">
        <v>-0.81583654438301023</v>
      </c>
      <c r="AE59" s="17">
        <v>1.6894094608623824</v>
      </c>
      <c r="AF59" s="17">
        <v>0.2496334827590041</v>
      </c>
      <c r="AG59" s="17">
        <v>0.29010426800531797</v>
      </c>
      <c r="AH59" s="17">
        <v>0.55723475600471262</v>
      </c>
      <c r="AI59" s="17">
        <v>-1.603629768829455</v>
      </c>
      <c r="AJ59" s="17">
        <v>-0.55690825498325469</v>
      </c>
      <c r="AK59" s="17">
        <v>0.41223446920872042</v>
      </c>
      <c r="AM59" s="17">
        <v>-0.84174053069572352</v>
      </c>
      <c r="AN59" s="17">
        <v>0.75478959421451763</v>
      </c>
      <c r="AO59" s="17">
        <v>0.66614318454957366</v>
      </c>
      <c r="AP59" s="17">
        <v>0.3910932261659853</v>
      </c>
      <c r="AQ59" s="17">
        <v>0.89738905804856672</v>
      </c>
      <c r="AR59" s="17">
        <v>-0.74546439518165564</v>
      </c>
      <c r="AS59" s="17">
        <v>-0.85127285303226996</v>
      </c>
      <c r="AT59" s="17">
        <v>0.80690234127200611</v>
      </c>
      <c r="AU59" s="17">
        <v>0.86949562144276915</v>
      </c>
      <c r="AV59" s="17">
        <v>0.89841129829005384</v>
      </c>
      <c r="AW59" s="17">
        <v>-0.6126121163253444</v>
      </c>
      <c r="AX59" s="17">
        <v>0.86894692658645345</v>
      </c>
      <c r="AY59" s="17">
        <v>-0.69379448424103463</v>
      </c>
      <c r="AZ59" s="17">
        <v>0.91716867753100306</v>
      </c>
      <c r="BA59" s="17">
        <v>0.70091479465898843</v>
      </c>
      <c r="BB59" s="17">
        <v>0.65041913159649967</v>
      </c>
      <c r="BC59" s="17">
        <v>0.436919019239637</v>
      </c>
      <c r="BD59" s="17">
        <v>-0.93110312903305137</v>
      </c>
      <c r="BE59" s="17">
        <v>-0.47276921454970711</v>
      </c>
      <c r="BF59" s="17">
        <v>0.48863597818360105</v>
      </c>
      <c r="BK59" s="20">
        <v>0.41776235672866002</v>
      </c>
      <c r="BL59" s="20">
        <v>0.58233350633880332</v>
      </c>
      <c r="BN59" s="21">
        <f t="shared" si="2"/>
        <v>1</v>
      </c>
    </row>
    <row r="60" spans="1:66">
      <c r="A60" s="14">
        <v>13.05</v>
      </c>
      <c r="B60" s="14">
        <v>19.309999999999999</v>
      </c>
      <c r="C60" s="14">
        <v>82.61</v>
      </c>
      <c r="D60" s="14">
        <v>527.20000000000005</v>
      </c>
      <c r="E60" s="14">
        <v>3.789E-2</v>
      </c>
      <c r="F60" s="14">
        <v>6.9200000000000002E-4</v>
      </c>
      <c r="G60" s="14">
        <v>4.1669999999999997E-3</v>
      </c>
      <c r="H60" s="14">
        <v>14.23</v>
      </c>
      <c r="I60" s="14">
        <v>624.1</v>
      </c>
      <c r="J60" s="14">
        <v>1.111E-2</v>
      </c>
      <c r="M60" s="16">
        <v>0</v>
      </c>
      <c r="O60" s="12">
        <f t="shared" si="0"/>
        <v>1</v>
      </c>
      <c r="P60" s="12">
        <f t="shared" si="1"/>
        <v>0</v>
      </c>
      <c r="R60" s="17">
        <v>-1.4643074708783446</v>
      </c>
      <c r="S60" s="17">
        <v>1.0359333700219733</v>
      </c>
      <c r="T60" s="17">
        <v>0.4503249130137873</v>
      </c>
      <c r="U60" s="17">
        <v>0.47751119115197871</v>
      </c>
      <c r="V60" s="17">
        <v>1.5052132201123889</v>
      </c>
      <c r="W60" s="17">
        <v>-1.2567352733816861</v>
      </c>
      <c r="X60" s="17">
        <v>-1.4659127711484521</v>
      </c>
      <c r="Y60" s="17">
        <v>0.877385815472147</v>
      </c>
      <c r="Z60" s="17">
        <v>1.7463530467411736</v>
      </c>
      <c r="AA60" s="17">
        <v>1.2163845753889837</v>
      </c>
      <c r="AB60" s="17">
        <v>-0.28839333793737798</v>
      </c>
      <c r="AC60" s="17">
        <v>1.0652147513376473</v>
      </c>
      <c r="AD60" s="17">
        <v>-0.81583654438301023</v>
      </c>
      <c r="AE60" s="17">
        <v>1.6894094608623824</v>
      </c>
      <c r="AF60" s="17">
        <v>0.2496334827590041</v>
      </c>
      <c r="AG60" s="17">
        <v>0.29010426800531797</v>
      </c>
      <c r="AH60" s="17">
        <v>0.55723475600471262</v>
      </c>
      <c r="AI60" s="17">
        <v>-1.603629768829455</v>
      </c>
      <c r="AJ60" s="17">
        <v>-0.55690825498325469</v>
      </c>
      <c r="AK60" s="17">
        <v>0.41256201737237386</v>
      </c>
      <c r="AM60" s="17">
        <v>-0.90855294231312766</v>
      </c>
      <c r="AN60" s="17">
        <v>0.79502676281485918</v>
      </c>
      <c r="AO60" s="17">
        <v>0.19791240645421407</v>
      </c>
      <c r="AP60" s="17">
        <v>0.45939183595151684</v>
      </c>
      <c r="AQ60" s="17">
        <v>0.9184418220301398</v>
      </c>
      <c r="AR60" s="17">
        <v>-0.8606517000340792</v>
      </c>
      <c r="AS60" s="17">
        <v>-0.90933671383586856</v>
      </c>
      <c r="AT60" s="17">
        <v>0.73703876197266605</v>
      </c>
      <c r="AU60" s="17">
        <v>0.94681841346405715</v>
      </c>
      <c r="AV60" s="17">
        <v>0.86200653183540443</v>
      </c>
      <c r="AW60" s="17">
        <v>-0.3281070414637165</v>
      </c>
      <c r="AX60" s="17">
        <v>0.81559669373224697</v>
      </c>
      <c r="AY60" s="17">
        <v>-0.69703372811445496</v>
      </c>
      <c r="AZ60" s="17">
        <v>0.94320978408172484</v>
      </c>
      <c r="BA60" s="17">
        <v>0.30687257259856249</v>
      </c>
      <c r="BB60" s="17">
        <v>0.3345076993867942</v>
      </c>
      <c r="BC60" s="17">
        <v>0.52138478577575198</v>
      </c>
      <c r="BD60" s="17">
        <v>-0.93441793619375413</v>
      </c>
      <c r="BE60" s="17">
        <v>-0.52404937494333392</v>
      </c>
      <c r="BF60" s="17">
        <v>-0.15662782893312882</v>
      </c>
      <c r="BK60" s="20">
        <v>0.14669868758162496</v>
      </c>
      <c r="BL60" s="20">
        <v>0.85360760157039184</v>
      </c>
      <c r="BN60" s="21">
        <f t="shared" si="2"/>
        <v>1</v>
      </c>
    </row>
    <row r="61" spans="1:66">
      <c r="A61" s="14">
        <v>8.6180000000000003</v>
      </c>
      <c r="B61" s="14">
        <v>11.79</v>
      </c>
      <c r="C61" s="14">
        <v>54.34</v>
      </c>
      <c r="D61" s="14">
        <v>224.5</v>
      </c>
      <c r="E61" s="14">
        <v>5.2720000000000003E-2</v>
      </c>
      <c r="F61" s="14">
        <v>2.061E-2</v>
      </c>
      <c r="G61" s="14">
        <v>7.7990000000000004E-3</v>
      </c>
      <c r="H61" s="14">
        <v>9.5069999999999997</v>
      </c>
      <c r="I61" s="14">
        <v>274.89999999999998</v>
      </c>
      <c r="J61" s="14">
        <v>4.419E-2</v>
      </c>
      <c r="M61" s="16">
        <v>0</v>
      </c>
      <c r="O61" s="12">
        <f t="shared" si="0"/>
        <v>1</v>
      </c>
      <c r="P61" s="12">
        <f t="shared" si="1"/>
        <v>0</v>
      </c>
      <c r="R61" s="17">
        <v>-1.4643074708783446</v>
      </c>
      <c r="S61" s="17">
        <v>1.0359333700219733</v>
      </c>
      <c r="T61" s="17">
        <v>0.4503249130137873</v>
      </c>
      <c r="U61" s="17">
        <v>0.47751119115197871</v>
      </c>
      <c r="V61" s="17">
        <v>1.5052132201123889</v>
      </c>
      <c r="W61" s="17">
        <v>-1.2567352733816861</v>
      </c>
      <c r="X61" s="17">
        <v>-1.4659127711484521</v>
      </c>
      <c r="Y61" s="17">
        <v>0.877385815472147</v>
      </c>
      <c r="Z61" s="17">
        <v>1.7463530467411736</v>
      </c>
      <c r="AA61" s="17">
        <v>1.2163845753889837</v>
      </c>
      <c r="AB61" s="17">
        <v>-0.28839333793737798</v>
      </c>
      <c r="AC61" s="17">
        <v>1.0652147513376473</v>
      </c>
      <c r="AD61" s="17">
        <v>-0.81583654438301023</v>
      </c>
      <c r="AE61" s="17">
        <v>1.6894094608623824</v>
      </c>
      <c r="AF61" s="17">
        <v>0.2496334827590041</v>
      </c>
      <c r="AG61" s="17">
        <v>0.29010426800531797</v>
      </c>
      <c r="AH61" s="17">
        <v>0.55723475600471262</v>
      </c>
      <c r="AI61" s="17">
        <v>-1.603629768829455</v>
      </c>
      <c r="AJ61" s="17">
        <v>-0.55690825498325469</v>
      </c>
      <c r="AK61" s="17">
        <v>0.41256201738018505</v>
      </c>
      <c r="AM61" s="17">
        <v>-0.86607099142251787</v>
      </c>
      <c r="AN61" s="17">
        <v>0.74539261470748219</v>
      </c>
      <c r="AO61" s="17">
        <v>0.17935134316345486</v>
      </c>
      <c r="AP61" s="17">
        <v>0.4077785260593304</v>
      </c>
      <c r="AQ61" s="17">
        <v>0.88667963786310944</v>
      </c>
      <c r="AR61" s="17">
        <v>-0.80280775015688255</v>
      </c>
      <c r="AS61" s="17">
        <v>-0.86854817545756557</v>
      </c>
      <c r="AT61" s="17">
        <v>0.71168908402366848</v>
      </c>
      <c r="AU61" s="17">
        <v>0.91140432752003142</v>
      </c>
      <c r="AV61" s="17">
        <v>0.83724270180063431</v>
      </c>
      <c r="AW61" s="17">
        <v>-0.36640572148488054</v>
      </c>
      <c r="AX61" s="17">
        <v>0.79083598367349572</v>
      </c>
      <c r="AY61" s="17">
        <v>-0.65229231396324283</v>
      </c>
      <c r="AZ61" s="17">
        <v>0.91553535060059843</v>
      </c>
      <c r="BA61" s="17">
        <v>0.37936880085147212</v>
      </c>
      <c r="BB61" s="17">
        <v>0.3817378596885746</v>
      </c>
      <c r="BC61" s="17">
        <v>0.46338514549138055</v>
      </c>
      <c r="BD61" s="17">
        <v>-0.91007170492943035</v>
      </c>
      <c r="BE61" s="17">
        <v>-0.47256481118711352</v>
      </c>
      <c r="BF61" s="17">
        <v>-0.78372101173377495</v>
      </c>
      <c r="BK61" s="20">
        <v>1.8404286622067206E-2</v>
      </c>
      <c r="BL61" s="20">
        <v>0.98164337103287136</v>
      </c>
      <c r="BN61" s="21">
        <f t="shared" si="2"/>
        <v>1</v>
      </c>
    </row>
    <row r="62" spans="1:66">
      <c r="A62" s="14">
        <v>10.17</v>
      </c>
      <c r="B62" s="14">
        <v>14.88</v>
      </c>
      <c r="C62" s="14">
        <v>64.55</v>
      </c>
      <c r="D62" s="14">
        <v>311.89999999999998</v>
      </c>
      <c r="E62" s="14">
        <v>8.0610000000000001E-2</v>
      </c>
      <c r="F62" s="14">
        <v>1.0840000000000001E-2</v>
      </c>
      <c r="G62" s="14">
        <v>1.29E-2</v>
      </c>
      <c r="H62" s="14">
        <v>11.02</v>
      </c>
      <c r="I62" s="14">
        <v>368.6</v>
      </c>
      <c r="J62" s="14">
        <v>2.579E-2</v>
      </c>
      <c r="M62" s="16">
        <v>0</v>
      </c>
      <c r="O62" s="12">
        <f t="shared" si="0"/>
        <v>1</v>
      </c>
      <c r="P62" s="12">
        <f t="shared" si="1"/>
        <v>0</v>
      </c>
      <c r="R62" s="17">
        <v>-1.4643074708783446</v>
      </c>
      <c r="S62" s="17">
        <v>1.0359333700219733</v>
      </c>
      <c r="T62" s="17">
        <v>0.45032491301376942</v>
      </c>
      <c r="U62" s="17">
        <v>0.47751119115197871</v>
      </c>
      <c r="V62" s="17">
        <v>1.5052132201123889</v>
      </c>
      <c r="W62" s="17">
        <v>-1.2567352733816861</v>
      </c>
      <c r="X62" s="17">
        <v>-1.4659127711484521</v>
      </c>
      <c r="Y62" s="17">
        <v>0.877385815472147</v>
      </c>
      <c r="Z62" s="17">
        <v>1.7463530467411736</v>
      </c>
      <c r="AA62" s="17">
        <v>1.2163845753889837</v>
      </c>
      <c r="AB62" s="17">
        <v>-0.28839333793737798</v>
      </c>
      <c r="AC62" s="17">
        <v>1.0652147513376473</v>
      </c>
      <c r="AD62" s="17">
        <v>-0.81583654438301023</v>
      </c>
      <c r="AE62" s="17">
        <v>1.6894094608623824</v>
      </c>
      <c r="AF62" s="17">
        <v>0.2496334827590041</v>
      </c>
      <c r="AG62" s="17">
        <v>0.29010426800531797</v>
      </c>
      <c r="AH62" s="17">
        <v>0.55723475600471262</v>
      </c>
      <c r="AI62" s="17">
        <v>-1.603629768829455</v>
      </c>
      <c r="AJ62" s="17">
        <v>-0.55690825498325469</v>
      </c>
      <c r="AK62" s="17">
        <v>-1.5874379781191124</v>
      </c>
      <c r="AM62" s="17">
        <v>-0.90962980688576722</v>
      </c>
      <c r="AN62" s="17">
        <v>0.79836456032289782</v>
      </c>
      <c r="AO62" s="17">
        <v>0.29850188148743173</v>
      </c>
      <c r="AP62" s="17">
        <v>0.46140383783831518</v>
      </c>
      <c r="AQ62" s="17">
        <v>0.92067476381782976</v>
      </c>
      <c r="AR62" s="17">
        <v>-0.86107026066037484</v>
      </c>
      <c r="AS62" s="17">
        <v>-0.91063221878566869</v>
      </c>
      <c r="AT62" s="17">
        <v>0.74577701137114916</v>
      </c>
      <c r="AU62" s="17">
        <v>0.94702214374422311</v>
      </c>
      <c r="AV62" s="17">
        <v>0.86789252351145274</v>
      </c>
      <c r="AW62" s="17">
        <v>-0.3463116143322052</v>
      </c>
      <c r="AX62" s="17">
        <v>0.82295582150301072</v>
      </c>
      <c r="AY62" s="17">
        <v>-0.70238642362281456</v>
      </c>
      <c r="AZ62" s="17">
        <v>0.94468256471645762</v>
      </c>
      <c r="BA62" s="17">
        <v>0.33210335191386658</v>
      </c>
      <c r="BB62" s="17">
        <v>0.35483468016195163</v>
      </c>
      <c r="BC62" s="17">
        <v>0.52314500892130777</v>
      </c>
      <c r="BD62" s="17">
        <v>-0.93691100077207479</v>
      </c>
      <c r="BE62" s="17">
        <v>-0.52714929990441206</v>
      </c>
      <c r="BF62" s="17">
        <v>-0.1623016357052427</v>
      </c>
      <c r="BK62" s="20">
        <v>-1.0028131368509182E-2</v>
      </c>
      <c r="BL62" s="20">
        <v>1.0100298763558906</v>
      </c>
      <c r="BN62" s="21">
        <f t="shared" si="2"/>
        <v>1</v>
      </c>
    </row>
    <row r="63" spans="1:66">
      <c r="A63" s="14">
        <v>8.5980000000000008</v>
      </c>
      <c r="B63" s="14">
        <v>20.98</v>
      </c>
      <c r="C63" s="14">
        <v>54.66</v>
      </c>
      <c r="D63" s="14">
        <v>221.8</v>
      </c>
      <c r="E63" s="14">
        <v>8.9630000000000001E-2</v>
      </c>
      <c r="F63" s="14">
        <v>0.03</v>
      </c>
      <c r="G63" s="14">
        <v>9.2589999999999999E-3</v>
      </c>
      <c r="H63" s="14">
        <v>9.5649999999999995</v>
      </c>
      <c r="I63" s="14">
        <v>273.89999999999998</v>
      </c>
      <c r="J63" s="14">
        <v>2.7779999999999999E-2</v>
      </c>
      <c r="M63" s="16">
        <v>0</v>
      </c>
      <c r="O63" s="12">
        <f t="shared" si="0"/>
        <v>1</v>
      </c>
      <c r="P63" s="12">
        <f t="shared" si="1"/>
        <v>0</v>
      </c>
      <c r="R63" s="17">
        <v>-1.4643074708783446</v>
      </c>
      <c r="S63" s="17">
        <v>1.0359333700219733</v>
      </c>
      <c r="T63" s="17">
        <v>0.4503249130137873</v>
      </c>
      <c r="U63" s="17">
        <v>0.47751119115197871</v>
      </c>
      <c r="V63" s="17">
        <v>1.5052132201123889</v>
      </c>
      <c r="W63" s="17">
        <v>-1.2567352733816861</v>
      </c>
      <c r="X63" s="17">
        <v>-1.4659127711484521</v>
      </c>
      <c r="Y63" s="17">
        <v>0.877385815472147</v>
      </c>
      <c r="Z63" s="17">
        <v>1.7463530467411736</v>
      </c>
      <c r="AA63" s="17">
        <v>1.2163845753889837</v>
      </c>
      <c r="AB63" s="17">
        <v>-0.28839333793737798</v>
      </c>
      <c r="AC63" s="17">
        <v>1.0652147513376473</v>
      </c>
      <c r="AD63" s="17">
        <v>-0.81583654438301023</v>
      </c>
      <c r="AE63" s="17">
        <v>1.6894094608623824</v>
      </c>
      <c r="AF63" s="17">
        <v>0.2496334827590041</v>
      </c>
      <c r="AG63" s="17">
        <v>0.29010426800531797</v>
      </c>
      <c r="AH63" s="17">
        <v>0.55723475600471262</v>
      </c>
      <c r="AI63" s="17">
        <v>-1.603629768829455</v>
      </c>
      <c r="AJ63" s="17">
        <v>-0.55690825498325469</v>
      </c>
      <c r="AK63" s="17">
        <v>0.41256201738018505</v>
      </c>
      <c r="AM63" s="17">
        <v>-0.89284699855632077</v>
      </c>
      <c r="AN63" s="17">
        <v>0.78638687466421031</v>
      </c>
      <c r="AO63" s="17">
        <v>0.25782569939806554</v>
      </c>
      <c r="AP63" s="17">
        <v>0.44090920228951375</v>
      </c>
      <c r="AQ63" s="17">
        <v>0.9145147949939304</v>
      </c>
      <c r="AR63" s="17">
        <v>-0.83249989704601002</v>
      </c>
      <c r="AS63" s="17">
        <v>-0.89573708501211469</v>
      </c>
      <c r="AT63" s="17">
        <v>0.76688768114049932</v>
      </c>
      <c r="AU63" s="17">
        <v>0.93016307176960056</v>
      </c>
      <c r="AV63" s="17">
        <v>0.87862601917534322</v>
      </c>
      <c r="AW63" s="17">
        <v>-0.43858713560935153</v>
      </c>
      <c r="AX63" s="17">
        <v>0.83909582440025021</v>
      </c>
      <c r="AY63" s="17">
        <v>-0.70048602336669419</v>
      </c>
      <c r="AZ63" s="17">
        <v>0.93765582883139664</v>
      </c>
      <c r="BA63" s="17">
        <v>0.46801436294250509</v>
      </c>
      <c r="BB63" s="17">
        <v>0.45947439847191318</v>
      </c>
      <c r="BC63" s="17">
        <v>0.49823644322467614</v>
      </c>
      <c r="BD63" s="17">
        <v>-0.93552246197407296</v>
      </c>
      <c r="BE63" s="17">
        <v>-0.5114926857492933</v>
      </c>
      <c r="BF63" s="17">
        <v>-0.16305382003268476</v>
      </c>
      <c r="BK63" s="20">
        <v>6.9690106795316639E-3</v>
      </c>
      <c r="BL63" s="20">
        <v>0.99303524186266767</v>
      </c>
      <c r="BN63" s="21">
        <f t="shared" si="2"/>
        <v>1</v>
      </c>
    </row>
    <row r="64" spans="1:66">
      <c r="A64" s="14">
        <v>14.25</v>
      </c>
      <c r="B64" s="14">
        <v>22.15</v>
      </c>
      <c r="C64" s="14">
        <v>96.42</v>
      </c>
      <c r="D64" s="14">
        <v>645.70000000000005</v>
      </c>
      <c r="E64" s="14">
        <v>0.20080000000000001</v>
      </c>
      <c r="F64" s="14">
        <v>0.2135</v>
      </c>
      <c r="G64" s="14">
        <v>8.6529999999999996E-2</v>
      </c>
      <c r="H64" s="14">
        <v>17.670000000000002</v>
      </c>
      <c r="I64" s="14">
        <v>959.5</v>
      </c>
      <c r="J64" s="14">
        <v>0.17849999999999999</v>
      </c>
      <c r="M64" s="16">
        <v>1</v>
      </c>
      <c r="O64" s="12">
        <f t="shared" si="0"/>
        <v>0</v>
      </c>
      <c r="P64" s="12">
        <f t="shared" si="1"/>
        <v>1</v>
      </c>
      <c r="R64" s="17">
        <v>-1.4643074708783446</v>
      </c>
      <c r="S64" s="17">
        <v>1.0359333700219733</v>
      </c>
      <c r="T64" s="17">
        <v>0.4503249130137873</v>
      </c>
      <c r="U64" s="17">
        <v>0.47751119115197871</v>
      </c>
      <c r="V64" s="17">
        <v>1.5052132201123889</v>
      </c>
      <c r="W64" s="17">
        <v>-1.2567352733816861</v>
      </c>
      <c r="X64" s="17">
        <v>-1.4659127711484521</v>
      </c>
      <c r="Y64" s="17">
        <v>0.877385815472147</v>
      </c>
      <c r="Z64" s="17">
        <v>1.7463530467411736</v>
      </c>
      <c r="AA64" s="17">
        <v>1.2163845753889837</v>
      </c>
      <c r="AB64" s="17">
        <v>-0.28839333793737798</v>
      </c>
      <c r="AC64" s="17">
        <v>1.0652147513376473</v>
      </c>
      <c r="AD64" s="17">
        <v>-0.81583654438301023</v>
      </c>
      <c r="AE64" s="17">
        <v>1.6894094608623824</v>
      </c>
      <c r="AF64" s="17">
        <v>0.2496334827590041</v>
      </c>
      <c r="AG64" s="17">
        <v>0.29010426800531797</v>
      </c>
      <c r="AH64" s="17">
        <v>0.55723475600471262</v>
      </c>
      <c r="AI64" s="17">
        <v>-1.603629768829455</v>
      </c>
      <c r="AJ64" s="17">
        <v>-0.55690825498325469</v>
      </c>
      <c r="AK64" s="17">
        <v>0.41256201738018505</v>
      </c>
      <c r="AM64" s="17">
        <v>-0.87288770800622151</v>
      </c>
      <c r="AN64" s="17">
        <v>0.7645399574980114</v>
      </c>
      <c r="AO64" s="17">
        <v>0.34780525090009129</v>
      </c>
      <c r="AP64" s="17">
        <v>0.41763210492091246</v>
      </c>
      <c r="AQ64" s="17">
        <v>0.90092005980850265</v>
      </c>
      <c r="AR64" s="17">
        <v>-0.80444699987588353</v>
      </c>
      <c r="AS64" s="17">
        <v>-0.87686038614278794</v>
      </c>
      <c r="AT64" s="17">
        <v>0.75702466080803643</v>
      </c>
      <c r="AU64" s="17">
        <v>0.91224661799575879</v>
      </c>
      <c r="AV64" s="17">
        <v>0.86928954511046175</v>
      </c>
      <c r="AW64" s="17">
        <v>-0.45467787866254156</v>
      </c>
      <c r="AX64" s="17">
        <v>0.82972305617651043</v>
      </c>
      <c r="AY64" s="17">
        <v>-0.68129830110081235</v>
      </c>
      <c r="AZ64" s="17">
        <v>0.92550789725026983</v>
      </c>
      <c r="BA64" s="17">
        <v>0.49691951057240125</v>
      </c>
      <c r="BB64" s="17">
        <v>0.47892872817477805</v>
      </c>
      <c r="BC64" s="17">
        <v>0.47193412899560067</v>
      </c>
      <c r="BD64" s="17">
        <v>-0.92571384024924119</v>
      </c>
      <c r="BE64" s="17">
        <v>-0.48845651727392536</v>
      </c>
      <c r="BF64" s="17">
        <v>-6.5594088377768103E-2</v>
      </c>
      <c r="BK64" s="20">
        <v>0.8891519836644014</v>
      </c>
      <c r="BL64" s="20">
        <v>0.11116688546329596</v>
      </c>
      <c r="BN64" s="21">
        <f t="shared" si="2"/>
        <v>0</v>
      </c>
    </row>
    <row r="65" spans="1:66">
      <c r="A65" s="14">
        <v>9.173</v>
      </c>
      <c r="B65" s="14">
        <v>13.86</v>
      </c>
      <c r="C65" s="14">
        <v>59.2</v>
      </c>
      <c r="D65" s="14">
        <v>260.89999999999998</v>
      </c>
      <c r="E65" s="14">
        <v>8.7510000000000004E-2</v>
      </c>
      <c r="F65" s="14">
        <v>5.9880000000000003E-2</v>
      </c>
      <c r="G65" s="14">
        <v>2.18E-2</v>
      </c>
      <c r="H65" s="14">
        <v>10.01</v>
      </c>
      <c r="I65" s="14">
        <v>310.10000000000002</v>
      </c>
      <c r="J65" s="14">
        <v>5.0869999999999999E-2</v>
      </c>
      <c r="M65" s="16">
        <v>0</v>
      </c>
      <c r="O65" s="12">
        <f t="shared" si="0"/>
        <v>1</v>
      </c>
      <c r="P65" s="12">
        <f t="shared" si="1"/>
        <v>0</v>
      </c>
      <c r="R65" s="17">
        <v>-1.4643074708783446</v>
      </c>
      <c r="S65" s="17">
        <v>1.0359333700219733</v>
      </c>
      <c r="T65" s="17">
        <v>-1.5496750869862126</v>
      </c>
      <c r="U65" s="17">
        <v>0.47751119115197871</v>
      </c>
      <c r="V65" s="17">
        <v>1.5052132201123889</v>
      </c>
      <c r="W65" s="17">
        <v>-1.2567352733816861</v>
      </c>
      <c r="X65" s="17">
        <v>-1.4659127711484521</v>
      </c>
      <c r="Y65" s="17">
        <v>0.877385815472147</v>
      </c>
      <c r="Z65" s="17">
        <v>1.7463530467411736</v>
      </c>
      <c r="AA65" s="17">
        <v>1.2163845753889837</v>
      </c>
      <c r="AB65" s="17">
        <v>-0.28839333793737798</v>
      </c>
      <c r="AC65" s="17">
        <v>1.0652147513376473</v>
      </c>
      <c r="AD65" s="17">
        <v>-0.81583654438301023</v>
      </c>
      <c r="AE65" s="17">
        <v>1.6894094608623824</v>
      </c>
      <c r="AF65" s="17">
        <v>0.2496334827590041</v>
      </c>
      <c r="AG65" s="17">
        <v>0.29010426800531797</v>
      </c>
      <c r="AH65" s="17">
        <v>0.55723475600471262</v>
      </c>
      <c r="AI65" s="17">
        <v>-1.603629768829455</v>
      </c>
      <c r="AJ65" s="17">
        <v>-0.55690825498325469</v>
      </c>
      <c r="AK65" s="17">
        <v>-1.5874379826198148</v>
      </c>
      <c r="AM65" s="17">
        <v>-0.87077751552737137</v>
      </c>
      <c r="AN65" s="17">
        <v>0.76962122936735189</v>
      </c>
      <c r="AO65" s="17">
        <v>0.52271191888526181</v>
      </c>
      <c r="AP65" s="17">
        <v>0.41697422342458884</v>
      </c>
      <c r="AQ65" s="17">
        <v>0.90508561709215463</v>
      </c>
      <c r="AR65" s="17">
        <v>-0.79652609205692848</v>
      </c>
      <c r="AS65" s="17">
        <v>-0.87601885531864743</v>
      </c>
      <c r="AT65" s="17">
        <v>0.77996878920017232</v>
      </c>
      <c r="AU65" s="17">
        <v>0.90676712430621531</v>
      </c>
      <c r="AV65" s="17">
        <v>0.8840710343372874</v>
      </c>
      <c r="AW65" s="17">
        <v>-0.51123468505124314</v>
      </c>
      <c r="AX65" s="17">
        <v>0.84849064678891939</v>
      </c>
      <c r="AY65" s="17">
        <v>-0.69321864597168303</v>
      </c>
      <c r="AZ65" s="17">
        <v>0.92759016839149955</v>
      </c>
      <c r="BA65" s="17">
        <v>0.57131034765996425</v>
      </c>
      <c r="BB65" s="17">
        <v>0.54078004515601352</v>
      </c>
      <c r="BC65" s="17">
        <v>0.46950868850477229</v>
      </c>
      <c r="BD65" s="17">
        <v>-0.9315061562574849</v>
      </c>
      <c r="BE65" s="17">
        <v>-0.49162980697491587</v>
      </c>
      <c r="BF65" s="17">
        <v>0.16545078398754159</v>
      </c>
      <c r="BK65" s="20">
        <v>1.9094510072329797E-2</v>
      </c>
      <c r="BL65" s="20">
        <v>0.98092883376353612</v>
      </c>
      <c r="BN65" s="21">
        <f t="shared" si="2"/>
        <v>1</v>
      </c>
    </row>
    <row r="66" spans="1:66">
      <c r="A66" s="14">
        <v>12.68</v>
      </c>
      <c r="B66" s="14">
        <v>23.84</v>
      </c>
      <c r="C66" s="14">
        <v>82.69</v>
      </c>
      <c r="D66" s="14">
        <v>499</v>
      </c>
      <c r="E66" s="14">
        <v>0.12620000000000001</v>
      </c>
      <c r="F66" s="14">
        <v>0.1128</v>
      </c>
      <c r="G66" s="14">
        <v>6.8729999999999999E-2</v>
      </c>
      <c r="H66" s="14">
        <v>17.09</v>
      </c>
      <c r="I66" s="14">
        <v>888.3</v>
      </c>
      <c r="J66" s="14">
        <v>0.1716</v>
      </c>
      <c r="M66" s="16">
        <v>1</v>
      </c>
      <c r="O66" s="12">
        <f t="shared" si="0"/>
        <v>0</v>
      </c>
      <c r="P66" s="12">
        <f t="shared" si="1"/>
        <v>1</v>
      </c>
      <c r="R66" s="17">
        <v>-1.4643074708783446</v>
      </c>
      <c r="S66" s="17">
        <v>1.0359333700219733</v>
      </c>
      <c r="T66" s="17">
        <v>0.4503249130137873</v>
      </c>
      <c r="U66" s="17">
        <v>0.47751119115197871</v>
      </c>
      <c r="V66" s="17">
        <v>1.5052132201123889</v>
      </c>
      <c r="W66" s="17">
        <v>-1.2567352733816861</v>
      </c>
      <c r="X66" s="17">
        <v>-1.4659127711484521</v>
      </c>
      <c r="Y66" s="17">
        <v>0.877385815472147</v>
      </c>
      <c r="Z66" s="17">
        <v>1.7463530467411736</v>
      </c>
      <c r="AA66" s="17">
        <v>1.2163845753889837</v>
      </c>
      <c r="AB66" s="17">
        <v>-0.28839333793737798</v>
      </c>
      <c r="AC66" s="17">
        <v>1.0652147513376473</v>
      </c>
      <c r="AD66" s="17">
        <v>-0.81583654438301023</v>
      </c>
      <c r="AE66" s="17">
        <v>1.6894094608623824</v>
      </c>
      <c r="AF66" s="17">
        <v>0.2496334827590041</v>
      </c>
      <c r="AG66" s="17">
        <v>0.29010426800531797</v>
      </c>
      <c r="AH66" s="17">
        <v>0.55723475600471262</v>
      </c>
      <c r="AI66" s="17">
        <v>-1.603629768829455</v>
      </c>
      <c r="AJ66" s="17">
        <v>-0.55690825498325469</v>
      </c>
      <c r="AK66" s="17">
        <v>0.41256201738018505</v>
      </c>
      <c r="AM66" s="17">
        <v>-0.82167439334414172</v>
      </c>
      <c r="AN66" s="17">
        <v>0.74349762011274023</v>
      </c>
      <c r="AO66" s="17">
        <v>0.67918863105081451</v>
      </c>
      <c r="AP66" s="17">
        <v>0.37489939374327608</v>
      </c>
      <c r="AQ66" s="17">
        <v>0.89091115794804188</v>
      </c>
      <c r="AR66" s="17">
        <v>-0.71180585360443538</v>
      </c>
      <c r="AS66" s="17">
        <v>-0.8340194457810336</v>
      </c>
      <c r="AT66" s="17">
        <v>0.81653182245793721</v>
      </c>
      <c r="AU66" s="17">
        <v>0.84258252186824267</v>
      </c>
      <c r="AV66" s="17">
        <v>0.90294144972574664</v>
      </c>
      <c r="AW66" s="17">
        <v>-0.65448726266045054</v>
      </c>
      <c r="AX66" s="17">
        <v>0.87592906906893164</v>
      </c>
      <c r="AY66" s="17">
        <v>-0.69058756403585353</v>
      </c>
      <c r="AZ66" s="17">
        <v>0.90921611321962625</v>
      </c>
      <c r="BA66" s="17">
        <v>0.75044110629962479</v>
      </c>
      <c r="BB66" s="17">
        <v>0.69459155655686766</v>
      </c>
      <c r="BC66" s="17">
        <v>0.41684885621925888</v>
      </c>
      <c r="BD66" s="17">
        <v>-0.92912820488823511</v>
      </c>
      <c r="BE66" s="17">
        <v>-0.45982961380134268</v>
      </c>
      <c r="BF66" s="17">
        <v>0.39814786846273126</v>
      </c>
      <c r="BK66" s="20">
        <v>1.0638577621740051</v>
      </c>
      <c r="BL66" s="20">
        <v>-6.3959600127963839E-2</v>
      </c>
      <c r="BN66" s="21">
        <f t="shared" si="2"/>
        <v>0</v>
      </c>
    </row>
    <row r="67" spans="1:66">
      <c r="A67" s="14">
        <v>14.78</v>
      </c>
      <c r="B67" s="14">
        <v>23.94</v>
      </c>
      <c r="C67" s="14">
        <v>97.4</v>
      </c>
      <c r="D67" s="14">
        <v>668.3</v>
      </c>
      <c r="E67" s="14">
        <v>0.1479</v>
      </c>
      <c r="F67" s="14">
        <v>0.12670000000000001</v>
      </c>
      <c r="G67" s="14">
        <v>9.0289999999999995E-2</v>
      </c>
      <c r="H67" s="14">
        <v>17.309999999999999</v>
      </c>
      <c r="I67" s="14">
        <v>925.1</v>
      </c>
      <c r="J67" s="14">
        <v>0.16139999999999999</v>
      </c>
      <c r="M67" s="16">
        <v>1</v>
      </c>
      <c r="O67" s="12">
        <f t="shared" ref="O67:O130" si="3">IF(M67=0,1,0)</f>
        <v>0</v>
      </c>
      <c r="P67" s="12">
        <f t="shared" ref="P67:P130" si="4">IF(M67=1,1,0)</f>
        <v>1</v>
      </c>
      <c r="R67" s="17">
        <v>-1.4643074708783446</v>
      </c>
      <c r="S67" s="17">
        <v>1.0359333700219733</v>
      </c>
      <c r="T67" s="17">
        <v>0.4503249130137873</v>
      </c>
      <c r="U67" s="17">
        <v>0.47751119115197871</v>
      </c>
      <c r="V67" s="17">
        <v>1.5052132201123889</v>
      </c>
      <c r="W67" s="17">
        <v>-1.2567352733816861</v>
      </c>
      <c r="X67" s="17">
        <v>-1.4659127711484521</v>
      </c>
      <c r="Y67" s="17">
        <v>0.877385815472147</v>
      </c>
      <c r="Z67" s="17">
        <v>1.7463530467411736</v>
      </c>
      <c r="AA67" s="17">
        <v>1.2163845753889837</v>
      </c>
      <c r="AB67" s="17">
        <v>-0.28839333793737798</v>
      </c>
      <c r="AC67" s="17">
        <v>1.0652147513376473</v>
      </c>
      <c r="AD67" s="17">
        <v>-0.81583654438301023</v>
      </c>
      <c r="AE67" s="17">
        <v>1.6894094608623824</v>
      </c>
      <c r="AF67" s="17">
        <v>0.2496334827590041</v>
      </c>
      <c r="AG67" s="17">
        <v>0.29010426800531797</v>
      </c>
      <c r="AH67" s="17">
        <v>0.55723475600471262</v>
      </c>
      <c r="AI67" s="17">
        <v>-1.603629768829455</v>
      </c>
      <c r="AJ67" s="17">
        <v>-0.55690825498325469</v>
      </c>
      <c r="AK67" s="17">
        <v>0.41256201738018505</v>
      </c>
      <c r="AM67" s="17">
        <v>-0.71001087454174971</v>
      </c>
      <c r="AN67" s="17">
        <v>0.71340015705515292</v>
      </c>
      <c r="AO67" s="17">
        <v>0.8544159282883893</v>
      </c>
      <c r="AP67" s="17">
        <v>0.30864130942558671</v>
      </c>
      <c r="AQ67" s="17">
        <v>0.87767248497817152</v>
      </c>
      <c r="AR67" s="17">
        <v>-0.50302640974976132</v>
      </c>
      <c r="AS67" s="17">
        <v>-0.74536415363445552</v>
      </c>
      <c r="AT67" s="17">
        <v>0.88788677312669773</v>
      </c>
      <c r="AU67" s="17">
        <v>0.63723476491516562</v>
      </c>
      <c r="AV67" s="17">
        <v>0.94241656258750461</v>
      </c>
      <c r="AW67" s="17">
        <v>-0.85070380612949958</v>
      </c>
      <c r="AX67" s="17">
        <v>0.92860352822827474</v>
      </c>
      <c r="AY67" s="17">
        <v>-0.71078276135544027</v>
      </c>
      <c r="AZ67" s="17">
        <v>0.88102500165570063</v>
      </c>
      <c r="BA67" s="17">
        <v>0.93136792505200428</v>
      </c>
      <c r="BB67" s="17">
        <v>0.88559801884732137</v>
      </c>
      <c r="BC67" s="17">
        <v>0.32831825048168789</v>
      </c>
      <c r="BD67" s="17">
        <v>-0.9371050059656798</v>
      </c>
      <c r="BE67" s="17">
        <v>-0.41805943784272165</v>
      </c>
      <c r="BF67" s="17">
        <v>0.55106108059144332</v>
      </c>
      <c r="BK67" s="20">
        <v>0.50396080817561961</v>
      </c>
      <c r="BL67" s="20">
        <v>0.49603977924783915</v>
      </c>
      <c r="BN67" s="21">
        <f t="shared" si="2"/>
        <v>0</v>
      </c>
    </row>
    <row r="68" spans="1:66">
      <c r="A68" s="14">
        <v>9.4649999999999999</v>
      </c>
      <c r="B68" s="14">
        <v>21.01</v>
      </c>
      <c r="C68" s="14">
        <v>60.11</v>
      </c>
      <c r="D68" s="14">
        <v>269.39999999999998</v>
      </c>
      <c r="E68" s="14">
        <v>7.7729999999999994E-2</v>
      </c>
      <c r="F68" s="14">
        <v>2.172E-2</v>
      </c>
      <c r="G68" s="14">
        <v>1.504E-2</v>
      </c>
      <c r="H68" s="14">
        <v>10.41</v>
      </c>
      <c r="I68" s="14">
        <v>330.7</v>
      </c>
      <c r="J68" s="14">
        <v>6.5170000000000006E-2</v>
      </c>
      <c r="M68" s="16">
        <v>0</v>
      </c>
      <c r="O68" s="12">
        <f t="shared" si="3"/>
        <v>1</v>
      </c>
      <c r="P68" s="12">
        <f t="shared" si="4"/>
        <v>0</v>
      </c>
      <c r="R68" s="17">
        <v>-1.4643074708783446</v>
      </c>
      <c r="S68" s="17">
        <v>1.0359333700219733</v>
      </c>
      <c r="T68" s="17">
        <v>0.4503249130137873</v>
      </c>
      <c r="U68" s="17">
        <v>0.47751119115197871</v>
      </c>
      <c r="V68" s="17">
        <v>1.5052132201123889</v>
      </c>
      <c r="W68" s="17">
        <v>-1.2567352733816861</v>
      </c>
      <c r="X68" s="17">
        <v>-1.4659127711484521</v>
      </c>
      <c r="Y68" s="17">
        <v>0.877385815472147</v>
      </c>
      <c r="Z68" s="17">
        <v>1.7463530467411736</v>
      </c>
      <c r="AA68" s="17">
        <v>1.2163845753889837</v>
      </c>
      <c r="AB68" s="17">
        <v>-0.28839333793737798</v>
      </c>
      <c r="AC68" s="17">
        <v>1.0652147513376473</v>
      </c>
      <c r="AD68" s="17">
        <v>-0.81583654438301023</v>
      </c>
      <c r="AE68" s="17">
        <v>1.6894094608623824</v>
      </c>
      <c r="AF68" s="17">
        <v>0.2496334827590041</v>
      </c>
      <c r="AG68" s="17">
        <v>0.29010426800531797</v>
      </c>
      <c r="AH68" s="17">
        <v>0.55723475600471262</v>
      </c>
      <c r="AI68" s="17">
        <v>-1.603629768829455</v>
      </c>
      <c r="AJ68" s="17">
        <v>-0.55690825498325469</v>
      </c>
      <c r="AK68" s="17">
        <v>0.41255052480937349</v>
      </c>
      <c r="AM68" s="17">
        <v>-0.74643749377505075</v>
      </c>
      <c r="AN68" s="17">
        <v>0.74818246122083976</v>
      </c>
      <c r="AO68" s="17">
        <v>0.90290456037885058</v>
      </c>
      <c r="AP68" s="17">
        <v>0.33333532724416587</v>
      </c>
      <c r="AQ68" s="17">
        <v>0.90129527182023395</v>
      </c>
      <c r="AR68" s="17">
        <v>-0.54026559271958163</v>
      </c>
      <c r="AS68" s="17">
        <v>-0.7801299678160265</v>
      </c>
      <c r="AT68" s="17">
        <v>0.90935892675777019</v>
      </c>
      <c r="AU68" s="17">
        <v>0.67695860959081089</v>
      </c>
      <c r="AV68" s="17">
        <v>0.95621287176243364</v>
      </c>
      <c r="AW68" s="17">
        <v>-0.87512417797603503</v>
      </c>
      <c r="AX68" s="17">
        <v>0.94460612209179773</v>
      </c>
      <c r="AY68" s="17">
        <v>-0.74487771059476549</v>
      </c>
      <c r="AZ68" s="17">
        <v>0.9045024181113237</v>
      </c>
      <c r="BA68" s="17">
        <v>0.94624706977116968</v>
      </c>
      <c r="BB68" s="17">
        <v>0.90651270489696345</v>
      </c>
      <c r="BC68" s="17">
        <v>0.35463918047662418</v>
      </c>
      <c r="BD68" s="17">
        <v>-0.95211609283503396</v>
      </c>
      <c r="BE68" s="17">
        <v>-0.44855764077159921</v>
      </c>
      <c r="BF68" s="17">
        <v>0.6253557330544971</v>
      </c>
      <c r="BK68" s="20">
        <v>1.0574304359629469</v>
      </c>
      <c r="BL68" s="20">
        <v>-5.7512875117162202E-2</v>
      </c>
      <c r="BN68" s="21">
        <f t="shared" si="2"/>
        <v>0</v>
      </c>
    </row>
    <row r="69" spans="1:66">
      <c r="A69" s="14">
        <v>11.31</v>
      </c>
      <c r="B69" s="14">
        <v>19.04</v>
      </c>
      <c r="C69" s="14">
        <v>71.8</v>
      </c>
      <c r="D69" s="14">
        <v>394.1</v>
      </c>
      <c r="E69" s="14">
        <v>4.7010000000000003E-2</v>
      </c>
      <c r="F69" s="14">
        <v>3.7089999999999998E-2</v>
      </c>
      <c r="G69" s="14">
        <v>2.23E-2</v>
      </c>
      <c r="H69" s="14">
        <v>12.33</v>
      </c>
      <c r="I69" s="14">
        <v>466.7</v>
      </c>
      <c r="J69" s="14">
        <v>6.9610000000000005E-2</v>
      </c>
      <c r="M69" s="16">
        <v>0</v>
      </c>
      <c r="O69" s="12">
        <f t="shared" si="3"/>
        <v>1</v>
      </c>
      <c r="P69" s="12">
        <f t="shared" si="4"/>
        <v>0</v>
      </c>
      <c r="R69" s="17">
        <v>-1.4643074708783446</v>
      </c>
      <c r="S69" s="17">
        <v>1.0359333700219733</v>
      </c>
      <c r="T69" s="17">
        <v>0.4503249130137873</v>
      </c>
      <c r="U69" s="17">
        <v>0.47751119115197871</v>
      </c>
      <c r="V69" s="17">
        <v>1.5052132201123889</v>
      </c>
      <c r="W69" s="17">
        <v>-1.2567352733816861</v>
      </c>
      <c r="X69" s="17">
        <v>-1.4659127711484521</v>
      </c>
      <c r="Y69" s="17">
        <v>0.877385815472147</v>
      </c>
      <c r="Z69" s="17">
        <v>1.7463530467411736</v>
      </c>
      <c r="AA69" s="17">
        <v>1.2163845753889837</v>
      </c>
      <c r="AB69" s="17">
        <v>-0.28839333793737798</v>
      </c>
      <c r="AC69" s="17">
        <v>1.0652147513376473</v>
      </c>
      <c r="AD69" s="17">
        <v>-0.81583654438301023</v>
      </c>
      <c r="AE69" s="17">
        <v>1.6894094608623824</v>
      </c>
      <c r="AF69" s="17">
        <v>0.2496334827590041</v>
      </c>
      <c r="AG69" s="17">
        <v>0.29010426800531797</v>
      </c>
      <c r="AH69" s="17">
        <v>0.55723475600471262</v>
      </c>
      <c r="AI69" s="17">
        <v>-1.603629768829455</v>
      </c>
      <c r="AJ69" s="17">
        <v>-0.55690825498325469</v>
      </c>
      <c r="AK69" s="17">
        <v>0.41256201738018505</v>
      </c>
      <c r="AM69" s="17">
        <v>-0.85093154154767248</v>
      </c>
      <c r="AN69" s="17">
        <v>0.73637820697441436</v>
      </c>
      <c r="AO69" s="17">
        <v>0.54228745472520823</v>
      </c>
      <c r="AP69" s="17">
        <v>0.39395407333226645</v>
      </c>
      <c r="AQ69" s="17">
        <v>0.88147003581425409</v>
      </c>
      <c r="AR69" s="17">
        <v>-0.77819506402217387</v>
      </c>
      <c r="AS69" s="17">
        <v>-0.8552132115373049</v>
      </c>
      <c r="AT69" s="17">
        <v>0.72812633285602368</v>
      </c>
      <c r="AU69" s="17">
        <v>0.89435596103823756</v>
      </c>
      <c r="AV69" s="17">
        <v>0.8465200215332902</v>
      </c>
      <c r="AW69" s="17">
        <v>-0.42801144365262445</v>
      </c>
      <c r="AX69" s="17">
        <v>0.80404542226399989</v>
      </c>
      <c r="AY69" s="17">
        <v>-0.651523036949475</v>
      </c>
      <c r="AZ69" s="17">
        <v>0.90905500525324123</v>
      </c>
      <c r="BA69" s="17">
        <v>0.46826420522218276</v>
      </c>
      <c r="BB69" s="17">
        <v>0.45123401479467956</v>
      </c>
      <c r="BC69" s="17">
        <v>0.44619966342941914</v>
      </c>
      <c r="BD69" s="17">
        <v>-0.90917045996864876</v>
      </c>
      <c r="BE69" s="17">
        <v>-0.4620146561049589</v>
      </c>
      <c r="BF69" s="17">
        <v>0.39268084437197004</v>
      </c>
      <c r="BK69" s="20">
        <v>1.0364756853210992</v>
      </c>
      <c r="BL69" s="20">
        <v>-3.6540258990014493E-2</v>
      </c>
      <c r="BN69" s="21">
        <f t="shared" si="2"/>
        <v>0</v>
      </c>
    </row>
    <row r="70" spans="1:66">
      <c r="A70" s="14">
        <v>9.0289999999999999</v>
      </c>
      <c r="B70" s="14">
        <v>17.329999999999998</v>
      </c>
      <c r="C70" s="14">
        <v>58.79</v>
      </c>
      <c r="D70" s="14">
        <v>250.5</v>
      </c>
      <c r="E70" s="14">
        <v>0.14130000000000001</v>
      </c>
      <c r="F70" s="14">
        <v>0.313</v>
      </c>
      <c r="G70" s="14">
        <v>4.3749999999999997E-2</v>
      </c>
      <c r="H70" s="14">
        <v>10.31</v>
      </c>
      <c r="I70" s="14">
        <v>324.7</v>
      </c>
      <c r="J70" s="14">
        <v>0.17499999999999999</v>
      </c>
      <c r="M70" s="16">
        <v>0</v>
      </c>
      <c r="O70" s="12">
        <f t="shared" si="3"/>
        <v>1</v>
      </c>
      <c r="P70" s="12">
        <f t="shared" si="4"/>
        <v>0</v>
      </c>
      <c r="R70" s="17">
        <v>-1.4643074708783446</v>
      </c>
      <c r="S70" s="17">
        <v>1.0359333700219733</v>
      </c>
      <c r="T70" s="17">
        <v>0.4503249130137873</v>
      </c>
      <c r="U70" s="17">
        <v>0.47751119115197871</v>
      </c>
      <c r="V70" s="17">
        <v>1.5052132201123889</v>
      </c>
      <c r="W70" s="17">
        <v>-1.2567352733816861</v>
      </c>
      <c r="X70" s="17">
        <v>-1.4659127711484521</v>
      </c>
      <c r="Y70" s="17">
        <v>0.877385815472147</v>
      </c>
      <c r="Z70" s="17">
        <v>1.7463530467411736</v>
      </c>
      <c r="AA70" s="17">
        <v>1.2163845753889837</v>
      </c>
      <c r="AB70" s="17">
        <v>-0.28839333793737798</v>
      </c>
      <c r="AC70" s="17">
        <v>1.0652147513376473</v>
      </c>
      <c r="AD70" s="17">
        <v>-0.81583654438301023</v>
      </c>
      <c r="AE70" s="17">
        <v>1.6894094608623824</v>
      </c>
      <c r="AF70" s="17">
        <v>0.2496334827590041</v>
      </c>
      <c r="AG70" s="17">
        <v>0.29010426800531797</v>
      </c>
      <c r="AH70" s="17">
        <v>0.55723475600471262</v>
      </c>
      <c r="AI70" s="17">
        <v>-1.603629768829455</v>
      </c>
      <c r="AJ70" s="17">
        <v>-0.55690825498325469</v>
      </c>
      <c r="AK70" s="17">
        <v>0.41256201738018505</v>
      </c>
      <c r="AM70" s="17">
        <v>-0.81294297505337965</v>
      </c>
      <c r="AN70" s="17">
        <v>0.73241852512512662</v>
      </c>
      <c r="AO70" s="17">
        <v>0.63389242561930992</v>
      </c>
      <c r="AP70" s="17">
        <v>0.36695147007080137</v>
      </c>
      <c r="AQ70" s="17">
        <v>0.88307102855557951</v>
      </c>
      <c r="AR70" s="17">
        <v>-0.70275816210997888</v>
      </c>
      <c r="AS70" s="17">
        <v>-0.82531762671812237</v>
      </c>
      <c r="AT70" s="17">
        <v>0.80464676351540065</v>
      </c>
      <c r="AU70" s="17">
        <v>0.83522868727947364</v>
      </c>
      <c r="AV70" s="17">
        <v>0.89452322244190863</v>
      </c>
      <c r="AW70" s="17">
        <v>-0.6379132985051964</v>
      </c>
      <c r="AX70" s="17">
        <v>0.86611886558290574</v>
      </c>
      <c r="AY70" s="17">
        <v>-0.67829601432824893</v>
      </c>
      <c r="AZ70" s="17">
        <v>0.90239577961953177</v>
      </c>
      <c r="BA70" s="17">
        <v>0.73379048305202055</v>
      </c>
      <c r="BB70" s="17">
        <v>0.67791425702200769</v>
      </c>
      <c r="BC70" s="17">
        <v>0.40848471590592522</v>
      </c>
      <c r="BD70" s="17">
        <v>-0.92274970563046588</v>
      </c>
      <c r="BE70" s="17">
        <v>-0.45005853075428187</v>
      </c>
      <c r="BF70" s="17">
        <v>0.23074823175895254</v>
      </c>
      <c r="BK70" s="20">
        <v>1.0546752615884143</v>
      </c>
      <c r="BL70" s="20">
        <v>-5.4772221972474174E-2</v>
      </c>
      <c r="BN70" s="21">
        <f t="shared" si="2"/>
        <v>0</v>
      </c>
    </row>
    <row r="71" spans="1:66">
      <c r="A71" s="14">
        <v>12.78</v>
      </c>
      <c r="B71" s="14">
        <v>16.489999999999998</v>
      </c>
      <c r="C71" s="14">
        <v>81.37</v>
      </c>
      <c r="D71" s="14">
        <v>502.5</v>
      </c>
      <c r="E71" s="14">
        <v>5.2339999999999998E-2</v>
      </c>
      <c r="F71" s="14">
        <v>3.653E-2</v>
      </c>
      <c r="G71" s="14">
        <v>2.8639999999999999E-2</v>
      </c>
      <c r="H71" s="14">
        <v>13.46</v>
      </c>
      <c r="I71" s="14">
        <v>554.9</v>
      </c>
      <c r="J71" s="14">
        <v>5.8819999999999997E-2</v>
      </c>
      <c r="M71" s="16">
        <v>0</v>
      </c>
      <c r="O71" s="12">
        <f t="shared" si="3"/>
        <v>1</v>
      </c>
      <c r="P71" s="12">
        <f t="shared" si="4"/>
        <v>0</v>
      </c>
      <c r="R71" s="17">
        <v>-0.86216493245391179</v>
      </c>
      <c r="S71" s="17">
        <v>0.86592397083683859</v>
      </c>
      <c r="T71" s="17">
        <v>1.1492407566427856</v>
      </c>
      <c r="U71" s="17">
        <v>0.30971288832147947</v>
      </c>
      <c r="V71" s="17">
        <v>1.322038261257461</v>
      </c>
      <c r="W71" s="17">
        <v>-0.54000870393571332</v>
      </c>
      <c r="X71" s="17">
        <v>-0.93446499101467595</v>
      </c>
      <c r="Y71" s="17">
        <v>1.3623707400649003</v>
      </c>
      <c r="Z71" s="17">
        <v>0.73556995189170193</v>
      </c>
      <c r="AA71" s="17">
        <v>1.6983871669386827</v>
      </c>
      <c r="AB71" s="17">
        <v>-1.2113068807979621</v>
      </c>
      <c r="AC71" s="17">
        <v>1.5906603286575782</v>
      </c>
      <c r="AD71" s="17">
        <v>-0.8593627097567913</v>
      </c>
      <c r="AE71" s="17">
        <v>1.3374666300864129</v>
      </c>
      <c r="AF71" s="17">
        <v>1.6049118769290147</v>
      </c>
      <c r="AG71" s="17">
        <v>1.3481853892245086</v>
      </c>
      <c r="AH71" s="17">
        <v>0.33128292594394448</v>
      </c>
      <c r="AI71" s="17">
        <v>-1.6572512841003593</v>
      </c>
      <c r="AJ71" s="17">
        <v>-0.4315878441673433</v>
      </c>
      <c r="AK71" s="17">
        <v>0.36873422441298942</v>
      </c>
      <c r="AM71" s="17">
        <v>-0.80749722578515759</v>
      </c>
      <c r="AN71" s="17">
        <v>0.71039762369083403</v>
      </c>
      <c r="AO71" s="17">
        <v>0.57266884517496908</v>
      </c>
      <c r="AP71" s="17">
        <v>0.35909960489254139</v>
      </c>
      <c r="AQ71" s="17">
        <v>0.86531826269238654</v>
      </c>
      <c r="AR71" s="17">
        <v>-0.70953441469380885</v>
      </c>
      <c r="AS71" s="17">
        <v>-0.81699757384070115</v>
      </c>
      <c r="AT71" s="17">
        <v>0.7562632317672241</v>
      </c>
      <c r="AU71" s="17">
        <v>0.84140814047482637</v>
      </c>
      <c r="AV71" s="17">
        <v>0.86113318595196897</v>
      </c>
      <c r="AW71" s="17">
        <v>-0.54429991700743718</v>
      </c>
      <c r="AX71" s="17">
        <v>0.82590174880295009</v>
      </c>
      <c r="AY71" s="17">
        <v>-0.64442594571122458</v>
      </c>
      <c r="AZ71" s="17">
        <v>0.88963829721720655</v>
      </c>
      <c r="BA71" s="17">
        <v>0.62697772469550028</v>
      </c>
      <c r="BB71" s="17">
        <v>0.57995396463846638</v>
      </c>
      <c r="BC71" s="17">
        <v>0.40308390545189382</v>
      </c>
      <c r="BD71" s="17">
        <v>-0.90390157900534285</v>
      </c>
      <c r="BE71" s="17">
        <v>-0.43389034115555536</v>
      </c>
      <c r="BF71" s="17">
        <v>-3.703956026277351E-2</v>
      </c>
      <c r="BK71" s="20">
        <v>3.2102901158164832E-2</v>
      </c>
      <c r="BL71" s="20">
        <v>0.96786286708547331</v>
      </c>
      <c r="BN71" s="21">
        <f t="shared" si="2"/>
        <v>1</v>
      </c>
    </row>
    <row r="72" spans="1:66">
      <c r="A72" s="14">
        <v>18.940000000000001</v>
      </c>
      <c r="B72" s="14">
        <v>21.31</v>
      </c>
      <c r="C72" s="14">
        <v>123.6</v>
      </c>
      <c r="D72" s="14">
        <v>1130</v>
      </c>
      <c r="E72" s="14">
        <v>0.10290000000000001</v>
      </c>
      <c r="F72" s="14">
        <v>0.108</v>
      </c>
      <c r="G72" s="14">
        <v>7.9509999999999997E-2</v>
      </c>
      <c r="H72" s="14">
        <v>24.86</v>
      </c>
      <c r="I72" s="14">
        <v>1866</v>
      </c>
      <c r="J72" s="14">
        <v>0.1789</v>
      </c>
      <c r="M72" s="16">
        <v>1</v>
      </c>
      <c r="O72" s="12">
        <f t="shared" si="3"/>
        <v>0</v>
      </c>
      <c r="P72" s="12">
        <f t="shared" si="4"/>
        <v>1</v>
      </c>
      <c r="R72" s="17">
        <v>-1.4643074708783446</v>
      </c>
      <c r="S72" s="17">
        <v>1.0359333700219733</v>
      </c>
      <c r="T72" s="17">
        <v>0.4503249130137873</v>
      </c>
      <c r="U72" s="17">
        <v>0.47751119115197871</v>
      </c>
      <c r="V72" s="17">
        <v>1.5052132201123889</v>
      </c>
      <c r="W72" s="17">
        <v>-1.2567352733816861</v>
      </c>
      <c r="X72" s="17">
        <v>-1.4659127711484521</v>
      </c>
      <c r="Y72" s="17">
        <v>0.877385815472147</v>
      </c>
      <c r="Z72" s="17">
        <v>1.7463530467411736</v>
      </c>
      <c r="AA72" s="17">
        <v>1.2163845753889837</v>
      </c>
      <c r="AB72" s="17">
        <v>-0.28839333793737798</v>
      </c>
      <c r="AC72" s="17">
        <v>1.0652147513376473</v>
      </c>
      <c r="AD72" s="17">
        <v>-0.81583654438301023</v>
      </c>
      <c r="AE72" s="17">
        <v>1.6894094608623824</v>
      </c>
      <c r="AF72" s="17">
        <v>0.2496334827590041</v>
      </c>
      <c r="AG72" s="17">
        <v>0.29010426800531797</v>
      </c>
      <c r="AH72" s="17">
        <v>0.55723475600471262</v>
      </c>
      <c r="AI72" s="17">
        <v>-1.603629768829455</v>
      </c>
      <c r="AJ72" s="17">
        <v>-0.55690825498325469</v>
      </c>
      <c r="AK72" s="17">
        <v>0.41256201738018505</v>
      </c>
      <c r="AM72" s="17">
        <v>-0.92710283837857821</v>
      </c>
      <c r="AN72" s="17">
        <v>0.80071849455429633</v>
      </c>
      <c r="AO72" s="17">
        <v>0.16256434379998827</v>
      </c>
      <c r="AP72" s="17">
        <v>0.48346838745044568</v>
      </c>
      <c r="AQ72" s="17">
        <v>0.91934600663050747</v>
      </c>
      <c r="AR72" s="17">
        <v>-0.89576517721445081</v>
      </c>
      <c r="AS72" s="17">
        <v>-0.9250666891360867</v>
      </c>
      <c r="AT72" s="17">
        <v>0.6585592484783187</v>
      </c>
      <c r="AU72" s="17">
        <v>0.96532965406195148</v>
      </c>
      <c r="AV72" s="17">
        <v>0.81392550527986285</v>
      </c>
      <c r="AW72" s="17">
        <v>-8.7284991607573192E-2</v>
      </c>
      <c r="AX72" s="17">
        <v>0.75034265460540861</v>
      </c>
      <c r="AY72" s="17">
        <v>-0.67872553019439796</v>
      </c>
      <c r="AZ72" s="17">
        <v>0.94800808747165</v>
      </c>
      <c r="BA72" s="17">
        <v>-4.9739566985812646E-2</v>
      </c>
      <c r="BB72" s="17">
        <v>5.8700066337517086E-2</v>
      </c>
      <c r="BC72" s="17">
        <v>0.55277591287732963</v>
      </c>
      <c r="BD72" s="17">
        <v>-0.92638567946610073</v>
      </c>
      <c r="BE72" s="17">
        <v>-0.53657416284232007</v>
      </c>
      <c r="BF72" s="17">
        <v>-0.13491680004575998</v>
      </c>
      <c r="BK72" s="20">
        <v>0.13485937975391984</v>
      </c>
      <c r="BL72" s="20">
        <v>0.86520586465922955</v>
      </c>
      <c r="BN72" s="21">
        <f t="shared" si="2"/>
        <v>1</v>
      </c>
    </row>
    <row r="73" spans="1:66">
      <c r="A73" s="14">
        <v>8.8879999999999999</v>
      </c>
      <c r="B73" s="14">
        <v>14.64</v>
      </c>
      <c r="C73" s="14">
        <v>58.79</v>
      </c>
      <c r="D73" s="14">
        <v>244</v>
      </c>
      <c r="E73" s="14">
        <v>0.15310000000000001</v>
      </c>
      <c r="F73" s="14">
        <v>8.6059999999999998E-2</v>
      </c>
      <c r="G73" s="14">
        <v>2.8719999999999999E-2</v>
      </c>
      <c r="H73" s="14">
        <v>9.7330000000000005</v>
      </c>
      <c r="I73" s="14">
        <v>284.39999999999998</v>
      </c>
      <c r="J73" s="14">
        <v>4.786E-2</v>
      </c>
      <c r="M73" s="16">
        <v>0</v>
      </c>
      <c r="O73" s="12">
        <f t="shared" si="3"/>
        <v>1</v>
      </c>
      <c r="P73" s="12">
        <f t="shared" si="4"/>
        <v>0</v>
      </c>
      <c r="R73" s="17">
        <v>-1.4643074708783446</v>
      </c>
      <c r="S73" s="17">
        <v>1.0359333700219733</v>
      </c>
      <c r="T73" s="17">
        <v>0.4503249130137873</v>
      </c>
      <c r="U73" s="17">
        <v>0.47751119115197871</v>
      </c>
      <c r="V73" s="17">
        <v>1.5052132201123889</v>
      </c>
      <c r="W73" s="17">
        <v>-1.2567352733816861</v>
      </c>
      <c r="X73" s="17">
        <v>-1.4659127711484521</v>
      </c>
      <c r="Y73" s="17">
        <v>0.877385815472147</v>
      </c>
      <c r="Z73" s="17">
        <v>1.7463530467411736</v>
      </c>
      <c r="AA73" s="17">
        <v>1.2163845753889837</v>
      </c>
      <c r="AB73" s="17">
        <v>-0.28839333793737798</v>
      </c>
      <c r="AC73" s="17">
        <v>1.0652147513376473</v>
      </c>
      <c r="AD73" s="17">
        <v>-0.81583654438301023</v>
      </c>
      <c r="AE73" s="17">
        <v>1.6894094608623824</v>
      </c>
      <c r="AF73" s="17">
        <v>0.2496334827590041</v>
      </c>
      <c r="AG73" s="17">
        <v>0.29010426800531797</v>
      </c>
      <c r="AH73" s="17">
        <v>0.55723475600471262</v>
      </c>
      <c r="AI73" s="17">
        <v>-1.603629768829455</v>
      </c>
      <c r="AJ73" s="17">
        <v>-0.55690825498325469</v>
      </c>
      <c r="AK73" s="17">
        <v>0.41256201737887288</v>
      </c>
      <c r="AM73" s="17">
        <v>-0.86953813771885913</v>
      </c>
      <c r="AN73" s="17">
        <v>0.75858517334115183</v>
      </c>
      <c r="AO73" s="17">
        <v>0.38219881029080355</v>
      </c>
      <c r="AP73" s="17">
        <v>0.41348106132667534</v>
      </c>
      <c r="AQ73" s="17">
        <v>0.89675528633737422</v>
      </c>
      <c r="AR73" s="17">
        <v>-0.80141403320012483</v>
      </c>
      <c r="AS73" s="17">
        <v>-0.87331774806520879</v>
      </c>
      <c r="AT73" s="17">
        <v>0.74717374916849111</v>
      </c>
      <c r="AU73" s="17">
        <v>0.910277515640595</v>
      </c>
      <c r="AV73" s="17">
        <v>0.86222404256259744</v>
      </c>
      <c r="AW73" s="17">
        <v>-0.43833540340011146</v>
      </c>
      <c r="AX73" s="17">
        <v>0.82129519927886052</v>
      </c>
      <c r="AY73" s="17">
        <v>-0.67362844991704007</v>
      </c>
      <c r="AZ73" s="17">
        <v>0.92230908222535879</v>
      </c>
      <c r="BA73" s="17">
        <v>0.47622825227125698</v>
      </c>
      <c r="BB73" s="17">
        <v>0.46121855017457364</v>
      </c>
      <c r="BC73" s="17">
        <v>0.46777009438096623</v>
      </c>
      <c r="BD73" s="17">
        <v>-0.92170463352913323</v>
      </c>
      <c r="BE73" s="17">
        <v>-0.48307303547391073</v>
      </c>
      <c r="BF73" s="17">
        <v>-0.47140863421934431</v>
      </c>
      <c r="BK73" s="20">
        <v>1.0283961898606588</v>
      </c>
      <c r="BL73" s="20">
        <v>-2.8537332963883912E-2</v>
      </c>
      <c r="BN73" s="21">
        <f t="shared" si="2"/>
        <v>0</v>
      </c>
    </row>
    <row r="74" spans="1:66">
      <c r="A74" s="14">
        <v>17.2</v>
      </c>
      <c r="B74" s="14">
        <v>24.52</v>
      </c>
      <c r="C74" s="14">
        <v>114.2</v>
      </c>
      <c r="D74" s="14">
        <v>929.4</v>
      </c>
      <c r="E74" s="14">
        <v>0.183</v>
      </c>
      <c r="F74" s="14">
        <v>0.16919999999999999</v>
      </c>
      <c r="G74" s="14">
        <v>7.9439999999999997E-2</v>
      </c>
      <c r="H74" s="14">
        <v>23.32</v>
      </c>
      <c r="I74" s="14">
        <v>1681</v>
      </c>
      <c r="J74" s="14">
        <v>0.18990000000000001</v>
      </c>
      <c r="M74" s="16">
        <v>1</v>
      </c>
      <c r="O74" s="12">
        <f t="shared" si="3"/>
        <v>0</v>
      </c>
      <c r="P74" s="12">
        <f t="shared" si="4"/>
        <v>1</v>
      </c>
      <c r="R74" s="17">
        <v>-1.4643074708783446</v>
      </c>
      <c r="S74" s="17">
        <v>1.0359333700219733</v>
      </c>
      <c r="T74" s="17">
        <v>0.4503249130137873</v>
      </c>
      <c r="U74" s="17">
        <v>0.47751119115197871</v>
      </c>
      <c r="V74" s="17">
        <v>1.5052132201123889</v>
      </c>
      <c r="W74" s="17">
        <v>-1.2567352733816861</v>
      </c>
      <c r="X74" s="17">
        <v>-1.4659127711484521</v>
      </c>
      <c r="Y74" s="17">
        <v>0.877385815472147</v>
      </c>
      <c r="Z74" s="17">
        <v>1.7463530467411736</v>
      </c>
      <c r="AA74" s="17">
        <v>1.2163845753889837</v>
      </c>
      <c r="AB74" s="17">
        <v>-0.28839333793737798</v>
      </c>
      <c r="AC74" s="17">
        <v>1.0652147513376473</v>
      </c>
      <c r="AD74" s="17">
        <v>-0.81583654438301023</v>
      </c>
      <c r="AE74" s="17">
        <v>1.6894094608623824</v>
      </c>
      <c r="AF74" s="17">
        <v>0.2496334827590041</v>
      </c>
      <c r="AG74" s="17">
        <v>0.29010426800531797</v>
      </c>
      <c r="AH74" s="17">
        <v>0.55723475600471262</v>
      </c>
      <c r="AI74" s="17">
        <v>-1.603629768829455</v>
      </c>
      <c r="AJ74" s="17">
        <v>-0.55690825498325469</v>
      </c>
      <c r="AK74" s="17">
        <v>0.41256201722778019</v>
      </c>
      <c r="AM74" s="17">
        <v>-0.87207314498381294</v>
      </c>
      <c r="AN74" s="17">
        <v>0.7544200856803519</v>
      </c>
      <c r="AO74" s="17">
        <v>0.51142745957804769</v>
      </c>
      <c r="AP74" s="17">
        <v>0.41472872172377651</v>
      </c>
      <c r="AQ74" s="17">
        <v>0.8930859310231738</v>
      </c>
      <c r="AR74" s="17">
        <v>-0.80928613553087669</v>
      </c>
      <c r="AS74" s="17">
        <v>-0.87466776085457765</v>
      </c>
      <c r="AT74" s="17">
        <v>0.72405528788726159</v>
      </c>
      <c r="AU74" s="17">
        <v>0.91562556723631228</v>
      </c>
      <c r="AV74" s="17">
        <v>0.84682573763137314</v>
      </c>
      <c r="AW74" s="17">
        <v>-0.38201816151441992</v>
      </c>
      <c r="AX74" s="17">
        <v>0.8018708026379594</v>
      </c>
      <c r="AY74" s="17">
        <v>-0.66280202876816652</v>
      </c>
      <c r="AZ74" s="17">
        <v>0.92066855640554957</v>
      </c>
      <c r="BA74" s="17">
        <v>0.39874485492496908</v>
      </c>
      <c r="BB74" s="17">
        <v>0.39862634196112784</v>
      </c>
      <c r="BC74" s="17">
        <v>0.47071586041325919</v>
      </c>
      <c r="BD74" s="17">
        <v>-0.91605471996610477</v>
      </c>
      <c r="BE74" s="17">
        <v>-0.48079956119301098</v>
      </c>
      <c r="BF74" s="17">
        <v>-8.0347366442902329E-2</v>
      </c>
      <c r="BK74" s="20">
        <v>-3.921349952631082E-2</v>
      </c>
      <c r="BL74" s="20">
        <v>1.039231384420225</v>
      </c>
      <c r="BN74" s="21">
        <f t="shared" si="2"/>
        <v>1</v>
      </c>
    </row>
    <row r="75" spans="1:66">
      <c r="A75" s="14">
        <v>13.8</v>
      </c>
      <c r="B75" s="14">
        <v>15.79</v>
      </c>
      <c r="C75" s="14">
        <v>90.43</v>
      </c>
      <c r="D75" s="14">
        <v>584.1</v>
      </c>
      <c r="E75" s="14">
        <v>0.128</v>
      </c>
      <c r="F75" s="14">
        <v>7.7890000000000001E-2</v>
      </c>
      <c r="G75" s="14">
        <v>5.0689999999999999E-2</v>
      </c>
      <c r="H75" s="14">
        <v>16.57</v>
      </c>
      <c r="I75" s="14">
        <v>812.4</v>
      </c>
      <c r="J75" s="14">
        <v>0.13830000000000001</v>
      </c>
      <c r="M75" s="16">
        <v>1</v>
      </c>
      <c r="O75" s="12">
        <f t="shared" si="3"/>
        <v>0</v>
      </c>
      <c r="P75" s="12">
        <f t="shared" si="4"/>
        <v>1</v>
      </c>
      <c r="R75" s="17">
        <v>-1.4643074708783446</v>
      </c>
      <c r="S75" s="17">
        <v>1.0359333700219733</v>
      </c>
      <c r="T75" s="17">
        <v>0.4503249130137873</v>
      </c>
      <c r="U75" s="17">
        <v>0.47751119115197871</v>
      </c>
      <c r="V75" s="17">
        <v>1.5052132201123889</v>
      </c>
      <c r="W75" s="17">
        <v>-1.2567352733816861</v>
      </c>
      <c r="X75" s="17">
        <v>-1.4659127711484521</v>
      </c>
      <c r="Y75" s="17">
        <v>0.877385815472147</v>
      </c>
      <c r="Z75" s="17">
        <v>1.7463530467411736</v>
      </c>
      <c r="AA75" s="17">
        <v>1.2163845753889837</v>
      </c>
      <c r="AB75" s="17">
        <v>-0.28839333793737798</v>
      </c>
      <c r="AC75" s="17">
        <v>1.0652147513376473</v>
      </c>
      <c r="AD75" s="17">
        <v>-0.81583654438301023</v>
      </c>
      <c r="AE75" s="17">
        <v>1.6894094608623824</v>
      </c>
      <c r="AF75" s="17">
        <v>0.2496334827590041</v>
      </c>
      <c r="AG75" s="17">
        <v>0.29010426800531797</v>
      </c>
      <c r="AH75" s="17">
        <v>0.55723475600471262</v>
      </c>
      <c r="AI75" s="17">
        <v>-1.603629768829455</v>
      </c>
      <c r="AJ75" s="17">
        <v>-0.55690825498325469</v>
      </c>
      <c r="AK75" s="17">
        <v>-1.1612137267602387</v>
      </c>
      <c r="AM75" s="17">
        <v>-0.90102666382796204</v>
      </c>
      <c r="AN75" s="17">
        <v>0.77789853357064342</v>
      </c>
      <c r="AO75" s="17">
        <v>0.27929976772066095</v>
      </c>
      <c r="AP75" s="17">
        <v>0.44725659191799699</v>
      </c>
      <c r="AQ75" s="17">
        <v>0.90690837605567254</v>
      </c>
      <c r="AR75" s="17">
        <v>-0.85443637063192879</v>
      </c>
      <c r="AS75" s="17">
        <v>-0.90105108243179133</v>
      </c>
      <c r="AT75" s="17">
        <v>0.70021254241506192</v>
      </c>
      <c r="AU75" s="17">
        <v>0.94343122269093149</v>
      </c>
      <c r="AV75" s="17">
        <v>0.83576407641959205</v>
      </c>
      <c r="AW75" s="17">
        <v>-0.26294627822123573</v>
      </c>
      <c r="AX75" s="17">
        <v>0.78366542464993028</v>
      </c>
      <c r="AY75" s="17">
        <v>-0.67253376930717612</v>
      </c>
      <c r="AZ75" s="17">
        <v>0.93511394291069583</v>
      </c>
      <c r="BA75" s="17">
        <v>0.21791061186910221</v>
      </c>
      <c r="BB75" s="17">
        <v>0.26191185989164484</v>
      </c>
      <c r="BC75" s="17">
        <v>0.50964148837184153</v>
      </c>
      <c r="BD75" s="17">
        <v>-0.92217129301175149</v>
      </c>
      <c r="BE75" s="17">
        <v>-0.50784175606004556</v>
      </c>
      <c r="BF75" s="17">
        <v>7.6730399006205541E-2</v>
      </c>
      <c r="BK75" s="20">
        <v>-7.2692238736529413E-2</v>
      </c>
      <c r="BL75" s="20">
        <v>1.072622493178927</v>
      </c>
      <c r="BN75" s="21">
        <f t="shared" si="2"/>
        <v>1</v>
      </c>
    </row>
    <row r="76" spans="1:66">
      <c r="A76" s="14">
        <v>12.31</v>
      </c>
      <c r="B76" s="14">
        <v>16.52</v>
      </c>
      <c r="C76" s="14">
        <v>79.19</v>
      </c>
      <c r="D76" s="14">
        <v>470.9</v>
      </c>
      <c r="E76" s="14">
        <v>6.8290000000000003E-2</v>
      </c>
      <c r="F76" s="14">
        <v>3.372E-2</v>
      </c>
      <c r="G76" s="14">
        <v>2.2720000000000001E-2</v>
      </c>
      <c r="H76" s="14">
        <v>14.11</v>
      </c>
      <c r="I76" s="14">
        <v>611.1</v>
      </c>
      <c r="J76" s="14">
        <v>8.6599999999999996E-2</v>
      </c>
      <c r="M76" s="16">
        <v>0</v>
      </c>
      <c r="O76" s="12">
        <f t="shared" si="3"/>
        <v>1</v>
      </c>
      <c r="P76" s="12">
        <f t="shared" si="4"/>
        <v>0</v>
      </c>
      <c r="R76" s="17">
        <v>-1.4643074708783446</v>
      </c>
      <c r="S76" s="17">
        <v>1.0359333700219733</v>
      </c>
      <c r="T76" s="17">
        <v>0.4503249130137873</v>
      </c>
      <c r="U76" s="17">
        <v>0.47751119115197871</v>
      </c>
      <c r="V76" s="17">
        <v>1.5052132201123889</v>
      </c>
      <c r="W76" s="17">
        <v>-1.2567352733816861</v>
      </c>
      <c r="X76" s="17">
        <v>-1.4659127711484521</v>
      </c>
      <c r="Y76" s="17">
        <v>0.877385815472147</v>
      </c>
      <c r="Z76" s="17">
        <v>1.7463530467411736</v>
      </c>
      <c r="AA76" s="17">
        <v>1.2163845753889837</v>
      </c>
      <c r="AB76" s="17">
        <v>-0.28839333793737798</v>
      </c>
      <c r="AC76" s="17">
        <v>1.0652147513376473</v>
      </c>
      <c r="AD76" s="17">
        <v>-0.81583654438301023</v>
      </c>
      <c r="AE76" s="17">
        <v>1.6894094608623824</v>
      </c>
      <c r="AF76" s="17">
        <v>0.2496334827590041</v>
      </c>
      <c r="AG76" s="17">
        <v>0.29010426800531797</v>
      </c>
      <c r="AH76" s="17">
        <v>0.55723475600471262</v>
      </c>
      <c r="AI76" s="17">
        <v>-1.603629768829455</v>
      </c>
      <c r="AJ76" s="17">
        <v>-0.55690825498325469</v>
      </c>
      <c r="AK76" s="17">
        <v>0.41256201738018505</v>
      </c>
      <c r="AM76" s="17">
        <v>-0.5956781834208551</v>
      </c>
      <c r="AN76" s="17">
        <v>0.61723738679776186</v>
      </c>
      <c r="AO76" s="17">
        <v>0.75469769833455902</v>
      </c>
      <c r="AP76" s="17">
        <v>0.24496827263950757</v>
      </c>
      <c r="AQ76" s="17">
        <v>0.80247537322659013</v>
      </c>
      <c r="AR76" s="17">
        <v>-0.38475571827965516</v>
      </c>
      <c r="AS76" s="17">
        <v>-0.63673166741210452</v>
      </c>
      <c r="AT76" s="17">
        <v>0.82979369439378436</v>
      </c>
      <c r="AU76" s="17">
        <v>0.50056328257115668</v>
      </c>
      <c r="AV76" s="17">
        <v>0.89987820680452302</v>
      </c>
      <c r="AW76" s="17">
        <v>-0.79724068926290947</v>
      </c>
      <c r="AX76" s="17">
        <v>0.88174049392191778</v>
      </c>
      <c r="AY76" s="17">
        <v>-0.62322483966222797</v>
      </c>
      <c r="AZ76" s="17">
        <v>0.802822578541451</v>
      </c>
      <c r="BA76" s="17">
        <v>0.89667424647390526</v>
      </c>
      <c r="BB76" s="17">
        <v>0.83861487404062263</v>
      </c>
      <c r="BC76" s="17">
        <v>0.25816570538223721</v>
      </c>
      <c r="BD76" s="17">
        <v>-0.88666581593732829</v>
      </c>
      <c r="BE76" s="17">
        <v>-0.34187735495195171</v>
      </c>
      <c r="BF76" s="17">
        <v>-0.15345221438026027</v>
      </c>
      <c r="BK76" s="20">
        <v>0.90616613099096444</v>
      </c>
      <c r="BL76" s="20">
        <v>9.3814934586530938E-2</v>
      </c>
      <c r="BN76" s="21">
        <f t="shared" si="2"/>
        <v>0</v>
      </c>
    </row>
    <row r="77" spans="1:66">
      <c r="A77" s="14">
        <v>16.07</v>
      </c>
      <c r="B77" s="14">
        <v>19.649999999999999</v>
      </c>
      <c r="C77" s="14">
        <v>104.1</v>
      </c>
      <c r="D77" s="14">
        <v>817.7</v>
      </c>
      <c r="E77" s="14">
        <v>8.4239999999999995E-2</v>
      </c>
      <c r="F77" s="14">
        <v>9.7689999999999999E-2</v>
      </c>
      <c r="G77" s="14">
        <v>6.6379999999999995E-2</v>
      </c>
      <c r="H77" s="14">
        <v>19.77</v>
      </c>
      <c r="I77" s="14">
        <v>1223</v>
      </c>
      <c r="J77" s="14">
        <v>0.152</v>
      </c>
      <c r="M77" s="16">
        <v>1</v>
      </c>
      <c r="O77" s="12">
        <f t="shared" si="3"/>
        <v>0</v>
      </c>
      <c r="P77" s="12">
        <f t="shared" si="4"/>
        <v>1</v>
      </c>
      <c r="R77" s="17">
        <v>-1.4643074708783446</v>
      </c>
      <c r="S77" s="17">
        <v>1.0359333700219733</v>
      </c>
      <c r="T77" s="17">
        <v>0.4503249130137873</v>
      </c>
      <c r="U77" s="17">
        <v>0.47751119115197871</v>
      </c>
      <c r="V77" s="17">
        <v>1.5052132201123889</v>
      </c>
      <c r="W77" s="17">
        <v>-1.2567352733816861</v>
      </c>
      <c r="X77" s="17">
        <v>-1.4659127711484521</v>
      </c>
      <c r="Y77" s="17">
        <v>0.877385815472147</v>
      </c>
      <c r="Z77" s="17">
        <v>1.7463530467411736</v>
      </c>
      <c r="AA77" s="17">
        <v>1.2163845753889837</v>
      </c>
      <c r="AB77" s="17">
        <v>-0.28839333793737798</v>
      </c>
      <c r="AC77" s="17">
        <v>1.0652147513376473</v>
      </c>
      <c r="AD77" s="17">
        <v>-0.81583654438301023</v>
      </c>
      <c r="AE77" s="17">
        <v>1.6894094608623824</v>
      </c>
      <c r="AF77" s="17">
        <v>0.2496334827590041</v>
      </c>
      <c r="AG77" s="17">
        <v>0.29010426800531797</v>
      </c>
      <c r="AH77" s="17">
        <v>0.55723475600471262</v>
      </c>
      <c r="AI77" s="17">
        <v>-1.603629768829455</v>
      </c>
      <c r="AJ77" s="17">
        <v>-0.55690825498325469</v>
      </c>
      <c r="AK77" s="17">
        <v>-1.5874379821585831</v>
      </c>
      <c r="AM77" s="17">
        <v>-0.85823901763528609</v>
      </c>
      <c r="AN77" s="17">
        <v>0.74286245754006563</v>
      </c>
      <c r="AO77" s="17">
        <v>0.4778098333047337</v>
      </c>
      <c r="AP77" s="17">
        <v>0.40093948271112462</v>
      </c>
      <c r="AQ77" s="17">
        <v>0.88576398604101914</v>
      </c>
      <c r="AR77" s="17">
        <v>-0.78864297082222112</v>
      </c>
      <c r="AS77" s="17">
        <v>-0.8619864782110459</v>
      </c>
      <c r="AT77" s="17">
        <v>0.72821539500214771</v>
      </c>
      <c r="AU77" s="17">
        <v>0.90168411543291083</v>
      </c>
      <c r="AV77" s="17">
        <v>0.8476146747218829</v>
      </c>
      <c r="AW77" s="17">
        <v>-0.41615607595290094</v>
      </c>
      <c r="AX77" s="17">
        <v>0.80455126224587359</v>
      </c>
      <c r="AY77" s="17">
        <v>-0.6560506413829319</v>
      </c>
      <c r="AZ77" s="17">
        <v>0.91325896594105038</v>
      </c>
      <c r="BA77" s="17">
        <v>0.45007924448279912</v>
      </c>
      <c r="BB77" s="17">
        <v>0.43761450167448673</v>
      </c>
      <c r="BC77" s="17">
        <v>0.45437357822152841</v>
      </c>
      <c r="BD77" s="17">
        <v>-0.9119301835153969</v>
      </c>
      <c r="BE77" s="17">
        <v>-0.4685489595364547</v>
      </c>
      <c r="BF77" s="17">
        <v>0.10136952000403737</v>
      </c>
      <c r="BK77" s="20">
        <v>0.88483083531116924</v>
      </c>
      <c r="BL77" s="20">
        <v>0.11538405787780792</v>
      </c>
      <c r="BN77" s="21">
        <f t="shared" si="2"/>
        <v>0</v>
      </c>
    </row>
    <row r="78" spans="1:66">
      <c r="A78" s="14">
        <v>13.53</v>
      </c>
      <c r="B78" s="14">
        <v>10.94</v>
      </c>
      <c r="C78" s="14">
        <v>87.91</v>
      </c>
      <c r="D78" s="14">
        <v>559.20000000000005</v>
      </c>
      <c r="E78" s="14">
        <v>0.1047</v>
      </c>
      <c r="F78" s="14">
        <v>6.8769999999999998E-2</v>
      </c>
      <c r="G78" s="14">
        <v>6.5559999999999993E-2</v>
      </c>
      <c r="H78" s="14">
        <v>14.08</v>
      </c>
      <c r="I78" s="14">
        <v>605.5</v>
      </c>
      <c r="J78" s="14">
        <v>7.4069999999999997E-2</v>
      </c>
      <c r="M78" s="16">
        <v>0</v>
      </c>
      <c r="O78" s="12">
        <f t="shared" si="3"/>
        <v>1</v>
      </c>
      <c r="P78" s="12">
        <f t="shared" si="4"/>
        <v>0</v>
      </c>
      <c r="R78" s="17">
        <v>-1.4643074708783446</v>
      </c>
      <c r="S78" s="17">
        <v>1.0359333700219733</v>
      </c>
      <c r="T78" s="17">
        <v>0.4503249130137873</v>
      </c>
      <c r="U78" s="17">
        <v>0.47751119115197871</v>
      </c>
      <c r="V78" s="17">
        <v>1.5052132201123889</v>
      </c>
      <c r="W78" s="17">
        <v>-1.2567352733816861</v>
      </c>
      <c r="X78" s="17">
        <v>-1.4659127711484521</v>
      </c>
      <c r="Y78" s="17">
        <v>0.877385815472147</v>
      </c>
      <c r="Z78" s="17">
        <v>1.7463530467411736</v>
      </c>
      <c r="AA78" s="17">
        <v>1.2163845753889837</v>
      </c>
      <c r="AB78" s="17">
        <v>-0.28839333793737798</v>
      </c>
      <c r="AC78" s="17">
        <v>1.0652147513376473</v>
      </c>
      <c r="AD78" s="17">
        <v>-0.81583654438301023</v>
      </c>
      <c r="AE78" s="17">
        <v>1.6894094608623824</v>
      </c>
      <c r="AF78" s="17">
        <v>0.2496334827590041</v>
      </c>
      <c r="AG78" s="17">
        <v>0.29010426800531797</v>
      </c>
      <c r="AH78" s="17">
        <v>0.55723475600471262</v>
      </c>
      <c r="AI78" s="17">
        <v>-1.603629768829455</v>
      </c>
      <c r="AJ78" s="17">
        <v>-0.55690825498325469</v>
      </c>
      <c r="AK78" s="17">
        <v>0.41256198343227923</v>
      </c>
      <c r="AM78" s="17">
        <v>-0.72557359081562323</v>
      </c>
      <c r="AN78" s="17">
        <v>0.70421321469171727</v>
      </c>
      <c r="AO78" s="17">
        <v>0.75854541613396986</v>
      </c>
      <c r="AP78" s="17">
        <v>0.31394827548026732</v>
      </c>
      <c r="AQ78" s="17">
        <v>0.86886831287621791</v>
      </c>
      <c r="AR78" s="17">
        <v>-0.54628667141754728</v>
      </c>
      <c r="AS78" s="17">
        <v>-0.75440823386865385</v>
      </c>
      <c r="AT78" s="17">
        <v>0.86043775769423159</v>
      </c>
      <c r="AU78" s="17">
        <v>0.68521550128504205</v>
      </c>
      <c r="AV78" s="17">
        <v>0.92576055244347788</v>
      </c>
      <c r="AW78" s="17">
        <v>-0.79958753657720671</v>
      </c>
      <c r="AX78" s="17">
        <v>0.90808785819851678</v>
      </c>
      <c r="AY78" s="17">
        <v>-0.68880664798536206</v>
      </c>
      <c r="AZ78" s="17">
        <v>0.87691011916880179</v>
      </c>
      <c r="BA78" s="17">
        <v>0.89360567243643052</v>
      </c>
      <c r="BB78" s="17">
        <v>0.83909086892237716</v>
      </c>
      <c r="BC78" s="17">
        <v>0.33872201214372755</v>
      </c>
      <c r="BD78" s="17">
        <v>-0.92665664921403734</v>
      </c>
      <c r="BE78" s="17">
        <v>-0.41436505186027472</v>
      </c>
      <c r="BF78" s="17">
        <v>-4.1432408960293744E-2</v>
      </c>
      <c r="BK78" s="20">
        <v>1.0301880980715588</v>
      </c>
      <c r="BL78" s="20">
        <v>-3.0152694431491416E-2</v>
      </c>
      <c r="BN78" s="21">
        <f t="shared" si="2"/>
        <v>0</v>
      </c>
    </row>
    <row r="79" spans="1:66">
      <c r="A79" s="14">
        <v>18.05</v>
      </c>
      <c r="B79" s="14">
        <v>16.149999999999999</v>
      </c>
      <c r="C79" s="14">
        <v>120.2</v>
      </c>
      <c r="D79" s="14">
        <v>1006</v>
      </c>
      <c r="E79" s="14">
        <v>0.21460000000000001</v>
      </c>
      <c r="F79" s="14">
        <v>0.16839999999999999</v>
      </c>
      <c r="G79" s="14">
        <v>0.108</v>
      </c>
      <c r="H79" s="14">
        <v>22.39</v>
      </c>
      <c r="I79" s="14">
        <v>1610</v>
      </c>
      <c r="J79" s="14">
        <v>0.2102</v>
      </c>
      <c r="M79" s="16">
        <v>1</v>
      </c>
      <c r="O79" s="12">
        <f t="shared" si="3"/>
        <v>0</v>
      </c>
      <c r="P79" s="12">
        <f t="shared" si="4"/>
        <v>1</v>
      </c>
      <c r="R79" s="17">
        <v>-1.4643074708783446</v>
      </c>
      <c r="S79" s="17">
        <v>1.0359333700219733</v>
      </c>
      <c r="T79" s="17">
        <v>0.4503249130137873</v>
      </c>
      <c r="U79" s="17">
        <v>0.47751119115197871</v>
      </c>
      <c r="V79" s="17">
        <v>1.5052132201123889</v>
      </c>
      <c r="W79" s="17">
        <v>-1.2567352733816861</v>
      </c>
      <c r="X79" s="17">
        <v>-1.4659127711484521</v>
      </c>
      <c r="Y79" s="17">
        <v>0.877385815472147</v>
      </c>
      <c r="Z79" s="17">
        <v>1.7463530467411736</v>
      </c>
      <c r="AA79" s="17">
        <v>1.2163845753889837</v>
      </c>
      <c r="AB79" s="17">
        <v>-0.28839333793737798</v>
      </c>
      <c r="AC79" s="17">
        <v>1.0652147513376473</v>
      </c>
      <c r="AD79" s="17">
        <v>-0.81583654438301023</v>
      </c>
      <c r="AE79" s="17">
        <v>1.6894094608623824</v>
      </c>
      <c r="AF79" s="17">
        <v>0.2496334827590041</v>
      </c>
      <c r="AG79" s="17">
        <v>0.29010426800531797</v>
      </c>
      <c r="AH79" s="17">
        <v>0.55723475600471262</v>
      </c>
      <c r="AI79" s="17">
        <v>-1.603629768829455</v>
      </c>
      <c r="AJ79" s="17">
        <v>-0.55690825498325469</v>
      </c>
      <c r="AK79" s="17">
        <v>0.41256201738018505</v>
      </c>
      <c r="AM79" s="17">
        <v>-0.81198871266835881</v>
      </c>
      <c r="AN79" s="17">
        <v>0.73524055939221356</v>
      </c>
      <c r="AO79" s="17">
        <v>0.70736574286262499</v>
      </c>
      <c r="AP79" s="17">
        <v>0.36694139541599613</v>
      </c>
      <c r="AQ79" s="17">
        <v>0.88544934153745025</v>
      </c>
      <c r="AR79" s="17">
        <v>-0.69830878587332057</v>
      </c>
      <c r="AS79" s="17">
        <v>-0.8251414323239824</v>
      </c>
      <c r="AT79" s="17">
        <v>0.81331351584558786</v>
      </c>
      <c r="AU79" s="17">
        <v>0.83137503435712412</v>
      </c>
      <c r="AV79" s="17">
        <v>0.90012316130932202</v>
      </c>
      <c r="AW79" s="17">
        <v>-0.65673790972750401</v>
      </c>
      <c r="AX79" s="17">
        <v>0.87305391233248986</v>
      </c>
      <c r="AY79" s="17">
        <v>-0.68388789793294558</v>
      </c>
      <c r="AZ79" s="17">
        <v>0.90379891436610993</v>
      </c>
      <c r="BA79" s="17">
        <v>0.75416878581313362</v>
      </c>
      <c r="BB79" s="17">
        <v>0.69726084943853517</v>
      </c>
      <c r="BC79" s="17">
        <v>0.40767841289591006</v>
      </c>
      <c r="BD79" s="17">
        <v>-0.92559341149339158</v>
      </c>
      <c r="BE79" s="17">
        <v>-0.45182211197919342</v>
      </c>
      <c r="BF79" s="17">
        <v>0.41150144845494208</v>
      </c>
      <c r="BK79" s="20">
        <v>0.9810455210817306</v>
      </c>
      <c r="BL79" s="20">
        <v>1.9283188456010809E-2</v>
      </c>
      <c r="BN79" s="21">
        <f t="shared" si="2"/>
        <v>0</v>
      </c>
    </row>
    <row r="80" spans="1:66">
      <c r="A80" s="14">
        <v>20.18</v>
      </c>
      <c r="B80" s="14">
        <v>23.97</v>
      </c>
      <c r="C80" s="14">
        <v>143.69999999999999</v>
      </c>
      <c r="D80" s="14">
        <v>1245</v>
      </c>
      <c r="E80" s="14">
        <v>0.34539999999999998</v>
      </c>
      <c r="F80" s="14">
        <v>0.37540000000000001</v>
      </c>
      <c r="G80" s="14">
        <v>0.16039999999999999</v>
      </c>
      <c r="H80" s="14">
        <v>23.37</v>
      </c>
      <c r="I80" s="14">
        <v>1623</v>
      </c>
      <c r="J80" s="14">
        <v>0.25080000000000002</v>
      </c>
      <c r="M80" s="16">
        <v>1</v>
      </c>
      <c r="O80" s="12">
        <f t="shared" si="3"/>
        <v>0</v>
      </c>
      <c r="P80" s="12">
        <f t="shared" si="4"/>
        <v>1</v>
      </c>
      <c r="R80" s="17">
        <v>-0.86216493245391179</v>
      </c>
      <c r="S80" s="17">
        <v>0.86592397083683859</v>
      </c>
      <c r="T80" s="17">
        <v>1.1492407566427856</v>
      </c>
      <c r="U80" s="17">
        <v>0.30971288832147947</v>
      </c>
      <c r="V80" s="17">
        <v>1.322038261257461</v>
      </c>
      <c r="W80" s="17">
        <v>-0.54000870393571332</v>
      </c>
      <c r="X80" s="17">
        <v>-0.93446499101467595</v>
      </c>
      <c r="Y80" s="17">
        <v>1.3623707400649003</v>
      </c>
      <c r="Z80" s="17">
        <v>0.73556995189170193</v>
      </c>
      <c r="AA80" s="17">
        <v>1.6983871669386827</v>
      </c>
      <c r="AB80" s="17">
        <v>-1.2113068807979621</v>
      </c>
      <c r="AC80" s="17">
        <v>1.5906603286575782</v>
      </c>
      <c r="AD80" s="17">
        <v>-0.8593627097567913</v>
      </c>
      <c r="AE80" s="17">
        <v>1.3374666300864129</v>
      </c>
      <c r="AF80" s="17">
        <v>1.6049118769290147</v>
      </c>
      <c r="AG80" s="17">
        <v>1.3481853892245086</v>
      </c>
      <c r="AH80" s="17">
        <v>0.33128292594394448</v>
      </c>
      <c r="AI80" s="17">
        <v>-1.6572512841003593</v>
      </c>
      <c r="AJ80" s="17">
        <v>-0.4315878441673433</v>
      </c>
      <c r="AK80" s="17">
        <v>-1.6287904770585613</v>
      </c>
      <c r="AM80" s="17">
        <v>-0.72554698100138493</v>
      </c>
      <c r="AN80" s="17">
        <v>0.7084405331210657</v>
      </c>
      <c r="AO80" s="17">
        <v>0.79706318685332089</v>
      </c>
      <c r="AP80" s="17">
        <v>0.31478399152099629</v>
      </c>
      <c r="AQ80" s="17">
        <v>0.87234672963123749</v>
      </c>
      <c r="AR80" s="17">
        <v>-0.54159115502065269</v>
      </c>
      <c r="AS80" s="17">
        <v>-0.75540027057692671</v>
      </c>
      <c r="AT80" s="17">
        <v>0.86752795045215925</v>
      </c>
      <c r="AU80" s="17">
        <v>0.68000469733043944</v>
      </c>
      <c r="AV80" s="17">
        <v>0.93026642891701405</v>
      </c>
      <c r="AW80" s="17">
        <v>-0.81168301471837589</v>
      </c>
      <c r="AX80" s="17">
        <v>0.91351668421005983</v>
      </c>
      <c r="AY80" s="17">
        <v>-0.69532899879534338</v>
      </c>
      <c r="AZ80" s="17">
        <v>0.8794915453696488</v>
      </c>
      <c r="BA80" s="17">
        <v>0.90292056417727706</v>
      </c>
      <c r="BB80" s="17">
        <v>0.85025352032246626</v>
      </c>
      <c r="BC80" s="17">
        <v>0.33879660072580864</v>
      </c>
      <c r="BD80" s="17">
        <v>-0.92991262841071609</v>
      </c>
      <c r="BE80" s="17">
        <v>-0.41718712874423752</v>
      </c>
      <c r="BF80" s="17">
        <v>0.17417722478908168</v>
      </c>
      <c r="BK80" s="20">
        <v>-1.4224507140551158E-3</v>
      </c>
      <c r="BL80" s="20">
        <v>1.0014746628094104</v>
      </c>
      <c r="BN80" s="21">
        <f t="shared" si="2"/>
        <v>1</v>
      </c>
    </row>
    <row r="81" spans="1:66">
      <c r="A81" s="14">
        <v>12.86</v>
      </c>
      <c r="B81" s="14">
        <v>18</v>
      </c>
      <c r="C81" s="14">
        <v>83.19</v>
      </c>
      <c r="D81" s="14">
        <v>506.3</v>
      </c>
      <c r="E81" s="14">
        <v>9.5460000000000003E-2</v>
      </c>
      <c r="F81" s="14">
        <v>3.8890000000000001E-2</v>
      </c>
      <c r="G81" s="14">
        <v>2.315E-2</v>
      </c>
      <c r="H81" s="14">
        <v>14.24</v>
      </c>
      <c r="I81" s="14">
        <v>622.1</v>
      </c>
      <c r="J81" s="14">
        <v>7.9259999999999997E-2</v>
      </c>
      <c r="M81" s="16">
        <v>0</v>
      </c>
      <c r="O81" s="12">
        <f t="shared" si="3"/>
        <v>1</v>
      </c>
      <c r="P81" s="12">
        <f t="shared" si="4"/>
        <v>0</v>
      </c>
      <c r="R81" s="17">
        <v>-1.4643074708783446</v>
      </c>
      <c r="S81" s="17">
        <v>1.0359333700219733</v>
      </c>
      <c r="T81" s="17">
        <v>0.4503249130137873</v>
      </c>
      <c r="U81" s="17">
        <v>0.47751119115197871</v>
      </c>
      <c r="V81" s="17">
        <v>1.5052132201123889</v>
      </c>
      <c r="W81" s="17">
        <v>-1.2567352733816861</v>
      </c>
      <c r="X81" s="17">
        <v>-1.4659127711484521</v>
      </c>
      <c r="Y81" s="17">
        <v>0.877385815472147</v>
      </c>
      <c r="Z81" s="17">
        <v>1.7463530467411736</v>
      </c>
      <c r="AA81" s="17">
        <v>1.2163845753889837</v>
      </c>
      <c r="AB81" s="17">
        <v>-0.28839333793737798</v>
      </c>
      <c r="AC81" s="17">
        <v>1.0652147513376473</v>
      </c>
      <c r="AD81" s="17">
        <v>-0.81583654438301023</v>
      </c>
      <c r="AE81" s="17">
        <v>1.6894094608623824</v>
      </c>
      <c r="AF81" s="17">
        <v>0.2496334827590041</v>
      </c>
      <c r="AG81" s="17">
        <v>0.29010426800531797</v>
      </c>
      <c r="AH81" s="17">
        <v>0.55723475600471262</v>
      </c>
      <c r="AI81" s="17">
        <v>-1.603629768829455</v>
      </c>
      <c r="AJ81" s="17">
        <v>-0.55690825498325469</v>
      </c>
      <c r="AK81" s="17">
        <v>0.4124189341217418</v>
      </c>
      <c r="AM81" s="17">
        <v>-0.7337659123614112</v>
      </c>
      <c r="AN81" s="17">
        <v>0.71502304726204002</v>
      </c>
      <c r="AO81" s="17">
        <v>0.82069327132820469</v>
      </c>
      <c r="AP81" s="17">
        <v>0.32002944987807269</v>
      </c>
      <c r="AQ81" s="17">
        <v>0.8769542472671068</v>
      </c>
      <c r="AR81" s="17">
        <v>-0.5516735304159055</v>
      </c>
      <c r="AS81" s="17">
        <v>-0.76296155983798719</v>
      </c>
      <c r="AT81" s="17">
        <v>0.87083435633938922</v>
      </c>
      <c r="AU81" s="17">
        <v>0.69057381062476897</v>
      </c>
      <c r="AV81" s="17">
        <v>0.93265880833600001</v>
      </c>
      <c r="AW81" s="17">
        <v>-0.81410624339279636</v>
      </c>
      <c r="AX81" s="17">
        <v>0.91615718168300542</v>
      </c>
      <c r="AY81" s="17">
        <v>-0.70103520961829457</v>
      </c>
      <c r="AZ81" s="17">
        <v>0.88426832559154844</v>
      </c>
      <c r="BA81" s="17">
        <v>0.90441528343059163</v>
      </c>
      <c r="BB81" s="17">
        <v>0.85235795885387777</v>
      </c>
      <c r="BC81" s="17">
        <v>0.34471445884088842</v>
      </c>
      <c r="BD81" s="17">
        <v>-0.93279858506406654</v>
      </c>
      <c r="BE81" s="17">
        <v>-0.42299445951991305</v>
      </c>
      <c r="BF81" s="17">
        <v>0.48264672050940488</v>
      </c>
      <c r="BK81" s="20">
        <v>0.92411932170026512</v>
      </c>
      <c r="BL81" s="20">
        <v>7.631648253252124E-2</v>
      </c>
      <c r="BN81" s="21">
        <f t="shared" si="2"/>
        <v>0</v>
      </c>
    </row>
    <row r="82" spans="1:66">
      <c r="A82" s="14">
        <v>11.45</v>
      </c>
      <c r="B82" s="14">
        <v>20.97</v>
      </c>
      <c r="C82" s="14">
        <v>73.81</v>
      </c>
      <c r="D82" s="14">
        <v>401.5</v>
      </c>
      <c r="E82" s="14">
        <v>9.3619999999999995E-2</v>
      </c>
      <c r="F82" s="14">
        <v>4.5909999999999999E-2</v>
      </c>
      <c r="G82" s="14">
        <v>2.2329999999999999E-2</v>
      </c>
      <c r="H82" s="14">
        <v>13.11</v>
      </c>
      <c r="I82" s="14">
        <v>525.1</v>
      </c>
      <c r="J82" s="14">
        <v>6.1269999999999998E-2</v>
      </c>
      <c r="M82" s="16">
        <v>0</v>
      </c>
      <c r="O82" s="12">
        <f t="shared" si="3"/>
        <v>1</v>
      </c>
      <c r="P82" s="12">
        <f t="shared" si="4"/>
        <v>0</v>
      </c>
      <c r="R82" s="17">
        <v>-0.86216493245391179</v>
      </c>
      <c r="S82" s="17">
        <v>0.86592397083683859</v>
      </c>
      <c r="T82" s="17">
        <v>1.1492407566427856</v>
      </c>
      <c r="U82" s="17">
        <v>0.30971288832147947</v>
      </c>
      <c r="V82" s="17">
        <v>1.322038261257461</v>
      </c>
      <c r="W82" s="17">
        <v>-0.54000870393571332</v>
      </c>
      <c r="X82" s="17">
        <v>-0.93446499101467595</v>
      </c>
      <c r="Y82" s="17">
        <v>1.3623707400649003</v>
      </c>
      <c r="Z82" s="17">
        <v>0.73556995189170193</v>
      </c>
      <c r="AA82" s="17">
        <v>1.6983871669386827</v>
      </c>
      <c r="AB82" s="17">
        <v>-1.2113068807979621</v>
      </c>
      <c r="AC82" s="17">
        <v>1.5906603286575782</v>
      </c>
      <c r="AD82" s="17">
        <v>-0.8593627097567913</v>
      </c>
      <c r="AE82" s="17">
        <v>1.3374666300864129</v>
      </c>
      <c r="AF82" s="17">
        <v>1.6049118769290147</v>
      </c>
      <c r="AG82" s="17">
        <v>1.3481853892245086</v>
      </c>
      <c r="AH82" s="17">
        <v>0.33128292594394448</v>
      </c>
      <c r="AI82" s="17">
        <v>-1.6572512841003593</v>
      </c>
      <c r="AJ82" s="17">
        <v>-0.4315878441673433</v>
      </c>
      <c r="AK82" s="17">
        <v>0.36870639258535043</v>
      </c>
      <c r="AM82" s="17">
        <v>-0.72054614761455793</v>
      </c>
      <c r="AN82" s="17">
        <v>0.7023827540618669</v>
      </c>
      <c r="AO82" s="17">
        <v>0.78870535298011168</v>
      </c>
      <c r="AP82" s="17">
        <v>0.31123397811728876</v>
      </c>
      <c r="AQ82" s="17">
        <v>0.86780883100902662</v>
      </c>
      <c r="AR82" s="17">
        <v>-0.53778765114519023</v>
      </c>
      <c r="AS82" s="17">
        <v>-0.75029458523389991</v>
      </c>
      <c r="AT82" s="17">
        <v>0.86207681443230499</v>
      </c>
      <c r="AU82" s="17">
        <v>0.67612128886915202</v>
      </c>
      <c r="AV82" s="17">
        <v>0.92660654564444056</v>
      </c>
      <c r="AW82" s="17">
        <v>-0.80440939604441286</v>
      </c>
      <c r="AX82" s="17">
        <v>0.9092657230015867</v>
      </c>
      <c r="AY82" s="17">
        <v>-0.68870319596651797</v>
      </c>
      <c r="AZ82" s="17">
        <v>0.87527715165750297</v>
      </c>
      <c r="BA82" s="17">
        <v>0.89756903945797306</v>
      </c>
      <c r="BB82" s="17">
        <v>0.84362895600121912</v>
      </c>
      <c r="BC82" s="17">
        <v>0.33521022258407329</v>
      </c>
      <c r="BD82" s="17">
        <v>-0.92653433547543051</v>
      </c>
      <c r="BE82" s="17">
        <v>-0.41232952845663307</v>
      </c>
      <c r="BF82" s="17">
        <v>0.25760001203282012</v>
      </c>
      <c r="BK82" s="20">
        <v>-1.1384846969223535E-2</v>
      </c>
      <c r="BL82" s="20">
        <v>1.0113006073183755</v>
      </c>
      <c r="BN82" s="21">
        <f t="shared" si="2"/>
        <v>1</v>
      </c>
    </row>
    <row r="83" spans="1:66">
      <c r="A83" s="14">
        <v>13.34</v>
      </c>
      <c r="B83" s="14">
        <v>15.86</v>
      </c>
      <c r="C83" s="14">
        <v>86.49</v>
      </c>
      <c r="D83" s="14">
        <v>520</v>
      </c>
      <c r="E83" s="14">
        <v>0.1535</v>
      </c>
      <c r="F83" s="14">
        <v>0.1169</v>
      </c>
      <c r="G83" s="14">
        <v>6.9870000000000002E-2</v>
      </c>
      <c r="H83" s="14">
        <v>15.53</v>
      </c>
      <c r="I83" s="14">
        <v>614.9</v>
      </c>
      <c r="J83" s="14">
        <v>0.17080000000000001</v>
      </c>
      <c r="M83" s="16">
        <v>0</v>
      </c>
      <c r="O83" s="12">
        <f t="shared" si="3"/>
        <v>1</v>
      </c>
      <c r="P83" s="12">
        <f t="shared" si="4"/>
        <v>0</v>
      </c>
      <c r="R83" s="17">
        <v>-0.86216493245391179</v>
      </c>
      <c r="S83" s="17">
        <v>0.86592397083683859</v>
      </c>
      <c r="T83" s="17">
        <v>1.1492407566427856</v>
      </c>
      <c r="U83" s="17">
        <v>0.30971288832147947</v>
      </c>
      <c r="V83" s="17">
        <v>1.322038261257461</v>
      </c>
      <c r="W83" s="17">
        <v>-0.54000870393571332</v>
      </c>
      <c r="X83" s="17">
        <v>-0.93446499101467595</v>
      </c>
      <c r="Y83" s="17">
        <v>1.3623707400649003</v>
      </c>
      <c r="Z83" s="17">
        <v>0.73556995189170193</v>
      </c>
      <c r="AA83" s="17">
        <v>1.6983871669386827</v>
      </c>
      <c r="AB83" s="17">
        <v>-1.2113068807979621</v>
      </c>
      <c r="AC83" s="17">
        <v>1.5906603286575782</v>
      </c>
      <c r="AD83" s="17">
        <v>-0.8593627097567913</v>
      </c>
      <c r="AE83" s="17">
        <v>1.3374666300864129</v>
      </c>
      <c r="AF83" s="17">
        <v>1.6049118769290147</v>
      </c>
      <c r="AG83" s="17">
        <v>1.3481853892245086</v>
      </c>
      <c r="AH83" s="17">
        <v>0.33128292594394448</v>
      </c>
      <c r="AI83" s="17">
        <v>-1.6572512841003593</v>
      </c>
      <c r="AJ83" s="17">
        <v>-0.4315878441673433</v>
      </c>
      <c r="AK83" s="17">
        <v>0.36873422441298942</v>
      </c>
      <c r="AM83" s="17">
        <v>-0.85908337026066539</v>
      </c>
      <c r="AN83" s="17">
        <v>0.77555323589335246</v>
      </c>
      <c r="AO83" s="17">
        <v>0.67953563619219637</v>
      </c>
      <c r="AP83" s="17">
        <v>0.40881237813856919</v>
      </c>
      <c r="AQ83" s="17">
        <v>0.91092023798806909</v>
      </c>
      <c r="AR83" s="17">
        <v>-0.76659058646112777</v>
      </c>
      <c r="AS83" s="17">
        <v>-0.86805869118716916</v>
      </c>
      <c r="AT83" s="17">
        <v>0.8257610359180414</v>
      </c>
      <c r="AU83" s="17">
        <v>0.8851865146655914</v>
      </c>
      <c r="AV83" s="17">
        <v>0.91179713186463018</v>
      </c>
      <c r="AW83" s="17">
        <v>-0.63445367200115077</v>
      </c>
      <c r="AX83" s="17">
        <v>0.8844901067622436</v>
      </c>
      <c r="AY83" s="17">
        <v>-0.71566008211828602</v>
      </c>
      <c r="AZ83" s="17">
        <v>0.92898908888343612</v>
      </c>
      <c r="BA83" s="17">
        <v>0.72234534443788456</v>
      </c>
      <c r="BB83" s="17">
        <v>0.67228061921754356</v>
      </c>
      <c r="BC83" s="17">
        <v>0.4560843243140239</v>
      </c>
      <c r="BD83" s="17">
        <v>-0.94152555028209961</v>
      </c>
      <c r="BE83" s="17">
        <v>-0.49284650702938987</v>
      </c>
      <c r="BF83" s="17">
        <v>0.27719587860774714</v>
      </c>
      <c r="BK83" s="20">
        <v>-2.4542251792684738E-2</v>
      </c>
      <c r="BL83" s="20">
        <v>1.0245527687188603</v>
      </c>
      <c r="BN83" s="21">
        <f t="shared" ref="BN83:BN146" si="5">IF(BK83&gt;BL83,0,1)</f>
        <v>1</v>
      </c>
    </row>
    <row r="84" spans="1:66">
      <c r="A84" s="14">
        <v>25.22</v>
      </c>
      <c r="B84" s="14">
        <v>24.91</v>
      </c>
      <c r="C84" s="14">
        <v>171.5</v>
      </c>
      <c r="D84" s="14">
        <v>1878</v>
      </c>
      <c r="E84" s="14">
        <v>0.26650000000000001</v>
      </c>
      <c r="F84" s="14">
        <v>0.33389999999999997</v>
      </c>
      <c r="G84" s="14">
        <v>0.1845</v>
      </c>
      <c r="H84" s="14">
        <v>30</v>
      </c>
      <c r="I84" s="14">
        <v>2562</v>
      </c>
      <c r="J84" s="14">
        <v>0.28670000000000001</v>
      </c>
      <c r="M84" s="16">
        <v>1</v>
      </c>
      <c r="O84" s="12">
        <f t="shared" si="3"/>
        <v>0</v>
      </c>
      <c r="P84" s="12">
        <f t="shared" si="4"/>
        <v>1</v>
      </c>
      <c r="R84" s="17">
        <v>-0.86216493245391179</v>
      </c>
      <c r="S84" s="17">
        <v>0.86592397083683859</v>
      </c>
      <c r="T84" s="17">
        <v>1.1492407566427856</v>
      </c>
      <c r="U84" s="17">
        <v>0.30971288832147947</v>
      </c>
      <c r="V84" s="17">
        <v>1.322038261257461</v>
      </c>
      <c r="W84" s="17">
        <v>-0.54000870393571332</v>
      </c>
      <c r="X84" s="17">
        <v>-0.93446499101467595</v>
      </c>
      <c r="Y84" s="17">
        <v>1.3623707400649003</v>
      </c>
      <c r="Z84" s="17">
        <v>0.73556995189170193</v>
      </c>
      <c r="AA84" s="17">
        <v>1.6983871669386827</v>
      </c>
      <c r="AB84" s="17">
        <v>-1.2113068807979621</v>
      </c>
      <c r="AC84" s="17">
        <v>1.5906603286575782</v>
      </c>
      <c r="AD84" s="17">
        <v>-0.8593627097567913</v>
      </c>
      <c r="AE84" s="17">
        <v>1.3374666300864129</v>
      </c>
      <c r="AF84" s="17">
        <v>1.6049118769290147</v>
      </c>
      <c r="AG84" s="17">
        <v>1.3481853892245086</v>
      </c>
      <c r="AH84" s="17">
        <v>0.33128292594394448</v>
      </c>
      <c r="AI84" s="17">
        <v>-1.6572512841003593</v>
      </c>
      <c r="AJ84" s="17">
        <v>-0.4315878441673433</v>
      </c>
      <c r="AK84" s="17">
        <v>0.36873422441255044</v>
      </c>
      <c r="AM84" s="17">
        <v>-0.84758882660043044</v>
      </c>
      <c r="AN84" s="17">
        <v>0.75005583957092969</v>
      </c>
      <c r="AO84" s="17">
        <v>0.54037110852477732</v>
      </c>
      <c r="AP84" s="17">
        <v>0.3943307083518417</v>
      </c>
      <c r="AQ84" s="17">
        <v>0.89298435506574259</v>
      </c>
      <c r="AR84" s="17">
        <v>-0.7615891075452782</v>
      </c>
      <c r="AS84" s="17">
        <v>-0.85491181217328549</v>
      </c>
      <c r="AT84" s="17">
        <v>0.78046259787014816</v>
      </c>
      <c r="AU84" s="17">
        <v>0.88191870213545187</v>
      </c>
      <c r="AV84" s="17">
        <v>0.88175517172408846</v>
      </c>
      <c r="AW84" s="17">
        <v>-0.54691109423306572</v>
      </c>
      <c r="AX84" s="17">
        <v>0.84777588127167758</v>
      </c>
      <c r="AY84" s="17">
        <v>-0.67997701812819</v>
      </c>
      <c r="AZ84" s="17">
        <v>0.91550182575959294</v>
      </c>
      <c r="BA84" s="17">
        <v>0.62195404123797826</v>
      </c>
      <c r="BB84" s="17">
        <v>0.58066387212281867</v>
      </c>
      <c r="BC84" s="17">
        <v>0.44292858130821383</v>
      </c>
      <c r="BD84" s="17">
        <v>-0.92438486418274834</v>
      </c>
      <c r="BE84" s="17">
        <v>-0.47082115714540262</v>
      </c>
      <c r="BF84" s="17">
        <v>0.30339108421869959</v>
      </c>
      <c r="BK84" s="20">
        <v>1.0481610814370488</v>
      </c>
      <c r="BL84" s="20">
        <v>-4.8089616188471775E-2</v>
      </c>
      <c r="BN84" s="21">
        <f t="shared" si="5"/>
        <v>0</v>
      </c>
    </row>
    <row r="85" spans="1:66">
      <c r="A85" s="14">
        <v>19.100000000000001</v>
      </c>
      <c r="B85" s="14">
        <v>26.29</v>
      </c>
      <c r="C85" s="14">
        <v>129.1</v>
      </c>
      <c r="D85" s="14">
        <v>1132</v>
      </c>
      <c r="E85" s="14">
        <v>0.17910000000000001</v>
      </c>
      <c r="F85" s="14">
        <v>0.19370000000000001</v>
      </c>
      <c r="G85" s="14">
        <v>0.1469</v>
      </c>
      <c r="H85" s="14">
        <v>20.329999999999998</v>
      </c>
      <c r="I85" s="14">
        <v>1298</v>
      </c>
      <c r="J85" s="14">
        <v>0.18410000000000001</v>
      </c>
      <c r="M85" s="16">
        <v>1</v>
      </c>
      <c r="O85" s="12">
        <f t="shared" si="3"/>
        <v>0</v>
      </c>
      <c r="P85" s="12">
        <f t="shared" si="4"/>
        <v>1</v>
      </c>
      <c r="R85" s="17">
        <v>-0.86216493245391179</v>
      </c>
      <c r="S85" s="17">
        <v>0.86592397083683859</v>
      </c>
      <c r="T85" s="17">
        <v>1.1492407566427856</v>
      </c>
      <c r="U85" s="17">
        <v>0.30971288832147947</v>
      </c>
      <c r="V85" s="17">
        <v>1.322038261257461</v>
      </c>
      <c r="W85" s="17">
        <v>-0.54000870393571332</v>
      </c>
      <c r="X85" s="17">
        <v>-0.93446499101467595</v>
      </c>
      <c r="Y85" s="17">
        <v>1.3623707400649003</v>
      </c>
      <c r="Z85" s="17">
        <v>0.73556995189170193</v>
      </c>
      <c r="AA85" s="17">
        <v>1.6983871669386827</v>
      </c>
      <c r="AB85" s="17">
        <v>-1.2113068807979621</v>
      </c>
      <c r="AC85" s="17">
        <v>1.5906603286575782</v>
      </c>
      <c r="AD85" s="17">
        <v>-0.8593627097567913</v>
      </c>
      <c r="AE85" s="17">
        <v>1.3374666300864129</v>
      </c>
      <c r="AF85" s="17">
        <v>1.6049118769290147</v>
      </c>
      <c r="AG85" s="17">
        <v>1.3481853892245086</v>
      </c>
      <c r="AH85" s="17">
        <v>0.33128292594394448</v>
      </c>
      <c r="AI85" s="17">
        <v>-1.6572512841003593</v>
      </c>
      <c r="AJ85" s="17">
        <v>-0.4315878441673433</v>
      </c>
      <c r="AK85" s="17">
        <v>0.36873422441298942</v>
      </c>
      <c r="AM85" s="17">
        <v>-0.73358924147326976</v>
      </c>
      <c r="AN85" s="17">
        <v>0.70065262525807714</v>
      </c>
      <c r="AO85" s="17">
        <v>0.75557276046238075</v>
      </c>
      <c r="AP85" s="17">
        <v>0.31705666889709988</v>
      </c>
      <c r="AQ85" s="17">
        <v>0.86514650958609918</v>
      </c>
      <c r="AR85" s="17">
        <v>-0.56676451183935461</v>
      </c>
      <c r="AS85" s="17">
        <v>-0.75945532619754308</v>
      </c>
      <c r="AT85" s="17">
        <v>0.84602843975749653</v>
      </c>
      <c r="AU85" s="17">
        <v>0.70702947394394078</v>
      </c>
      <c r="AV85" s="17">
        <v>0.91680826041049346</v>
      </c>
      <c r="AW85" s="17">
        <v>-0.77104997722768942</v>
      </c>
      <c r="AX85" s="17">
        <v>0.89704634933446648</v>
      </c>
      <c r="AY85" s="17">
        <v>-0.67879231503668236</v>
      </c>
      <c r="AZ85" s="17">
        <v>0.87554612545059107</v>
      </c>
      <c r="BA85" s="17">
        <v>0.87007163755955386</v>
      </c>
      <c r="BB85" s="17">
        <v>0.81217673035279547</v>
      </c>
      <c r="BC85" s="17">
        <v>0.34427268790272503</v>
      </c>
      <c r="BD85" s="17">
        <v>-0.92160982265767477</v>
      </c>
      <c r="BE85" s="17">
        <v>-0.41333735958037426</v>
      </c>
      <c r="BF85" s="17">
        <v>0.17618204301819443</v>
      </c>
      <c r="BK85" s="20">
        <v>1.0314136938534546</v>
      </c>
      <c r="BL85" s="20">
        <v>-3.1545251535672565E-2</v>
      </c>
      <c r="BN85" s="21">
        <f t="shared" si="5"/>
        <v>0</v>
      </c>
    </row>
    <row r="86" spans="1:66">
      <c r="A86" s="14">
        <v>12</v>
      </c>
      <c r="B86" s="14">
        <v>15.65</v>
      </c>
      <c r="C86" s="14">
        <v>76.95</v>
      </c>
      <c r="D86" s="14">
        <v>443.3</v>
      </c>
      <c r="E86" s="14">
        <v>7.1650000000000005E-2</v>
      </c>
      <c r="F86" s="14">
        <v>4.1509999999999998E-2</v>
      </c>
      <c r="G86" s="14">
        <v>1.8630000000000001E-2</v>
      </c>
      <c r="H86" s="14">
        <v>13.67</v>
      </c>
      <c r="I86" s="14">
        <v>567.9</v>
      </c>
      <c r="J86" s="14">
        <v>7.6319999999999999E-2</v>
      </c>
      <c r="M86" s="16">
        <v>0</v>
      </c>
      <c r="O86" s="12">
        <f t="shared" si="3"/>
        <v>1</v>
      </c>
      <c r="P86" s="12">
        <f t="shared" si="4"/>
        <v>0</v>
      </c>
      <c r="R86" s="17">
        <v>-0.86216493245391179</v>
      </c>
      <c r="S86" s="17">
        <v>0.86592397083683859</v>
      </c>
      <c r="T86" s="17">
        <v>1.1492407566427856</v>
      </c>
      <c r="U86" s="17">
        <v>0.30971288832147947</v>
      </c>
      <c r="V86" s="17">
        <v>1.322038261257461</v>
      </c>
      <c r="W86" s="17">
        <v>-0.54000870393571332</v>
      </c>
      <c r="X86" s="17">
        <v>-0.93446499101467595</v>
      </c>
      <c r="Y86" s="17">
        <v>1.3623707400649003</v>
      </c>
      <c r="Z86" s="17">
        <v>0.73556995189170193</v>
      </c>
      <c r="AA86" s="17">
        <v>1.6983871669386827</v>
      </c>
      <c r="AB86" s="17">
        <v>-1.2113068807979621</v>
      </c>
      <c r="AC86" s="17">
        <v>1.5906603286575782</v>
      </c>
      <c r="AD86" s="17">
        <v>-0.8593627097567913</v>
      </c>
      <c r="AE86" s="17">
        <v>1.3374666300864129</v>
      </c>
      <c r="AF86" s="17">
        <v>1.6049118769290147</v>
      </c>
      <c r="AG86" s="17">
        <v>1.3481853892245086</v>
      </c>
      <c r="AH86" s="17">
        <v>0.33128292594394448</v>
      </c>
      <c r="AI86" s="17">
        <v>-1.6572512841003593</v>
      </c>
      <c r="AJ86" s="17">
        <v>-0.4315878441673433</v>
      </c>
      <c r="AK86" s="17">
        <v>0.36873422440754788</v>
      </c>
      <c r="AM86" s="17">
        <v>-0.89557384952036323</v>
      </c>
      <c r="AN86" s="17">
        <v>0.77936893670655527</v>
      </c>
      <c r="AO86" s="17">
        <v>-0.30757944146845223</v>
      </c>
      <c r="AP86" s="17">
        <v>0.44198860890376057</v>
      </c>
      <c r="AQ86" s="17">
        <v>0.90890137279384187</v>
      </c>
      <c r="AR86" s="17">
        <v>-0.84245952601909924</v>
      </c>
      <c r="AS86" s="17">
        <v>-0.89689433486775094</v>
      </c>
      <c r="AT86" s="17">
        <v>0.73020468550378859</v>
      </c>
      <c r="AU86" s="17">
        <v>0.93634798847878864</v>
      </c>
      <c r="AV86" s="17">
        <v>0.85501409823490238</v>
      </c>
      <c r="AW86" s="17">
        <v>-0.34540797549544833</v>
      </c>
      <c r="AX86" s="17">
        <v>0.80879364111829444</v>
      </c>
      <c r="AY86" s="17">
        <v>-0.68301118607729328</v>
      </c>
      <c r="AZ86" s="17">
        <v>0.93500952625412925</v>
      </c>
      <c r="BA86" s="17">
        <v>0.33792453961046792</v>
      </c>
      <c r="BB86" s="17">
        <v>0.35544900866832013</v>
      </c>
      <c r="BC86" s="17">
        <v>0.50186072779499613</v>
      </c>
      <c r="BD86" s="17">
        <v>-0.92726089765104858</v>
      </c>
      <c r="BE86" s="17">
        <v>-0.50699820358973879</v>
      </c>
      <c r="BF86" s="17">
        <v>-0.48331798639610313</v>
      </c>
      <c r="BK86" s="20">
        <v>0.84411105559334576</v>
      </c>
      <c r="BL86" s="20">
        <v>0.15579428358172209</v>
      </c>
      <c r="BN86" s="21">
        <f t="shared" si="5"/>
        <v>0</v>
      </c>
    </row>
    <row r="87" spans="1:66">
      <c r="A87" s="14">
        <v>18.46</v>
      </c>
      <c r="B87" s="14">
        <v>18.52</v>
      </c>
      <c r="C87" s="14">
        <v>121.1</v>
      </c>
      <c r="D87" s="14">
        <v>1075</v>
      </c>
      <c r="E87" s="14">
        <v>0.1053</v>
      </c>
      <c r="F87" s="14">
        <v>0.13350000000000001</v>
      </c>
      <c r="G87" s="14">
        <v>8.795E-2</v>
      </c>
      <c r="H87" s="14">
        <v>22.93</v>
      </c>
      <c r="I87" s="14">
        <v>1603</v>
      </c>
      <c r="J87" s="14">
        <v>0.16420000000000001</v>
      </c>
      <c r="M87" s="16">
        <v>1</v>
      </c>
      <c r="O87" s="12">
        <f t="shared" si="3"/>
        <v>0</v>
      </c>
      <c r="P87" s="12">
        <f t="shared" si="4"/>
        <v>1</v>
      </c>
      <c r="R87" s="17">
        <v>-1.4643074708783446</v>
      </c>
      <c r="S87" s="17">
        <v>1.0359333700219733</v>
      </c>
      <c r="T87" s="17">
        <v>0.4503249130137873</v>
      </c>
      <c r="U87" s="17">
        <v>0.47751119115197871</v>
      </c>
      <c r="V87" s="17">
        <v>1.5052132201123889</v>
      </c>
      <c r="W87" s="17">
        <v>-1.2567352733816861</v>
      </c>
      <c r="X87" s="17">
        <v>-1.4659127711484521</v>
      </c>
      <c r="Y87" s="17">
        <v>0.877385815472147</v>
      </c>
      <c r="Z87" s="17">
        <v>1.7463530467411736</v>
      </c>
      <c r="AA87" s="17">
        <v>1.2163845753889837</v>
      </c>
      <c r="AB87" s="17">
        <v>-0.28839333793737798</v>
      </c>
      <c r="AC87" s="17">
        <v>1.0652147513376473</v>
      </c>
      <c r="AD87" s="17">
        <v>-0.81583654438301023</v>
      </c>
      <c r="AE87" s="17">
        <v>1.6894094608623824</v>
      </c>
      <c r="AF87" s="17">
        <v>0.2496334827590041</v>
      </c>
      <c r="AG87" s="17">
        <v>0.29010426800531797</v>
      </c>
      <c r="AH87" s="17">
        <v>0.55723475600471262</v>
      </c>
      <c r="AI87" s="17">
        <v>-1.603629768829455</v>
      </c>
      <c r="AJ87" s="17">
        <v>-0.55690825498325469</v>
      </c>
      <c r="AK87" s="17">
        <v>0.41256201738018505</v>
      </c>
      <c r="AM87" s="17">
        <v>-0.87740187172824002</v>
      </c>
      <c r="AN87" s="17">
        <v>0.78057027271399493</v>
      </c>
      <c r="AO87" s="17">
        <v>0.51731105289784329</v>
      </c>
      <c r="AP87" s="17">
        <v>0.42520161234010717</v>
      </c>
      <c r="AQ87" s="17">
        <v>0.91235483067993151</v>
      </c>
      <c r="AR87" s="17">
        <v>-0.80307955520921315</v>
      </c>
      <c r="AS87" s="17">
        <v>-0.88286422135653397</v>
      </c>
      <c r="AT87" s="17">
        <v>0.79582191016305004</v>
      </c>
      <c r="AU87" s="17">
        <v>0.91108454267213002</v>
      </c>
      <c r="AV87" s="17">
        <v>0.89499079566242989</v>
      </c>
      <c r="AW87" s="17">
        <v>-0.53755615170936022</v>
      </c>
      <c r="AX87" s="17">
        <v>0.86163070289376131</v>
      </c>
      <c r="AY87" s="17">
        <v>-0.70690578313710972</v>
      </c>
      <c r="AZ87" s="17">
        <v>0.93329727708851407</v>
      </c>
      <c r="BA87" s="17">
        <v>0.60267833911686886</v>
      </c>
      <c r="BB87" s="17">
        <v>0.5687127853608791</v>
      </c>
      <c r="BC87" s="17">
        <v>0.47786950615283152</v>
      </c>
      <c r="BD87" s="17">
        <v>-0.93804115058396398</v>
      </c>
      <c r="BE87" s="17">
        <v>-0.50198106033100987</v>
      </c>
      <c r="BF87" s="17">
        <v>-0.24536536525561922</v>
      </c>
      <c r="BK87" s="20">
        <v>1.025423030938567</v>
      </c>
      <c r="BL87" s="20">
        <v>-2.546628674138024E-2</v>
      </c>
      <c r="BN87" s="21">
        <f t="shared" si="5"/>
        <v>0</v>
      </c>
    </row>
    <row r="88" spans="1:66">
      <c r="A88" s="14">
        <v>14.48</v>
      </c>
      <c r="B88" s="14">
        <v>21.46</v>
      </c>
      <c r="C88" s="14">
        <v>94.25</v>
      </c>
      <c r="D88" s="14">
        <v>648.20000000000005</v>
      </c>
      <c r="E88" s="14">
        <v>9.9470000000000003E-2</v>
      </c>
      <c r="F88" s="14">
        <v>0.12039999999999999</v>
      </c>
      <c r="G88" s="14">
        <v>4.938E-2</v>
      </c>
      <c r="H88" s="14">
        <v>16.21</v>
      </c>
      <c r="I88" s="14">
        <v>808.9</v>
      </c>
      <c r="J88" s="14">
        <v>0.1225</v>
      </c>
      <c r="M88" s="16">
        <v>1</v>
      </c>
      <c r="O88" s="12">
        <f t="shared" si="3"/>
        <v>0</v>
      </c>
      <c r="P88" s="12">
        <f t="shared" si="4"/>
        <v>1</v>
      </c>
      <c r="R88" s="17">
        <v>-1.4643074708783446</v>
      </c>
      <c r="S88" s="17">
        <v>1.0359333700219733</v>
      </c>
      <c r="T88" s="17">
        <v>0.4503249130137873</v>
      </c>
      <c r="U88" s="17">
        <v>0.47751119115197871</v>
      </c>
      <c r="V88" s="17">
        <v>1.5052132201123889</v>
      </c>
      <c r="W88" s="17">
        <v>-1.2567352733816861</v>
      </c>
      <c r="X88" s="17">
        <v>-1.4659127711484521</v>
      </c>
      <c r="Y88" s="17">
        <v>0.877385815472147</v>
      </c>
      <c r="Z88" s="17">
        <v>1.7463530467411736</v>
      </c>
      <c r="AA88" s="17">
        <v>1.2163845753889837</v>
      </c>
      <c r="AB88" s="17">
        <v>-0.28839333793737798</v>
      </c>
      <c r="AC88" s="17">
        <v>1.0652147513376473</v>
      </c>
      <c r="AD88" s="17">
        <v>-0.81583654438301023</v>
      </c>
      <c r="AE88" s="17">
        <v>1.6894094608623824</v>
      </c>
      <c r="AF88" s="17">
        <v>0.2496334827590041</v>
      </c>
      <c r="AG88" s="17">
        <v>0.29010426800531797</v>
      </c>
      <c r="AH88" s="17">
        <v>0.55723475600471262</v>
      </c>
      <c r="AI88" s="17">
        <v>-1.603629768829455</v>
      </c>
      <c r="AJ88" s="17">
        <v>-0.55690825498325469</v>
      </c>
      <c r="AK88" s="17">
        <v>0.41256201738018405</v>
      </c>
      <c r="AM88" s="17">
        <v>-0.70476678785466385</v>
      </c>
      <c r="AN88" s="17">
        <v>0.71899406638588903</v>
      </c>
      <c r="AO88" s="17">
        <v>0.84925126424640895</v>
      </c>
      <c r="AP88" s="17">
        <v>0.30745290324922914</v>
      </c>
      <c r="AQ88" s="17">
        <v>0.88249769426345637</v>
      </c>
      <c r="AR88" s="17">
        <v>-0.48505192247061568</v>
      </c>
      <c r="AS88" s="17">
        <v>-0.74302768511154949</v>
      </c>
      <c r="AT88" s="17">
        <v>0.89920425990373876</v>
      </c>
      <c r="AU88" s="17">
        <v>0.6165153519130312</v>
      </c>
      <c r="AV88" s="17">
        <v>0.94914361891817878</v>
      </c>
      <c r="AW88" s="17">
        <v>-0.87011957563971576</v>
      </c>
      <c r="AX88" s="17">
        <v>0.93685523262640158</v>
      </c>
      <c r="AY88" s="17">
        <v>-0.72157177551560703</v>
      </c>
      <c r="AZ88" s="17">
        <v>0.88394768325653028</v>
      </c>
      <c r="BA88" s="17">
        <v>0.94410399331628236</v>
      </c>
      <c r="BB88" s="17">
        <v>0.90259417516503104</v>
      </c>
      <c r="BC88" s="17">
        <v>0.32496049861818649</v>
      </c>
      <c r="BD88" s="17">
        <v>-0.94193351543374182</v>
      </c>
      <c r="BE88" s="17">
        <v>-0.42108179910732857</v>
      </c>
      <c r="BF88" s="17">
        <v>0.24036475029698967</v>
      </c>
      <c r="BK88" s="20">
        <v>7.4123371040261191E-3</v>
      </c>
      <c r="BL88" s="20">
        <v>0.99255710802865238</v>
      </c>
      <c r="BN88" s="21">
        <f t="shared" si="5"/>
        <v>1</v>
      </c>
    </row>
    <row r="89" spans="1:66">
      <c r="A89" s="14">
        <v>19.02</v>
      </c>
      <c r="B89" s="14">
        <v>24.59</v>
      </c>
      <c r="C89" s="14">
        <v>122</v>
      </c>
      <c r="D89" s="14">
        <v>1076</v>
      </c>
      <c r="E89" s="14">
        <v>0.1206</v>
      </c>
      <c r="F89" s="14">
        <v>0.14680000000000001</v>
      </c>
      <c r="G89" s="14">
        <v>8.2710000000000006E-2</v>
      </c>
      <c r="H89" s="14">
        <v>24.56</v>
      </c>
      <c r="I89" s="14">
        <v>1623</v>
      </c>
      <c r="J89" s="14">
        <v>0.1956</v>
      </c>
      <c r="M89" s="16">
        <v>1</v>
      </c>
      <c r="O89" s="12">
        <f t="shared" si="3"/>
        <v>0</v>
      </c>
      <c r="P89" s="12">
        <f t="shared" si="4"/>
        <v>1</v>
      </c>
      <c r="R89" s="17">
        <v>-0.86216493245391179</v>
      </c>
      <c r="S89" s="17">
        <v>0.86592397083683859</v>
      </c>
      <c r="T89" s="17">
        <v>1.1492407566427856</v>
      </c>
      <c r="U89" s="17">
        <v>0.30971288832147947</v>
      </c>
      <c r="V89" s="17">
        <v>1.322038261257461</v>
      </c>
      <c r="W89" s="17">
        <v>-0.54000870393571332</v>
      </c>
      <c r="X89" s="17">
        <v>-0.93446499101467595</v>
      </c>
      <c r="Y89" s="17">
        <v>1.3623707400649003</v>
      </c>
      <c r="Z89" s="17">
        <v>0.73556995189170193</v>
      </c>
      <c r="AA89" s="17">
        <v>1.6983871669386827</v>
      </c>
      <c r="AB89" s="17">
        <v>-1.2113068807979621</v>
      </c>
      <c r="AC89" s="17">
        <v>1.5906603286575782</v>
      </c>
      <c r="AD89" s="17">
        <v>-0.8593627097567913</v>
      </c>
      <c r="AE89" s="17">
        <v>1.3374666300864129</v>
      </c>
      <c r="AF89" s="17">
        <v>1.6049118769290147</v>
      </c>
      <c r="AG89" s="17">
        <v>1.3481853892245086</v>
      </c>
      <c r="AH89" s="17">
        <v>0.33128292594394448</v>
      </c>
      <c r="AI89" s="17">
        <v>-1.6572512841003593</v>
      </c>
      <c r="AJ89" s="17">
        <v>-0.4315878441673433</v>
      </c>
      <c r="AK89" s="17">
        <v>0.36873421286771191</v>
      </c>
      <c r="AM89" s="17">
        <v>-0.58964099489186472</v>
      </c>
      <c r="AN89" s="17">
        <v>0.61197619889541766</v>
      </c>
      <c r="AO89" s="17">
        <v>0.7422488026210079</v>
      </c>
      <c r="AP89" s="17">
        <v>0.2419170106087343</v>
      </c>
      <c r="AQ89" s="17">
        <v>0.79788851565424157</v>
      </c>
      <c r="AR89" s="17">
        <v>-0.3791827749661062</v>
      </c>
      <c r="AS89" s="17">
        <v>-0.63084567037819883</v>
      </c>
      <c r="AT89" s="17">
        <v>0.82609531452438156</v>
      </c>
      <c r="AU89" s="17">
        <v>0.49381925607529636</v>
      </c>
      <c r="AV89" s="17">
        <v>0.89700339642578997</v>
      </c>
      <c r="AW89" s="17">
        <v>-0.79377191629207844</v>
      </c>
      <c r="AX89" s="17">
        <v>0.87862873413226039</v>
      </c>
      <c r="AY89" s="17">
        <v>-0.61833498061133207</v>
      </c>
      <c r="AZ89" s="17">
        <v>0.79806486230276918</v>
      </c>
      <c r="BA89" s="17">
        <v>0.89424784696430792</v>
      </c>
      <c r="BB89" s="17">
        <v>0.83548625474983818</v>
      </c>
      <c r="BC89" s="17">
        <v>0.2548355794510086</v>
      </c>
      <c r="BD89" s="17">
        <v>-0.88332657526167302</v>
      </c>
      <c r="BE89" s="17">
        <v>-0.33807672235697273</v>
      </c>
      <c r="BF89" s="17">
        <v>-7.3254885249355001E-2</v>
      </c>
      <c r="BK89" s="20">
        <v>0.93817470285339455</v>
      </c>
      <c r="BL89" s="20">
        <v>6.2235791151201453E-2</v>
      </c>
      <c r="BN89" s="21">
        <f t="shared" si="5"/>
        <v>0</v>
      </c>
    </row>
    <row r="90" spans="1:66">
      <c r="A90" s="14">
        <v>12.36</v>
      </c>
      <c r="B90" s="14">
        <v>21.8</v>
      </c>
      <c r="C90" s="14">
        <v>79.78</v>
      </c>
      <c r="D90" s="14">
        <v>466.1</v>
      </c>
      <c r="E90" s="14">
        <v>9.4450000000000006E-2</v>
      </c>
      <c r="F90" s="14">
        <v>6.0150000000000002E-2</v>
      </c>
      <c r="G90" s="14">
        <v>3.7449999999999997E-2</v>
      </c>
      <c r="H90" s="14">
        <v>13.83</v>
      </c>
      <c r="I90" s="14">
        <v>574.70000000000005</v>
      </c>
      <c r="J90" s="14">
        <v>0.1205</v>
      </c>
      <c r="M90" s="16">
        <v>0</v>
      </c>
      <c r="O90" s="12">
        <f t="shared" si="3"/>
        <v>1</v>
      </c>
      <c r="P90" s="12">
        <f t="shared" si="4"/>
        <v>0</v>
      </c>
      <c r="R90" s="17">
        <v>-1.4643074708783446</v>
      </c>
      <c r="S90" s="17">
        <v>1.0359333700219733</v>
      </c>
      <c r="T90" s="17">
        <v>-1.5496750869862126</v>
      </c>
      <c r="U90" s="17">
        <v>0.47751119115197871</v>
      </c>
      <c r="V90" s="17">
        <v>1.5052132201123889</v>
      </c>
      <c r="W90" s="17">
        <v>-1.2567352733816861</v>
      </c>
      <c r="X90" s="17">
        <v>-1.4659127711484521</v>
      </c>
      <c r="Y90" s="17">
        <v>0.877385815472147</v>
      </c>
      <c r="Z90" s="17">
        <v>1.7463530467411736</v>
      </c>
      <c r="AA90" s="17">
        <v>1.2163845753889837</v>
      </c>
      <c r="AB90" s="17">
        <v>-0.28839333793737798</v>
      </c>
      <c r="AC90" s="17">
        <v>1.0652147513376473</v>
      </c>
      <c r="AD90" s="17">
        <v>-0.81583654438301023</v>
      </c>
      <c r="AE90" s="17">
        <v>1.6894094608623824</v>
      </c>
      <c r="AF90" s="17">
        <v>0.2496334827590041</v>
      </c>
      <c r="AG90" s="17">
        <v>0.29010426800531797</v>
      </c>
      <c r="AH90" s="17">
        <v>0.55723475600471262</v>
      </c>
      <c r="AI90" s="17">
        <v>-1.603629768829455</v>
      </c>
      <c r="AJ90" s="17">
        <v>-0.55690825498325469</v>
      </c>
      <c r="AK90" s="17">
        <v>-1.5874379826198108</v>
      </c>
      <c r="AM90" s="17">
        <v>-0.62402502497275147</v>
      </c>
      <c r="AN90" s="17">
        <v>0.66939218236052866</v>
      </c>
      <c r="AO90" s="17">
        <v>0.83196696379177326</v>
      </c>
      <c r="AP90" s="17">
        <v>0.26469876208239046</v>
      </c>
      <c r="AQ90" s="17">
        <v>0.84807746694146213</v>
      </c>
      <c r="AR90" s="17">
        <v>-0.37971265616957861</v>
      </c>
      <c r="AS90" s="17">
        <v>-0.67167679517104062</v>
      </c>
      <c r="AT90" s="17">
        <v>0.8860889680432823</v>
      </c>
      <c r="AU90" s="17">
        <v>0.49188194073273483</v>
      </c>
      <c r="AV90" s="17">
        <v>0.93887209246876491</v>
      </c>
      <c r="AW90" s="17">
        <v>-0.86985787055386532</v>
      </c>
      <c r="AX90" s="17">
        <v>0.92628361002343351</v>
      </c>
      <c r="AY90" s="17">
        <v>-0.68584239559462634</v>
      </c>
      <c r="AZ90" s="17">
        <v>0.84406509777375127</v>
      </c>
      <c r="BA90" s="17">
        <v>0.94558042488017946</v>
      </c>
      <c r="BB90" s="17">
        <v>0.90302740298075101</v>
      </c>
      <c r="BC90" s="17">
        <v>0.27478819397652549</v>
      </c>
      <c r="BD90" s="17">
        <v>-0.92386777180227864</v>
      </c>
      <c r="BE90" s="17">
        <v>-0.3769891891910358</v>
      </c>
      <c r="BF90" s="17">
        <v>-0.14674676561630146</v>
      </c>
      <c r="BK90" s="20">
        <v>-5.1935398536140862E-2</v>
      </c>
      <c r="BL90" s="20">
        <v>1.0518325005185527</v>
      </c>
      <c r="BN90" s="21">
        <f t="shared" si="5"/>
        <v>1</v>
      </c>
    </row>
    <row r="91" spans="1:66">
      <c r="A91" s="14">
        <v>14.64</v>
      </c>
      <c r="B91" s="14">
        <v>15.24</v>
      </c>
      <c r="C91" s="14">
        <v>95.77</v>
      </c>
      <c r="D91" s="14">
        <v>651.9</v>
      </c>
      <c r="E91" s="14">
        <v>0.13389999999999999</v>
      </c>
      <c r="F91" s="14">
        <v>9.9659999999999999E-2</v>
      </c>
      <c r="G91" s="14">
        <v>7.0639999999999994E-2</v>
      </c>
      <c r="H91" s="14">
        <v>16.34</v>
      </c>
      <c r="I91" s="14">
        <v>803.6</v>
      </c>
      <c r="J91" s="14">
        <v>0.13969999999999999</v>
      </c>
      <c r="M91" s="16">
        <v>0</v>
      </c>
      <c r="O91" s="12">
        <f t="shared" si="3"/>
        <v>1</v>
      </c>
      <c r="P91" s="12">
        <f t="shared" si="4"/>
        <v>0</v>
      </c>
      <c r="R91" s="17">
        <v>-1.4643074708783446</v>
      </c>
      <c r="S91" s="17">
        <v>1.0359333700219733</v>
      </c>
      <c r="T91" s="17">
        <v>0.4503249130137873</v>
      </c>
      <c r="U91" s="17">
        <v>0.47751119115197871</v>
      </c>
      <c r="V91" s="17">
        <v>1.5052132201123889</v>
      </c>
      <c r="W91" s="17">
        <v>-1.2567352733816861</v>
      </c>
      <c r="X91" s="17">
        <v>-1.4659127711484521</v>
      </c>
      <c r="Y91" s="17">
        <v>0.877385815472147</v>
      </c>
      <c r="Z91" s="17">
        <v>1.7463530467411736</v>
      </c>
      <c r="AA91" s="17">
        <v>1.2163845753889837</v>
      </c>
      <c r="AB91" s="17">
        <v>-0.28839333793737798</v>
      </c>
      <c r="AC91" s="17">
        <v>1.0652147513376473</v>
      </c>
      <c r="AD91" s="17">
        <v>-0.81583654438301023</v>
      </c>
      <c r="AE91" s="17">
        <v>1.6894094608623824</v>
      </c>
      <c r="AF91" s="17">
        <v>0.2496334827590041</v>
      </c>
      <c r="AG91" s="17">
        <v>0.29010426800531797</v>
      </c>
      <c r="AH91" s="17">
        <v>0.55723475600471262</v>
      </c>
      <c r="AI91" s="17">
        <v>-1.603629768829455</v>
      </c>
      <c r="AJ91" s="17">
        <v>-0.55690825498325469</v>
      </c>
      <c r="AK91" s="17">
        <v>0.41256068951549518</v>
      </c>
      <c r="AM91" s="17">
        <v>-0.64605100699208096</v>
      </c>
      <c r="AN91" s="17">
        <v>0.6542843745394753</v>
      </c>
      <c r="AO91" s="17">
        <v>0.77829653498579598</v>
      </c>
      <c r="AP91" s="17">
        <v>0.27038590744328289</v>
      </c>
      <c r="AQ91" s="17">
        <v>0.83272996696213564</v>
      </c>
      <c r="AR91" s="17">
        <v>-0.44046976148599132</v>
      </c>
      <c r="AS91" s="17">
        <v>-0.68367246112536328</v>
      </c>
      <c r="AT91" s="17">
        <v>0.84839691331788736</v>
      </c>
      <c r="AU91" s="17">
        <v>0.56705714373510618</v>
      </c>
      <c r="AV91" s="17">
        <v>0.91472561791650076</v>
      </c>
      <c r="AW91" s="17">
        <v>-0.80898927826636247</v>
      </c>
      <c r="AX91" s="17">
        <v>0.89744018897171962</v>
      </c>
      <c r="AY91" s="17">
        <v>-0.65393894158857668</v>
      </c>
      <c r="AZ91" s="17">
        <v>0.83570579003740952</v>
      </c>
      <c r="BA91" s="17">
        <v>0.9038182871080116</v>
      </c>
      <c r="BB91" s="17">
        <v>0.84881438125304365</v>
      </c>
      <c r="BC91" s="17">
        <v>0.28712036434975496</v>
      </c>
      <c r="BD91" s="17">
        <v>-0.90651008241057129</v>
      </c>
      <c r="BE91" s="17">
        <v>-0.37059786961870478</v>
      </c>
      <c r="BF91" s="17">
        <v>-0.37553408211796369</v>
      </c>
      <c r="BK91" s="20">
        <v>0.38344805780115288</v>
      </c>
      <c r="BL91" s="20">
        <v>0.61658653032304678</v>
      </c>
      <c r="BN91" s="21">
        <f t="shared" si="5"/>
        <v>1</v>
      </c>
    </row>
    <row r="92" spans="1:66">
      <c r="A92" s="14">
        <v>14.62</v>
      </c>
      <c r="B92" s="14">
        <v>24.02</v>
      </c>
      <c r="C92" s="14">
        <v>94.57</v>
      </c>
      <c r="D92" s="14">
        <v>662.7</v>
      </c>
      <c r="E92" s="14">
        <v>8.6059999999999998E-2</v>
      </c>
      <c r="F92" s="14">
        <v>3.1019999999999999E-2</v>
      </c>
      <c r="G92" s="14">
        <v>2.9569999999999999E-2</v>
      </c>
      <c r="H92" s="14">
        <v>16.11</v>
      </c>
      <c r="I92" s="14">
        <v>803.7</v>
      </c>
      <c r="J92" s="14">
        <v>6.9459999999999994E-2</v>
      </c>
      <c r="M92" s="16">
        <v>0</v>
      </c>
      <c r="O92" s="12">
        <f t="shared" si="3"/>
        <v>1</v>
      </c>
      <c r="P92" s="12">
        <f t="shared" si="4"/>
        <v>0</v>
      </c>
      <c r="R92" s="17">
        <v>-0.86216493245391179</v>
      </c>
      <c r="S92" s="17">
        <v>0.86592397083683859</v>
      </c>
      <c r="T92" s="17">
        <v>1.1492407566427856</v>
      </c>
      <c r="U92" s="17">
        <v>0.30971288832147947</v>
      </c>
      <c r="V92" s="17">
        <v>1.322038261257461</v>
      </c>
      <c r="W92" s="17">
        <v>-0.54000870393571332</v>
      </c>
      <c r="X92" s="17">
        <v>-0.93446499101467595</v>
      </c>
      <c r="Y92" s="17">
        <v>1.3623707400649003</v>
      </c>
      <c r="Z92" s="17">
        <v>0.73556995189170193</v>
      </c>
      <c r="AA92" s="17">
        <v>1.6983871669386827</v>
      </c>
      <c r="AB92" s="17">
        <v>-1.2113068807979621</v>
      </c>
      <c r="AC92" s="17">
        <v>1.5906603286575782</v>
      </c>
      <c r="AD92" s="17">
        <v>-0.8593627097567913</v>
      </c>
      <c r="AE92" s="17">
        <v>1.3374666300864129</v>
      </c>
      <c r="AF92" s="17">
        <v>1.6049118769290147</v>
      </c>
      <c r="AG92" s="17">
        <v>1.3481853892245086</v>
      </c>
      <c r="AH92" s="17">
        <v>0.33128292594394448</v>
      </c>
      <c r="AI92" s="17">
        <v>-1.6572512841003593</v>
      </c>
      <c r="AJ92" s="17">
        <v>-0.4315878441673433</v>
      </c>
      <c r="AK92" s="17">
        <v>0.36873422441298942</v>
      </c>
      <c r="AM92" s="17">
        <v>-0.8768861037412149</v>
      </c>
      <c r="AN92" s="17">
        <v>0.76672630811183362</v>
      </c>
      <c r="AO92" s="17">
        <v>0.43385308757903773</v>
      </c>
      <c r="AP92" s="17">
        <v>0.4215893380934892</v>
      </c>
      <c r="AQ92" s="17">
        <v>0.90204156921220813</v>
      </c>
      <c r="AR92" s="17">
        <v>-0.81136538724357754</v>
      </c>
      <c r="AS92" s="17">
        <v>-0.8803216057240868</v>
      </c>
      <c r="AT92" s="17">
        <v>0.7517787631373215</v>
      </c>
      <c r="AU92" s="17">
        <v>0.91683935433549679</v>
      </c>
      <c r="AV92" s="17">
        <v>0.86636663607843167</v>
      </c>
      <c r="AW92" s="17">
        <v>-0.43526020160496026</v>
      </c>
      <c r="AX92" s="17">
        <v>0.82559561141447491</v>
      </c>
      <c r="AY92" s="17">
        <v>-0.68101123949842834</v>
      </c>
      <c r="AZ92" s="17">
        <v>0.92701259062786179</v>
      </c>
      <c r="BA92" s="17">
        <v>0.46957032737002979</v>
      </c>
      <c r="BB92" s="17">
        <v>0.45722959187064049</v>
      </c>
      <c r="BC92" s="17">
        <v>0.47689567948141537</v>
      </c>
      <c r="BD92" s="17">
        <v>-0.92568418144266984</v>
      </c>
      <c r="BE92" s="17">
        <v>-0.4912978090883941</v>
      </c>
      <c r="BF92" s="17">
        <v>-0.35761883296991542</v>
      </c>
      <c r="BK92" s="20">
        <v>0.93390151179010028</v>
      </c>
      <c r="BL92" s="20">
        <v>6.5937669452532446E-2</v>
      </c>
      <c r="BN92" s="21">
        <f t="shared" si="5"/>
        <v>0</v>
      </c>
    </row>
    <row r="93" spans="1:66">
      <c r="A93" s="14">
        <v>15.37</v>
      </c>
      <c r="B93" s="14">
        <v>22.76</v>
      </c>
      <c r="C93" s="14">
        <v>100.2</v>
      </c>
      <c r="D93" s="14">
        <v>728.2</v>
      </c>
      <c r="E93" s="14">
        <v>0.1036</v>
      </c>
      <c r="F93" s="14">
        <v>0.11219999999999999</v>
      </c>
      <c r="G93" s="14">
        <v>7.4829999999999994E-2</v>
      </c>
      <c r="H93" s="14">
        <v>16.43</v>
      </c>
      <c r="I93" s="14">
        <v>830.9</v>
      </c>
      <c r="J93" s="14">
        <v>0.14760000000000001</v>
      </c>
      <c r="M93" s="16">
        <v>1</v>
      </c>
      <c r="O93" s="12">
        <f t="shared" si="3"/>
        <v>0</v>
      </c>
      <c r="P93" s="12">
        <f t="shared" si="4"/>
        <v>1</v>
      </c>
      <c r="R93" s="17">
        <v>-0.86216493245391179</v>
      </c>
      <c r="S93" s="17">
        <v>0.86592397083683859</v>
      </c>
      <c r="T93" s="17">
        <v>1.1492407566427856</v>
      </c>
      <c r="U93" s="17">
        <v>0.30971288832147947</v>
      </c>
      <c r="V93" s="17">
        <v>1.322038261257461</v>
      </c>
      <c r="W93" s="17">
        <v>-0.54000870393571332</v>
      </c>
      <c r="X93" s="17">
        <v>-0.93446499101467595</v>
      </c>
      <c r="Y93" s="17">
        <v>1.3623707400649003</v>
      </c>
      <c r="Z93" s="17">
        <v>0.73556995189170193</v>
      </c>
      <c r="AA93" s="17">
        <v>1.6983871669386827</v>
      </c>
      <c r="AB93" s="17">
        <v>-1.2113068807979621</v>
      </c>
      <c r="AC93" s="17">
        <v>1.5906603286575782</v>
      </c>
      <c r="AD93" s="17">
        <v>-0.8593627097567913</v>
      </c>
      <c r="AE93" s="17">
        <v>1.3374666300864129</v>
      </c>
      <c r="AF93" s="17">
        <v>1.6049118769290147</v>
      </c>
      <c r="AG93" s="17">
        <v>1.3481853892245086</v>
      </c>
      <c r="AH93" s="17">
        <v>0.33128292594394448</v>
      </c>
      <c r="AI93" s="17">
        <v>-1.6572512841003593</v>
      </c>
      <c r="AJ93" s="17">
        <v>-0.4315878441673433</v>
      </c>
      <c r="AK93" s="17">
        <v>-1.6312483132187752</v>
      </c>
      <c r="AM93" s="17">
        <v>-0.62279028494323641</v>
      </c>
      <c r="AN93" s="17">
        <v>0.63679293423554495</v>
      </c>
      <c r="AO93" s="17">
        <v>0.75816189209892026</v>
      </c>
      <c r="AP93" s="17">
        <v>0.25832138992702158</v>
      </c>
      <c r="AQ93" s="17">
        <v>0.81867504518118683</v>
      </c>
      <c r="AR93" s="17">
        <v>-0.41472360424515009</v>
      </c>
      <c r="AS93" s="17">
        <v>-0.66197040307870492</v>
      </c>
      <c r="AT93" s="17">
        <v>0.8393573623081213</v>
      </c>
      <c r="AU93" s="17">
        <v>0.5367141136954956</v>
      </c>
      <c r="AV93" s="17">
        <v>0.90764642282402919</v>
      </c>
      <c r="AW93" s="17">
        <v>-0.80281510109110188</v>
      </c>
      <c r="AX93" s="17">
        <v>0.88988625488622219</v>
      </c>
      <c r="AY93" s="17">
        <v>-0.6392088271753108</v>
      </c>
      <c r="AZ93" s="17">
        <v>0.82057101294354562</v>
      </c>
      <c r="BA93" s="17">
        <v>0.89998243270579814</v>
      </c>
      <c r="BB93" s="17">
        <v>0.84342915062672663</v>
      </c>
      <c r="BC93" s="17">
        <v>0.2734381732006706</v>
      </c>
      <c r="BD93" s="17">
        <v>-0.89728940325736006</v>
      </c>
      <c r="BE93" s="17">
        <v>-0.35688870923749444</v>
      </c>
      <c r="BF93" s="17">
        <v>-0.11780602511945108</v>
      </c>
      <c r="BK93" s="20">
        <v>-5.1665037980388462E-3</v>
      </c>
      <c r="BL93" s="20">
        <v>1.0052194826106728</v>
      </c>
      <c r="BN93" s="21">
        <f t="shared" si="5"/>
        <v>1</v>
      </c>
    </row>
    <row r="94" spans="1:66">
      <c r="A94" s="14">
        <v>13.27</v>
      </c>
      <c r="B94" s="14">
        <v>14.76</v>
      </c>
      <c r="C94" s="14">
        <v>84.74</v>
      </c>
      <c r="D94" s="14">
        <v>551.70000000000005</v>
      </c>
      <c r="E94" s="14">
        <v>5.0549999999999998E-2</v>
      </c>
      <c r="F94" s="14">
        <v>3.261E-2</v>
      </c>
      <c r="G94" s="14">
        <v>2.648E-2</v>
      </c>
      <c r="H94" s="14">
        <v>16.36</v>
      </c>
      <c r="I94" s="14">
        <v>830.6</v>
      </c>
      <c r="J94" s="14">
        <v>0.10009999999999999</v>
      </c>
      <c r="M94" s="16">
        <v>0</v>
      </c>
      <c r="O94" s="12">
        <f t="shared" si="3"/>
        <v>1</v>
      </c>
      <c r="P94" s="12">
        <f t="shared" si="4"/>
        <v>0</v>
      </c>
      <c r="R94" s="17">
        <v>-0.86216493245391179</v>
      </c>
      <c r="S94" s="17">
        <v>0.86592397083683859</v>
      </c>
      <c r="T94" s="17">
        <v>1.1492407566427856</v>
      </c>
      <c r="U94" s="17">
        <v>0.30971288832147947</v>
      </c>
      <c r="V94" s="17">
        <v>1.322038261257461</v>
      </c>
      <c r="W94" s="17">
        <v>-0.54000870393571332</v>
      </c>
      <c r="X94" s="17">
        <v>-0.93446499101467595</v>
      </c>
      <c r="Y94" s="17">
        <v>1.3623707400649003</v>
      </c>
      <c r="Z94" s="17">
        <v>0.73556995189170193</v>
      </c>
      <c r="AA94" s="17">
        <v>1.6983871669386827</v>
      </c>
      <c r="AB94" s="17">
        <v>-1.2113068807979621</v>
      </c>
      <c r="AC94" s="17">
        <v>1.5906603286575782</v>
      </c>
      <c r="AD94" s="17">
        <v>-0.8593627097567913</v>
      </c>
      <c r="AE94" s="17">
        <v>1.3374666300864129</v>
      </c>
      <c r="AF94" s="17">
        <v>1.6049118769290147</v>
      </c>
      <c r="AG94" s="17">
        <v>1.3481853892245086</v>
      </c>
      <c r="AH94" s="17">
        <v>0.33128292594394448</v>
      </c>
      <c r="AI94" s="17">
        <v>-1.6572512841003593</v>
      </c>
      <c r="AJ94" s="17">
        <v>-0.4315878441673433</v>
      </c>
      <c r="AK94" s="17">
        <v>0.34708387084191228</v>
      </c>
      <c r="AM94" s="17">
        <v>-0.89396418092671259</v>
      </c>
      <c r="AN94" s="17">
        <v>0.76609031246891024</v>
      </c>
      <c r="AO94" s="17">
        <v>0.20814703418116354</v>
      </c>
      <c r="AP94" s="17">
        <v>0.43741189985041623</v>
      </c>
      <c r="AQ94" s="17">
        <v>0.89890211712452373</v>
      </c>
      <c r="AR94" s="17">
        <v>-0.84657754515978612</v>
      </c>
      <c r="AS94" s="17">
        <v>-0.89378424198640349</v>
      </c>
      <c r="AT94" s="17">
        <v>0.6827644769971063</v>
      </c>
      <c r="AU94" s="17">
        <v>0.93894910172161561</v>
      </c>
      <c r="AV94" s="17">
        <v>0.82208651184874426</v>
      </c>
      <c r="AW94" s="17">
        <v>-0.24278943683680673</v>
      </c>
      <c r="AX94" s="17">
        <v>0.76785181880294118</v>
      </c>
      <c r="AY94" s="17">
        <v>-0.6583432077385899</v>
      </c>
      <c r="AZ94" s="17">
        <v>0.92899517934424314</v>
      </c>
      <c r="BA94" s="17">
        <v>0.19269864564771383</v>
      </c>
      <c r="BB94" s="17">
        <v>0.23993649121045851</v>
      </c>
      <c r="BC94" s="17">
        <v>0.49930378763015471</v>
      </c>
      <c r="BD94" s="17">
        <v>-0.91439788673019207</v>
      </c>
      <c r="BE94" s="17">
        <v>-0.49643991350705546</v>
      </c>
      <c r="BF94" s="17">
        <v>-0.54690541483698651</v>
      </c>
      <c r="BK94" s="20">
        <v>0.99067000704060149</v>
      </c>
      <c r="BL94" s="20">
        <v>9.3073919957852129E-3</v>
      </c>
      <c r="BN94" s="21">
        <f t="shared" si="5"/>
        <v>0</v>
      </c>
    </row>
    <row r="95" spans="1:66">
      <c r="A95" s="14">
        <v>13.45</v>
      </c>
      <c r="B95" s="14">
        <v>18.3</v>
      </c>
      <c r="C95" s="14">
        <v>86.6</v>
      </c>
      <c r="D95" s="14">
        <v>555.1</v>
      </c>
      <c r="E95" s="14">
        <v>8.165E-2</v>
      </c>
      <c r="F95" s="14">
        <v>3.9739999999999998E-2</v>
      </c>
      <c r="G95" s="14">
        <v>2.7799999999999998E-2</v>
      </c>
      <c r="H95" s="14">
        <v>15.1</v>
      </c>
      <c r="I95" s="14">
        <v>699.4</v>
      </c>
      <c r="J95" s="14">
        <v>7.911E-2</v>
      </c>
      <c r="M95" s="16">
        <v>0</v>
      </c>
      <c r="O95" s="12">
        <f t="shared" si="3"/>
        <v>1</v>
      </c>
      <c r="P95" s="12">
        <f t="shared" si="4"/>
        <v>0</v>
      </c>
      <c r="R95" s="17">
        <v>-0.86216493245391179</v>
      </c>
      <c r="S95" s="17">
        <v>0.86592397083683859</v>
      </c>
      <c r="T95" s="17">
        <v>1.1492407566427856</v>
      </c>
      <c r="U95" s="17">
        <v>0.30971288832147947</v>
      </c>
      <c r="V95" s="17">
        <v>1.322038261257461</v>
      </c>
      <c r="W95" s="17">
        <v>-0.54000870393571332</v>
      </c>
      <c r="X95" s="17">
        <v>-0.93446499101467595</v>
      </c>
      <c r="Y95" s="17">
        <v>1.3623707400649003</v>
      </c>
      <c r="Z95" s="17">
        <v>0.73556995189170193</v>
      </c>
      <c r="AA95" s="17">
        <v>1.6983871669386827</v>
      </c>
      <c r="AB95" s="17">
        <v>-1.2113068807979621</v>
      </c>
      <c r="AC95" s="17">
        <v>1.5906603286575782</v>
      </c>
      <c r="AD95" s="17">
        <v>-0.8593627097567913</v>
      </c>
      <c r="AE95" s="17">
        <v>1.3374666300864129</v>
      </c>
      <c r="AF95" s="17">
        <v>1.6049118769290147</v>
      </c>
      <c r="AG95" s="17">
        <v>1.3481853892245086</v>
      </c>
      <c r="AH95" s="17">
        <v>0.33128292594394448</v>
      </c>
      <c r="AI95" s="17">
        <v>-1.6572512841003593</v>
      </c>
      <c r="AJ95" s="17">
        <v>-0.4315878441673433</v>
      </c>
      <c r="AK95" s="17">
        <v>-1.4934499483217962</v>
      </c>
      <c r="AM95" s="17">
        <v>-0.8706649399538684</v>
      </c>
      <c r="AN95" s="17">
        <v>0.77424924503968773</v>
      </c>
      <c r="AO95" s="17">
        <v>0.58097373901488636</v>
      </c>
      <c r="AP95" s="17">
        <v>0.41793434107862487</v>
      </c>
      <c r="AQ95" s="17">
        <v>0.90856386715062076</v>
      </c>
      <c r="AR95" s="17">
        <v>-0.79298915477082066</v>
      </c>
      <c r="AS95" s="17">
        <v>-0.87667273067272566</v>
      </c>
      <c r="AT95" s="17">
        <v>0.79465566192676385</v>
      </c>
      <c r="AU95" s="17">
        <v>0.90424186056942535</v>
      </c>
      <c r="AV95" s="17">
        <v>0.89348143817845904</v>
      </c>
      <c r="AW95" s="17">
        <v>-0.54570549016191683</v>
      </c>
      <c r="AX95" s="17">
        <v>0.86036432335368673</v>
      </c>
      <c r="AY95" s="17">
        <v>-0.70203945654790667</v>
      </c>
      <c r="AZ95" s="17">
        <v>0.92968739391484057</v>
      </c>
      <c r="BA95" s="17">
        <v>0.61473043053870868</v>
      </c>
      <c r="BB95" s="17">
        <v>0.57793442159041053</v>
      </c>
      <c r="BC95" s="17">
        <v>0.46948507230060388</v>
      </c>
      <c r="BD95" s="17">
        <v>-0.93565431191737602</v>
      </c>
      <c r="BE95" s="17">
        <v>-0.49510657386118556</v>
      </c>
      <c r="BF95" s="17">
        <v>0.1027834762564811</v>
      </c>
      <c r="BK95" s="20">
        <v>-4.1718358817212989E-2</v>
      </c>
      <c r="BL95" s="20">
        <v>1.0416567654895899</v>
      </c>
      <c r="BN95" s="21">
        <f t="shared" si="5"/>
        <v>1</v>
      </c>
    </row>
    <row r="96" spans="1:66">
      <c r="A96" s="14">
        <v>15.06</v>
      </c>
      <c r="B96" s="14">
        <v>19.829999999999998</v>
      </c>
      <c r="C96" s="14">
        <v>100.3</v>
      </c>
      <c r="D96" s="14">
        <v>705.6</v>
      </c>
      <c r="E96" s="14">
        <v>0.15529999999999999</v>
      </c>
      <c r="F96" s="14">
        <v>0.17</v>
      </c>
      <c r="G96" s="14">
        <v>8.8150000000000006E-2</v>
      </c>
      <c r="H96" s="14">
        <v>18.23</v>
      </c>
      <c r="I96" s="14">
        <v>1025</v>
      </c>
      <c r="J96" s="14">
        <v>0.21149999999999999</v>
      </c>
      <c r="M96" s="16">
        <v>1</v>
      </c>
      <c r="O96" s="12">
        <f t="shared" si="3"/>
        <v>0</v>
      </c>
      <c r="P96" s="12">
        <f t="shared" si="4"/>
        <v>1</v>
      </c>
      <c r="R96" s="17">
        <v>-1.4643074708783446</v>
      </c>
      <c r="S96" s="17">
        <v>1.0359333700219733</v>
      </c>
      <c r="T96" s="17">
        <v>0.4503249130137873</v>
      </c>
      <c r="U96" s="17">
        <v>0.47751119115197871</v>
      </c>
      <c r="V96" s="17">
        <v>1.5052132201123889</v>
      </c>
      <c r="W96" s="17">
        <v>-1.2567352733816861</v>
      </c>
      <c r="X96" s="17">
        <v>-1.4659127711484521</v>
      </c>
      <c r="Y96" s="17">
        <v>0.877385815472147</v>
      </c>
      <c r="Z96" s="17">
        <v>1.7463530467411736</v>
      </c>
      <c r="AA96" s="17">
        <v>1.2163845753889837</v>
      </c>
      <c r="AB96" s="17">
        <v>-0.28839333793737798</v>
      </c>
      <c r="AC96" s="17">
        <v>1.0652147513376473</v>
      </c>
      <c r="AD96" s="17">
        <v>-0.81583654438301023</v>
      </c>
      <c r="AE96" s="17">
        <v>1.6894094608623824</v>
      </c>
      <c r="AF96" s="17">
        <v>0.2496334827590041</v>
      </c>
      <c r="AG96" s="17">
        <v>0.29010426800531797</v>
      </c>
      <c r="AH96" s="17">
        <v>0.55723475600471262</v>
      </c>
      <c r="AI96" s="17">
        <v>-1.603629768829455</v>
      </c>
      <c r="AJ96" s="17">
        <v>-0.55690825498325469</v>
      </c>
      <c r="AK96" s="17">
        <v>0.41255745809622846</v>
      </c>
      <c r="AM96" s="17">
        <v>-0.68882035248968776</v>
      </c>
      <c r="AN96" s="17">
        <v>0.6685689473621752</v>
      </c>
      <c r="AO96" s="17">
        <v>0.75429238848167601</v>
      </c>
      <c r="AP96" s="17">
        <v>0.29057962771944867</v>
      </c>
      <c r="AQ96" s="17">
        <v>0.84158668771560063</v>
      </c>
      <c r="AR96" s="17">
        <v>-0.50939731194745486</v>
      </c>
      <c r="AS96" s="17">
        <v>-0.7187869383588118</v>
      </c>
      <c r="AT96" s="17">
        <v>0.8336826979309121</v>
      </c>
      <c r="AU96" s="17">
        <v>0.64616294818190256</v>
      </c>
      <c r="AV96" s="17">
        <v>0.90653262736740847</v>
      </c>
      <c r="AW96" s="17">
        <v>-0.77001960265506408</v>
      </c>
      <c r="AX96" s="17">
        <v>0.88644054328753652</v>
      </c>
      <c r="AY96" s="17">
        <v>-0.65379147824612982</v>
      </c>
      <c r="AZ96" s="17">
        <v>0.85015446121003979</v>
      </c>
      <c r="BA96" s="17">
        <v>0.87152139572530407</v>
      </c>
      <c r="BB96" s="17">
        <v>0.81195828993903219</v>
      </c>
      <c r="BC96" s="17">
        <v>0.31352075795708351</v>
      </c>
      <c r="BD96" s="17">
        <v>-0.90706821070613353</v>
      </c>
      <c r="BE96" s="17">
        <v>-0.38561874106206701</v>
      </c>
      <c r="BF96" s="17">
        <v>-6.3381383191363966E-2</v>
      </c>
      <c r="BK96" s="20">
        <v>-3.0600621451852817E-2</v>
      </c>
      <c r="BL96" s="20">
        <v>1.0304581355738642</v>
      </c>
      <c r="BN96" s="21">
        <f t="shared" si="5"/>
        <v>1</v>
      </c>
    </row>
    <row r="97" spans="1:66">
      <c r="A97" s="14">
        <v>20.260000000000002</v>
      </c>
      <c r="B97" s="14">
        <v>23.03</v>
      </c>
      <c r="C97" s="14">
        <v>132.4</v>
      </c>
      <c r="D97" s="14">
        <v>1264</v>
      </c>
      <c r="E97" s="14">
        <v>0.1313</v>
      </c>
      <c r="F97" s="14">
        <v>0.14649999999999999</v>
      </c>
      <c r="G97" s="14">
        <v>8.6830000000000004E-2</v>
      </c>
      <c r="H97" s="14">
        <v>24.22</v>
      </c>
      <c r="I97" s="14">
        <v>1750</v>
      </c>
      <c r="J97" s="14">
        <v>0.1573</v>
      </c>
      <c r="M97" s="16">
        <v>1</v>
      </c>
      <c r="O97" s="12">
        <f t="shared" si="3"/>
        <v>0</v>
      </c>
      <c r="P97" s="12">
        <f t="shared" si="4"/>
        <v>1</v>
      </c>
      <c r="R97" s="17">
        <v>-0.86216493245391179</v>
      </c>
      <c r="S97" s="17">
        <v>0.86592397083683859</v>
      </c>
      <c r="T97" s="17">
        <v>1.1492407566427856</v>
      </c>
      <c r="U97" s="17">
        <v>0.30971288832147947</v>
      </c>
      <c r="V97" s="17">
        <v>1.322038261257461</v>
      </c>
      <c r="W97" s="17">
        <v>-0.54000870393571332</v>
      </c>
      <c r="X97" s="17">
        <v>-0.93446499101467595</v>
      </c>
      <c r="Y97" s="17">
        <v>1.3623707400649003</v>
      </c>
      <c r="Z97" s="17">
        <v>0.73556995189170193</v>
      </c>
      <c r="AA97" s="17">
        <v>1.6983871669386827</v>
      </c>
      <c r="AB97" s="17">
        <v>-1.2113068807979621</v>
      </c>
      <c r="AC97" s="17">
        <v>1.5906603286575782</v>
      </c>
      <c r="AD97" s="17">
        <v>-0.8593627097567913</v>
      </c>
      <c r="AE97" s="17">
        <v>1.3374666300864129</v>
      </c>
      <c r="AF97" s="17">
        <v>1.6049118769290147</v>
      </c>
      <c r="AG97" s="17">
        <v>1.3481853892245086</v>
      </c>
      <c r="AH97" s="17">
        <v>0.33128292594394448</v>
      </c>
      <c r="AI97" s="17">
        <v>-1.6572512841003593</v>
      </c>
      <c r="AJ97" s="17">
        <v>-0.4315878441673433</v>
      </c>
      <c r="AK97" s="17">
        <v>-1.6014274714230847</v>
      </c>
      <c r="AM97" s="17">
        <v>-0.72622506696905353</v>
      </c>
      <c r="AN97" s="17">
        <v>0.69506707351273911</v>
      </c>
      <c r="AO97" s="17">
        <v>0.76141321810417106</v>
      </c>
      <c r="AP97" s="17">
        <v>0.31245229044721234</v>
      </c>
      <c r="AQ97" s="17">
        <v>0.86112924077979258</v>
      </c>
      <c r="AR97" s="17">
        <v>-0.55737054332597213</v>
      </c>
      <c r="AS97" s="17">
        <v>-0.75272837454460018</v>
      </c>
      <c r="AT97" s="17">
        <v>0.84357276884941024</v>
      </c>
      <c r="AU97" s="17">
        <v>0.69734881152760486</v>
      </c>
      <c r="AV97" s="17">
        <v>0.91485946037995636</v>
      </c>
      <c r="AW97" s="17">
        <v>-0.77022296291379133</v>
      </c>
      <c r="AX97" s="17">
        <v>0.8949805317123275</v>
      </c>
      <c r="AY97" s="17">
        <v>-0.67424055617161283</v>
      </c>
      <c r="AZ97" s="17">
        <v>0.87131785716880494</v>
      </c>
      <c r="BA97" s="17">
        <v>0.86978166684993863</v>
      </c>
      <c r="BB97" s="17">
        <v>0.81152374425342833</v>
      </c>
      <c r="BC97" s="17">
        <v>0.33897747729274597</v>
      </c>
      <c r="BD97" s="17">
        <v>-0.91908144871946529</v>
      </c>
      <c r="BE97" s="17">
        <v>-0.40844319073854812</v>
      </c>
      <c r="BF97" s="17">
        <v>0.26306130131207217</v>
      </c>
      <c r="BK97" s="20">
        <v>1.0411302891606453</v>
      </c>
      <c r="BL97" s="20">
        <v>-4.1180119895189507E-2</v>
      </c>
      <c r="BN97" s="21">
        <f t="shared" si="5"/>
        <v>0</v>
      </c>
    </row>
    <row r="98" spans="1:66">
      <c r="A98" s="14">
        <v>12.18</v>
      </c>
      <c r="B98" s="14">
        <v>17.84</v>
      </c>
      <c r="C98" s="14">
        <v>77.790000000000006</v>
      </c>
      <c r="D98" s="14">
        <v>451.1</v>
      </c>
      <c r="E98" s="14">
        <v>7.0569999999999994E-2</v>
      </c>
      <c r="F98" s="14">
        <v>2.4899999999999999E-2</v>
      </c>
      <c r="G98" s="14">
        <v>2.9409999999999999E-2</v>
      </c>
      <c r="H98" s="14">
        <v>12.83</v>
      </c>
      <c r="I98" s="14">
        <v>495.2</v>
      </c>
      <c r="J98" s="14">
        <v>5.8819999999999997E-2</v>
      </c>
      <c r="M98" s="16">
        <v>0</v>
      </c>
      <c r="O98" s="12">
        <f t="shared" si="3"/>
        <v>1</v>
      </c>
      <c r="P98" s="12">
        <f t="shared" si="4"/>
        <v>0</v>
      </c>
      <c r="R98" s="17">
        <v>-1.4643074708783446</v>
      </c>
      <c r="S98" s="17">
        <v>1.0359333700219733</v>
      </c>
      <c r="T98" s="17">
        <v>0.45027375781978807</v>
      </c>
      <c r="U98" s="17">
        <v>0.47751119115197871</v>
      </c>
      <c r="V98" s="17">
        <v>1.5052132201123889</v>
      </c>
      <c r="W98" s="17">
        <v>-1.2567352733816861</v>
      </c>
      <c r="X98" s="17">
        <v>-1.4659127711484521</v>
      </c>
      <c r="Y98" s="17">
        <v>0.877385815472147</v>
      </c>
      <c r="Z98" s="17">
        <v>1.7463530467411736</v>
      </c>
      <c r="AA98" s="17">
        <v>1.2163845753889837</v>
      </c>
      <c r="AB98" s="17">
        <v>-0.28839333793737798</v>
      </c>
      <c r="AC98" s="17">
        <v>1.0652147513376473</v>
      </c>
      <c r="AD98" s="17">
        <v>-0.81583654438301023</v>
      </c>
      <c r="AE98" s="17">
        <v>1.6894094608623824</v>
      </c>
      <c r="AF98" s="17">
        <v>0.2496334827590041</v>
      </c>
      <c r="AG98" s="17">
        <v>0.29010426800531797</v>
      </c>
      <c r="AH98" s="17">
        <v>0.55723475600471262</v>
      </c>
      <c r="AI98" s="17">
        <v>-1.603629768829455</v>
      </c>
      <c r="AJ98" s="17">
        <v>-0.55690825498325469</v>
      </c>
      <c r="AK98" s="17">
        <v>-1.5874379826198104</v>
      </c>
      <c r="AM98" s="17">
        <v>-0.76743885713147353</v>
      </c>
      <c r="AN98" s="17">
        <v>0.70037134277412927</v>
      </c>
      <c r="AO98" s="17">
        <v>0.63926710237883477</v>
      </c>
      <c r="AP98" s="17">
        <v>0.33415023573987807</v>
      </c>
      <c r="AQ98" s="17">
        <v>0.86141837523775611</v>
      </c>
      <c r="AR98" s="17">
        <v>-0.63673992988839767</v>
      </c>
      <c r="AS98" s="17">
        <v>-0.78457617726179452</v>
      </c>
      <c r="AT98" s="17">
        <v>0.80238539941650167</v>
      </c>
      <c r="AU98" s="17">
        <v>0.77677443564445114</v>
      </c>
      <c r="AV98" s="17">
        <v>0.88966320987418535</v>
      </c>
      <c r="AW98" s="17">
        <v>-0.67099492740058098</v>
      </c>
      <c r="AX98" s="17">
        <v>0.86290383859892739</v>
      </c>
      <c r="AY98" s="17">
        <v>-0.65727356025121575</v>
      </c>
      <c r="AZ98" s="17">
        <v>0.87906568964653897</v>
      </c>
      <c r="BA98" s="17">
        <v>0.77420411277940493</v>
      </c>
      <c r="BB98" s="17">
        <v>0.71320828620978916</v>
      </c>
      <c r="BC98" s="17">
        <v>0.36944071363122505</v>
      </c>
      <c r="BD98" s="17">
        <v>-0.91044503058918147</v>
      </c>
      <c r="BE98" s="17">
        <v>-0.41916833940846848</v>
      </c>
      <c r="BF98" s="17">
        <v>-0.78554279928108472</v>
      </c>
      <c r="BK98" s="20">
        <v>1.0307441859278452</v>
      </c>
      <c r="BL98" s="20">
        <v>-3.0848966725641577E-2</v>
      </c>
      <c r="BN98" s="21">
        <f t="shared" si="5"/>
        <v>0</v>
      </c>
    </row>
    <row r="99" spans="1:66">
      <c r="A99" s="14">
        <v>9.7870000000000008</v>
      </c>
      <c r="B99" s="14">
        <v>19.940000000000001</v>
      </c>
      <c r="C99" s="14">
        <v>62.11</v>
      </c>
      <c r="D99" s="14">
        <v>294.5</v>
      </c>
      <c r="E99" s="14">
        <v>5.3010000000000002E-2</v>
      </c>
      <c r="F99" s="14">
        <v>6.829E-3</v>
      </c>
      <c r="G99" s="14">
        <v>7.9369999999999996E-3</v>
      </c>
      <c r="H99" s="14">
        <v>10.92</v>
      </c>
      <c r="I99" s="14">
        <v>366.1</v>
      </c>
      <c r="J99" s="14">
        <v>2.3810000000000001E-2</v>
      </c>
      <c r="M99" s="16">
        <v>0</v>
      </c>
      <c r="O99" s="12">
        <f t="shared" si="3"/>
        <v>1</v>
      </c>
      <c r="P99" s="12">
        <f t="shared" si="4"/>
        <v>0</v>
      </c>
      <c r="R99" s="17">
        <v>-1.4643074708783446</v>
      </c>
      <c r="S99" s="17">
        <v>1.0359333700219733</v>
      </c>
      <c r="T99" s="17">
        <v>0.4503249130137873</v>
      </c>
      <c r="U99" s="17">
        <v>0.47751119115197871</v>
      </c>
      <c r="V99" s="17">
        <v>1.5052132201123889</v>
      </c>
      <c r="W99" s="17">
        <v>-1.2567352733816861</v>
      </c>
      <c r="X99" s="17">
        <v>-1.4659127711484521</v>
      </c>
      <c r="Y99" s="17">
        <v>0.877385815472147</v>
      </c>
      <c r="Z99" s="17">
        <v>1.7463530467411736</v>
      </c>
      <c r="AA99" s="17">
        <v>1.2163845753889837</v>
      </c>
      <c r="AB99" s="17">
        <v>-0.28839333793737798</v>
      </c>
      <c r="AC99" s="17">
        <v>1.0652147513376473</v>
      </c>
      <c r="AD99" s="17">
        <v>-0.81583654438301023</v>
      </c>
      <c r="AE99" s="17">
        <v>1.6894094608623824</v>
      </c>
      <c r="AF99" s="17">
        <v>0.2496334827590041</v>
      </c>
      <c r="AG99" s="17">
        <v>0.29010426800531797</v>
      </c>
      <c r="AH99" s="17">
        <v>0.55723475600471262</v>
      </c>
      <c r="AI99" s="17">
        <v>-1.603629768829455</v>
      </c>
      <c r="AJ99" s="17">
        <v>-0.55690825498325469</v>
      </c>
      <c r="AK99" s="17">
        <v>0.41256201738018472</v>
      </c>
      <c r="AM99" s="17">
        <v>-0.71342587657054612</v>
      </c>
      <c r="AN99" s="17">
        <v>0.71065940436154196</v>
      </c>
      <c r="AO99" s="17">
        <v>0.83305039268850456</v>
      </c>
      <c r="AP99" s="17">
        <v>0.30962740800471078</v>
      </c>
      <c r="AQ99" s="17">
        <v>0.87519500210615153</v>
      </c>
      <c r="AR99" s="17">
        <v>-0.513488152643367</v>
      </c>
      <c r="AS99" s="17">
        <v>-0.74714268568685926</v>
      </c>
      <c r="AT99" s="17">
        <v>0.88127638295656074</v>
      </c>
      <c r="AU99" s="17">
        <v>0.64908221222800766</v>
      </c>
      <c r="AV99" s="17">
        <v>0.93844541121971681</v>
      </c>
      <c r="AW99" s="17">
        <v>-0.83892058271563286</v>
      </c>
      <c r="AX99" s="17">
        <v>0.92372455068170833</v>
      </c>
      <c r="AY99" s="17">
        <v>-0.70498347295215169</v>
      </c>
      <c r="AZ99" s="17">
        <v>0.87967163340609256</v>
      </c>
      <c r="BA99" s="17">
        <v>0.92319606334657123</v>
      </c>
      <c r="BB99" s="17">
        <v>0.87509327999063391</v>
      </c>
      <c r="BC99" s="17">
        <v>0.33054987579018147</v>
      </c>
      <c r="BD99" s="17">
        <v>-0.934426425887392</v>
      </c>
      <c r="BE99" s="17">
        <v>-0.41673575269766522</v>
      </c>
      <c r="BF99" s="17">
        <v>0.40032781840514442</v>
      </c>
      <c r="BK99" s="20">
        <v>0.13283559562788608</v>
      </c>
      <c r="BL99" s="20">
        <v>0.86724026025786405</v>
      </c>
      <c r="BN99" s="21">
        <f t="shared" si="5"/>
        <v>1</v>
      </c>
    </row>
    <row r="100" spans="1:66">
      <c r="A100" s="14">
        <v>11.6</v>
      </c>
      <c r="B100" s="14">
        <v>12.84</v>
      </c>
      <c r="C100" s="14">
        <v>74.34</v>
      </c>
      <c r="D100" s="14">
        <v>412.6</v>
      </c>
      <c r="E100" s="14">
        <v>7.5249999999999997E-2</v>
      </c>
      <c r="F100" s="14">
        <v>4.1959999999999997E-2</v>
      </c>
      <c r="G100" s="14">
        <v>3.3500000000000002E-2</v>
      </c>
      <c r="H100" s="14">
        <v>13.06</v>
      </c>
      <c r="I100" s="14">
        <v>512.5</v>
      </c>
      <c r="J100" s="14">
        <v>8.4489999999999996E-2</v>
      </c>
      <c r="M100" s="16">
        <v>0</v>
      </c>
      <c r="O100" s="12">
        <f t="shared" si="3"/>
        <v>1</v>
      </c>
      <c r="P100" s="12">
        <f t="shared" si="4"/>
        <v>0</v>
      </c>
      <c r="R100" s="17">
        <v>-0.86216493245391179</v>
      </c>
      <c r="S100" s="17">
        <v>0.86592397083683859</v>
      </c>
      <c r="T100" s="17">
        <v>1.1492407566427856</v>
      </c>
      <c r="U100" s="17">
        <v>0.30971288832147947</v>
      </c>
      <c r="V100" s="17">
        <v>1.322038261257461</v>
      </c>
      <c r="W100" s="17">
        <v>-0.54000870393571332</v>
      </c>
      <c r="X100" s="17">
        <v>-0.93446499101467595</v>
      </c>
      <c r="Y100" s="17">
        <v>1.3623707400649003</v>
      </c>
      <c r="Z100" s="17">
        <v>0.73556995189170193</v>
      </c>
      <c r="AA100" s="17">
        <v>1.6983871669386827</v>
      </c>
      <c r="AB100" s="17">
        <v>-1.2113068807979621</v>
      </c>
      <c r="AC100" s="17">
        <v>1.5906603286575782</v>
      </c>
      <c r="AD100" s="17">
        <v>-0.8593627097567913</v>
      </c>
      <c r="AE100" s="17">
        <v>1.3374666300864129</v>
      </c>
      <c r="AF100" s="17">
        <v>1.6049118769290147</v>
      </c>
      <c r="AG100" s="17">
        <v>1.3481853892245086</v>
      </c>
      <c r="AH100" s="17">
        <v>0.33128292594394448</v>
      </c>
      <c r="AI100" s="17">
        <v>-1.6572512841003593</v>
      </c>
      <c r="AJ100" s="17">
        <v>-0.4315878441673433</v>
      </c>
      <c r="AK100" s="17">
        <v>0.25808266102816191</v>
      </c>
      <c r="AM100" s="17">
        <v>-0.90582475765360471</v>
      </c>
      <c r="AN100" s="17">
        <v>0.77779008495458035</v>
      </c>
      <c r="AO100" s="17">
        <v>-4.6785631307737073E-2</v>
      </c>
      <c r="AP100" s="17">
        <v>0.45237927480746076</v>
      </c>
      <c r="AQ100" s="17">
        <v>0.90600344247242814</v>
      </c>
      <c r="AR100" s="17">
        <v>-0.86412559215335227</v>
      </c>
      <c r="AS100" s="17">
        <v>-0.90491122338582619</v>
      </c>
      <c r="AT100" s="17">
        <v>0.67584648368724765</v>
      </c>
      <c r="AU100" s="17">
        <v>0.9489322700216154</v>
      </c>
      <c r="AV100" s="17">
        <v>0.81996860201146182</v>
      </c>
      <c r="AW100" s="17">
        <v>-0.19559535512141274</v>
      </c>
      <c r="AX100" s="17">
        <v>0.76295191576958898</v>
      </c>
      <c r="AY100" s="17">
        <v>-0.66523567734293565</v>
      </c>
      <c r="AZ100" s="17">
        <v>0.93574148432621573</v>
      </c>
      <c r="BA100" s="17">
        <v>0.11859460618602968</v>
      </c>
      <c r="BB100" s="17">
        <v>0.18496524470810535</v>
      </c>
      <c r="BC100" s="17">
        <v>0.51678743564777985</v>
      </c>
      <c r="BD100" s="17">
        <v>-0.9185593579300898</v>
      </c>
      <c r="BE100" s="17">
        <v>-0.50957363357402208</v>
      </c>
      <c r="BF100" s="17">
        <v>-0.14780958673728509</v>
      </c>
      <c r="BK100" s="20">
        <v>-0.17355610098252744</v>
      </c>
      <c r="BL100" s="20">
        <v>1.1726955913779724</v>
      </c>
      <c r="BN100" s="21">
        <f t="shared" si="5"/>
        <v>1</v>
      </c>
    </row>
    <row r="101" spans="1:66">
      <c r="A101" s="14">
        <v>14.42</v>
      </c>
      <c r="B101" s="14">
        <v>19.77</v>
      </c>
      <c r="C101" s="14">
        <v>94.48</v>
      </c>
      <c r="D101" s="14">
        <v>642.5</v>
      </c>
      <c r="E101" s="14">
        <v>0.11409999999999999</v>
      </c>
      <c r="F101" s="14">
        <v>9.3880000000000005E-2</v>
      </c>
      <c r="G101" s="14">
        <v>5.8389999999999997E-2</v>
      </c>
      <c r="H101" s="14">
        <v>16.329999999999998</v>
      </c>
      <c r="I101" s="14">
        <v>826.4</v>
      </c>
      <c r="J101" s="14">
        <v>0.1565</v>
      </c>
      <c r="M101" s="16">
        <v>1</v>
      </c>
      <c r="O101" s="12">
        <f t="shared" si="3"/>
        <v>0</v>
      </c>
      <c r="P101" s="12">
        <f t="shared" si="4"/>
        <v>1</v>
      </c>
      <c r="R101" s="17">
        <v>-0.86216493245391179</v>
      </c>
      <c r="S101" s="17">
        <v>0.86592397083683859</v>
      </c>
      <c r="T101" s="17">
        <v>1.1492407566427856</v>
      </c>
      <c r="U101" s="17">
        <v>0.30971288832147947</v>
      </c>
      <c r="V101" s="17">
        <v>1.322038261257461</v>
      </c>
      <c r="W101" s="17">
        <v>-0.54000870393571332</v>
      </c>
      <c r="X101" s="17">
        <v>-0.93446499101467595</v>
      </c>
      <c r="Y101" s="17">
        <v>1.3623707400649003</v>
      </c>
      <c r="Z101" s="17">
        <v>0.73556995189170193</v>
      </c>
      <c r="AA101" s="17">
        <v>1.6983871669386827</v>
      </c>
      <c r="AB101" s="17">
        <v>-1.2113068807979621</v>
      </c>
      <c r="AC101" s="17">
        <v>1.5906603286575782</v>
      </c>
      <c r="AD101" s="17">
        <v>-0.8593627097567913</v>
      </c>
      <c r="AE101" s="17">
        <v>1.3374666300864129</v>
      </c>
      <c r="AF101" s="17">
        <v>1.6049118769290147</v>
      </c>
      <c r="AG101" s="17">
        <v>1.3481853892245086</v>
      </c>
      <c r="AH101" s="17">
        <v>0.33128292594394448</v>
      </c>
      <c r="AI101" s="17">
        <v>-1.6572512841003593</v>
      </c>
      <c r="AJ101" s="17">
        <v>-0.4315878441673433</v>
      </c>
      <c r="AK101" s="17">
        <v>0.36873422417733626</v>
      </c>
      <c r="AM101" s="17">
        <v>-0.6108990659153577</v>
      </c>
      <c r="AN101" s="17">
        <v>0.64506618755329082</v>
      </c>
      <c r="AO101" s="17">
        <v>0.79854390609976023</v>
      </c>
      <c r="AP101" s="17">
        <v>0.25535309044202781</v>
      </c>
      <c r="AQ101" s="17">
        <v>0.8274764968316608</v>
      </c>
      <c r="AR101" s="17">
        <v>-0.38272860260191333</v>
      </c>
      <c r="AS101" s="17">
        <v>-0.65545058221120156</v>
      </c>
      <c r="AT101" s="17">
        <v>0.86140319467939563</v>
      </c>
      <c r="AU101" s="17">
        <v>0.49680492124408493</v>
      </c>
      <c r="AV101" s="17">
        <v>0.92227455273458414</v>
      </c>
      <c r="AW101" s="17">
        <v>-0.83819891012043402</v>
      </c>
      <c r="AX101" s="17">
        <v>0.9071838256082384</v>
      </c>
      <c r="AY101" s="17">
        <v>-0.65672760931476715</v>
      </c>
      <c r="AZ101" s="17">
        <v>0.82535998884889639</v>
      </c>
      <c r="BA101" s="17">
        <v>0.92551509311253566</v>
      </c>
      <c r="BB101" s="17">
        <v>0.8755044881240982</v>
      </c>
      <c r="BC101" s="17">
        <v>0.26698575162763882</v>
      </c>
      <c r="BD101" s="17">
        <v>-0.90765595049489267</v>
      </c>
      <c r="BE101" s="17">
        <v>-0.36027676815338344</v>
      </c>
      <c r="BF101" s="17">
        <v>-0.46505438249913306</v>
      </c>
      <c r="BK101" s="20">
        <v>-3.7644634945129631E-2</v>
      </c>
      <c r="BL101" s="20">
        <v>1.0376236219396029</v>
      </c>
      <c r="BN101" s="21">
        <f t="shared" si="5"/>
        <v>1</v>
      </c>
    </row>
    <row r="102" spans="1:66">
      <c r="A102" s="14">
        <v>13.61</v>
      </c>
      <c r="B102" s="14">
        <v>24.98</v>
      </c>
      <c r="C102" s="14">
        <v>88.05</v>
      </c>
      <c r="D102" s="14">
        <v>582.70000000000005</v>
      </c>
      <c r="E102" s="14">
        <v>8.5110000000000005E-2</v>
      </c>
      <c r="F102" s="14">
        <v>8.6249999999999993E-2</v>
      </c>
      <c r="G102" s="14">
        <v>4.4889999999999999E-2</v>
      </c>
      <c r="H102" s="14">
        <v>16.989999999999998</v>
      </c>
      <c r="I102" s="14">
        <v>906.5</v>
      </c>
      <c r="J102" s="14">
        <v>0.11840000000000001</v>
      </c>
      <c r="M102" s="16">
        <v>1</v>
      </c>
      <c r="O102" s="12">
        <f t="shared" si="3"/>
        <v>0</v>
      </c>
      <c r="P102" s="12">
        <f t="shared" si="4"/>
        <v>1</v>
      </c>
      <c r="R102" s="17">
        <v>-0.86216493245391179</v>
      </c>
      <c r="S102" s="17">
        <v>0.86592397083683859</v>
      </c>
      <c r="T102" s="17">
        <v>1.1492407566427856</v>
      </c>
      <c r="U102" s="17">
        <v>0.30971288832147947</v>
      </c>
      <c r="V102" s="17">
        <v>1.322038261257461</v>
      </c>
      <c r="W102" s="17">
        <v>-0.54000870393571332</v>
      </c>
      <c r="X102" s="17">
        <v>-0.93446499101467595</v>
      </c>
      <c r="Y102" s="17">
        <v>1.3623707400649003</v>
      </c>
      <c r="Z102" s="17">
        <v>0.73556995189170193</v>
      </c>
      <c r="AA102" s="17">
        <v>1.6983871669386827</v>
      </c>
      <c r="AB102" s="17">
        <v>-1.2113068807979621</v>
      </c>
      <c r="AC102" s="17">
        <v>1.5906603286575782</v>
      </c>
      <c r="AD102" s="17">
        <v>-0.8593627097567913</v>
      </c>
      <c r="AE102" s="17">
        <v>1.3374666300864129</v>
      </c>
      <c r="AF102" s="17">
        <v>1.6049118769290147</v>
      </c>
      <c r="AG102" s="17">
        <v>1.3481853892245086</v>
      </c>
      <c r="AH102" s="17">
        <v>0.33128292594394448</v>
      </c>
      <c r="AI102" s="17">
        <v>-1.6572512841003593</v>
      </c>
      <c r="AJ102" s="17">
        <v>-0.4315878441673433</v>
      </c>
      <c r="AK102" s="17">
        <v>-1.631090525098696</v>
      </c>
      <c r="AM102" s="17">
        <v>-0.90514263419082319</v>
      </c>
      <c r="AN102" s="17">
        <v>0.79498131379230141</v>
      </c>
      <c r="AO102" s="17">
        <v>-1.1635120985840899E-2</v>
      </c>
      <c r="AP102" s="17">
        <v>0.45562841962494294</v>
      </c>
      <c r="AQ102" s="17">
        <v>0.91893761780085526</v>
      </c>
      <c r="AR102" s="17">
        <v>-0.85348826378836873</v>
      </c>
      <c r="AS102" s="17">
        <v>-0.90662072777876923</v>
      </c>
      <c r="AT102" s="17">
        <v>0.75173597917083534</v>
      </c>
      <c r="AU102" s="17">
        <v>0.94270712084645891</v>
      </c>
      <c r="AV102" s="17">
        <v>0.87090142966678474</v>
      </c>
      <c r="AW102" s="17">
        <v>-0.37281685809936754</v>
      </c>
      <c r="AX102" s="17">
        <v>0.82752030672098931</v>
      </c>
      <c r="AY102" s="17">
        <v>-0.70174982034727806</v>
      </c>
      <c r="AZ102" s="17">
        <v>0.94275235297496851</v>
      </c>
      <c r="BA102" s="17">
        <v>0.37177416014176268</v>
      </c>
      <c r="BB102" s="17">
        <v>0.38507350149967695</v>
      </c>
      <c r="BC102" s="17">
        <v>0.51616699488027162</v>
      </c>
      <c r="BD102" s="17">
        <v>-0.93647519811262903</v>
      </c>
      <c r="BE102" s="17">
        <v>-0.5227059012497649</v>
      </c>
      <c r="BF102" s="17">
        <v>-0.66568178773687203</v>
      </c>
      <c r="BK102" s="20">
        <v>1.036641997771659</v>
      </c>
      <c r="BL102" s="20">
        <v>-3.6777603665654038E-2</v>
      </c>
      <c r="BN102" s="21">
        <f t="shared" si="5"/>
        <v>0</v>
      </c>
    </row>
    <row r="103" spans="1:66">
      <c r="A103" s="14">
        <v>6.9809999999999999</v>
      </c>
      <c r="B103" s="14">
        <v>13.43</v>
      </c>
      <c r="C103" s="14">
        <v>43.79</v>
      </c>
      <c r="D103" s="14">
        <v>143.5</v>
      </c>
      <c r="E103" s="14">
        <v>7.5679999999999997E-2</v>
      </c>
      <c r="F103" s="14">
        <v>0</v>
      </c>
      <c r="G103" s="14">
        <v>0</v>
      </c>
      <c r="H103" s="14">
        <v>7.93</v>
      </c>
      <c r="I103" s="14">
        <v>185.2</v>
      </c>
      <c r="J103" s="14">
        <v>0</v>
      </c>
      <c r="M103" s="16">
        <v>0</v>
      </c>
      <c r="O103" s="12">
        <f t="shared" si="3"/>
        <v>1</v>
      </c>
      <c r="P103" s="12">
        <f t="shared" si="4"/>
        <v>0</v>
      </c>
      <c r="R103" s="17">
        <v>-0.86216493245391179</v>
      </c>
      <c r="S103" s="17">
        <v>0.86592397083683859</v>
      </c>
      <c r="T103" s="17">
        <v>1.1492407566427856</v>
      </c>
      <c r="U103" s="17">
        <v>0.30971288832147947</v>
      </c>
      <c r="V103" s="17">
        <v>1.322038261257461</v>
      </c>
      <c r="W103" s="17">
        <v>-0.54000870393571332</v>
      </c>
      <c r="X103" s="17">
        <v>-0.93446499101467595</v>
      </c>
      <c r="Y103" s="17">
        <v>1.3623707400649003</v>
      </c>
      <c r="Z103" s="17">
        <v>0.73556995189170193</v>
      </c>
      <c r="AA103" s="17">
        <v>1.6983871669386827</v>
      </c>
      <c r="AB103" s="17">
        <v>-1.2113068807979621</v>
      </c>
      <c r="AC103" s="17">
        <v>1.5906603286575782</v>
      </c>
      <c r="AD103" s="17">
        <v>-0.8593627097567913</v>
      </c>
      <c r="AE103" s="17">
        <v>1.3374666300864129</v>
      </c>
      <c r="AF103" s="17">
        <v>1.6049118769290147</v>
      </c>
      <c r="AG103" s="17">
        <v>1.3481853892245086</v>
      </c>
      <c r="AH103" s="17">
        <v>0.33128292594394448</v>
      </c>
      <c r="AI103" s="17">
        <v>-1.6572512841003593</v>
      </c>
      <c r="AJ103" s="17">
        <v>-0.4315878441673433</v>
      </c>
      <c r="AK103" s="17">
        <v>0.36873422441298942</v>
      </c>
      <c r="AM103" s="17">
        <v>-0.82408312556211727</v>
      </c>
      <c r="AN103" s="17">
        <v>0.73934113106971999</v>
      </c>
      <c r="AO103" s="17">
        <v>0.625378228632685</v>
      </c>
      <c r="AP103" s="17">
        <v>0.37559884012297601</v>
      </c>
      <c r="AQ103" s="17">
        <v>0.88734424247621613</v>
      </c>
      <c r="AR103" s="17">
        <v>-0.72044529288371761</v>
      </c>
      <c r="AS103" s="17">
        <v>-0.83505887926749711</v>
      </c>
      <c r="AT103" s="17">
        <v>0.80152183805356902</v>
      </c>
      <c r="AU103" s="17">
        <v>0.84981766425383187</v>
      </c>
      <c r="AV103" s="17">
        <v>0.89338494445714667</v>
      </c>
      <c r="AW103" s="17">
        <v>-0.62033313807906865</v>
      </c>
      <c r="AX103" s="17">
        <v>0.86397686813947794</v>
      </c>
      <c r="AY103" s="17">
        <v>-0.68141611694096171</v>
      </c>
      <c r="AZ103" s="17">
        <v>0.90732213344907364</v>
      </c>
      <c r="BA103" s="17">
        <v>0.71267652251414326</v>
      </c>
      <c r="BB103" s="17">
        <v>0.65926876910082555</v>
      </c>
      <c r="BC103" s="17">
        <v>0.41904273390965896</v>
      </c>
      <c r="BD103" s="17">
        <v>-0.92458512252587177</v>
      </c>
      <c r="BE103" s="17">
        <v>-0.45742943184089763</v>
      </c>
      <c r="BF103" s="17">
        <v>-1.6823679395462136E-2</v>
      </c>
      <c r="BK103" s="20">
        <v>-4.1342488509070158E-2</v>
      </c>
      <c r="BL103" s="20">
        <v>1.041307501616928</v>
      </c>
      <c r="BN103" s="21">
        <f t="shared" si="5"/>
        <v>1</v>
      </c>
    </row>
    <row r="104" spans="1:66">
      <c r="A104" s="14">
        <v>12.18</v>
      </c>
      <c r="B104" s="14">
        <v>20.52</v>
      </c>
      <c r="C104" s="14">
        <v>77.22</v>
      </c>
      <c r="D104" s="14">
        <v>458.7</v>
      </c>
      <c r="E104" s="14">
        <v>4.0379999999999999E-2</v>
      </c>
      <c r="F104" s="14">
        <v>2.383E-2</v>
      </c>
      <c r="G104" s="14">
        <v>1.77E-2</v>
      </c>
      <c r="H104" s="14">
        <v>13.34</v>
      </c>
      <c r="I104" s="14">
        <v>547.79999999999995</v>
      </c>
      <c r="J104" s="14">
        <v>7.4310000000000001E-2</v>
      </c>
      <c r="M104" s="16">
        <v>0</v>
      </c>
      <c r="O104" s="12">
        <f t="shared" si="3"/>
        <v>1</v>
      </c>
      <c r="P104" s="12">
        <f t="shared" si="4"/>
        <v>0</v>
      </c>
      <c r="R104" s="17">
        <v>-1.4643074708783446</v>
      </c>
      <c r="S104" s="17">
        <v>1.0359333700219733</v>
      </c>
      <c r="T104" s="17">
        <v>0.4503249130137873</v>
      </c>
      <c r="U104" s="17">
        <v>0.47751119115197871</v>
      </c>
      <c r="V104" s="17">
        <v>1.5052132201123889</v>
      </c>
      <c r="W104" s="17">
        <v>-1.2567352733816861</v>
      </c>
      <c r="X104" s="17">
        <v>-1.4659127711484521</v>
      </c>
      <c r="Y104" s="17">
        <v>0.877385815472147</v>
      </c>
      <c r="Z104" s="17">
        <v>1.7463530467411736</v>
      </c>
      <c r="AA104" s="17">
        <v>1.2163845753889837</v>
      </c>
      <c r="AB104" s="17">
        <v>-0.28839333793737798</v>
      </c>
      <c r="AC104" s="17">
        <v>1.0652147513376473</v>
      </c>
      <c r="AD104" s="17">
        <v>-0.81583654438301023</v>
      </c>
      <c r="AE104" s="17">
        <v>1.6894094608623824</v>
      </c>
      <c r="AF104" s="17">
        <v>0.2496334827590041</v>
      </c>
      <c r="AG104" s="17">
        <v>0.29010426800531797</v>
      </c>
      <c r="AH104" s="17">
        <v>0.55723475600471262</v>
      </c>
      <c r="AI104" s="17">
        <v>-1.603629768829455</v>
      </c>
      <c r="AJ104" s="17">
        <v>-0.55690825498325469</v>
      </c>
      <c r="AK104" s="17">
        <v>0.41256201738016762</v>
      </c>
      <c r="AM104" s="17">
        <v>-0.75333243321153476</v>
      </c>
      <c r="AN104" s="17">
        <v>0.70367235248563187</v>
      </c>
      <c r="AO104" s="17">
        <v>0.71543907219434888</v>
      </c>
      <c r="AP104" s="17">
        <v>0.32743378671454509</v>
      </c>
      <c r="AQ104" s="17">
        <v>0.86573584364088796</v>
      </c>
      <c r="AR104" s="17">
        <v>-0.60461793339524617</v>
      </c>
      <c r="AS104" s="17">
        <v>-0.77474438373186849</v>
      </c>
      <c r="AT104" s="17">
        <v>0.82899896151715435</v>
      </c>
      <c r="AU104" s="17">
        <v>0.74552085722638761</v>
      </c>
      <c r="AV104" s="17">
        <v>0.90663653192216953</v>
      </c>
      <c r="AW104" s="17">
        <v>-0.730001492212633</v>
      </c>
      <c r="AX104" s="17">
        <v>0.88401307846787458</v>
      </c>
      <c r="AY104" s="17">
        <v>-0.67181129621499169</v>
      </c>
      <c r="AZ104" s="17">
        <v>0.87947645686190823</v>
      </c>
      <c r="BA104" s="17">
        <v>0.83270344643160599</v>
      </c>
      <c r="BB104" s="17">
        <v>0.77223458207339113</v>
      </c>
      <c r="BC104" s="17">
        <v>0.35872496431753914</v>
      </c>
      <c r="BD104" s="17">
        <v>-0.91821648554816548</v>
      </c>
      <c r="BE104" s="17">
        <v>-0.41875622901614751</v>
      </c>
      <c r="BF104" s="17">
        <v>0.22118829422748004</v>
      </c>
      <c r="BK104" s="20">
        <v>0.50101636344798006</v>
      </c>
      <c r="BL104" s="20">
        <v>0.49910150167697714</v>
      </c>
      <c r="BN104" s="21">
        <f t="shared" si="5"/>
        <v>0</v>
      </c>
    </row>
    <row r="105" spans="1:66">
      <c r="A105" s="14">
        <v>9.8759999999999994</v>
      </c>
      <c r="B105" s="14">
        <v>19.399999999999999</v>
      </c>
      <c r="C105" s="14">
        <v>63.95</v>
      </c>
      <c r="D105" s="14">
        <v>298.3</v>
      </c>
      <c r="E105" s="14">
        <v>9.6970000000000001E-2</v>
      </c>
      <c r="F105" s="14">
        <v>6.1539999999999997E-2</v>
      </c>
      <c r="G105" s="14">
        <v>3.0290000000000001E-2</v>
      </c>
      <c r="H105" s="14">
        <v>10.76</v>
      </c>
      <c r="I105" s="14">
        <v>361.2</v>
      </c>
      <c r="J105" s="14">
        <v>9.7489999999999993E-2</v>
      </c>
      <c r="M105" s="16">
        <v>0</v>
      </c>
      <c r="O105" s="12">
        <f t="shared" si="3"/>
        <v>1</v>
      </c>
      <c r="P105" s="12">
        <f t="shared" si="4"/>
        <v>0</v>
      </c>
      <c r="R105" s="17">
        <v>-0.86216493245391179</v>
      </c>
      <c r="S105" s="17">
        <v>0.86592397083683859</v>
      </c>
      <c r="T105" s="17">
        <v>1.1492407566427856</v>
      </c>
      <c r="U105" s="17">
        <v>0.30971288832147947</v>
      </c>
      <c r="V105" s="17">
        <v>1.322038261257461</v>
      </c>
      <c r="W105" s="17">
        <v>-0.54000870393571332</v>
      </c>
      <c r="X105" s="17">
        <v>-0.93446499101467595</v>
      </c>
      <c r="Y105" s="17">
        <v>1.3623707400649003</v>
      </c>
      <c r="Z105" s="17">
        <v>0.73556995189170193</v>
      </c>
      <c r="AA105" s="17">
        <v>1.6983871669386827</v>
      </c>
      <c r="AB105" s="17">
        <v>-1.2113068807979621</v>
      </c>
      <c r="AC105" s="17">
        <v>1.5906603286575782</v>
      </c>
      <c r="AD105" s="17">
        <v>-0.8593627097567913</v>
      </c>
      <c r="AE105" s="17">
        <v>1.3374666300864129</v>
      </c>
      <c r="AF105" s="17">
        <v>1.6049118769290147</v>
      </c>
      <c r="AG105" s="17">
        <v>1.3481853892245086</v>
      </c>
      <c r="AH105" s="17">
        <v>0.33128292594394448</v>
      </c>
      <c r="AI105" s="17">
        <v>-1.6572512841003593</v>
      </c>
      <c r="AJ105" s="17">
        <v>-0.4315878441673433</v>
      </c>
      <c r="AK105" s="17">
        <v>-1.6283589696463576</v>
      </c>
      <c r="AM105" s="17">
        <v>-0.87029798548578352</v>
      </c>
      <c r="AN105" s="17">
        <v>0.76228226547606426</v>
      </c>
      <c r="AO105" s="17">
        <v>0.41287390768100907</v>
      </c>
      <c r="AP105" s="17">
        <v>0.41493099300300895</v>
      </c>
      <c r="AQ105" s="17">
        <v>0.89953394567633493</v>
      </c>
      <c r="AR105" s="17">
        <v>-0.80053942088594354</v>
      </c>
      <c r="AS105" s="17">
        <v>-0.87448854538340837</v>
      </c>
      <c r="AT105" s="17">
        <v>0.75738828137003711</v>
      </c>
      <c r="AU105" s="17">
        <v>0.90962906621559558</v>
      </c>
      <c r="AV105" s="17">
        <v>0.86917623504304142</v>
      </c>
      <c r="AW105" s="17">
        <v>-0.46011712826760787</v>
      </c>
      <c r="AX105" s="17">
        <v>0.82987477390456443</v>
      </c>
      <c r="AY105" s="17">
        <v>-0.67983352963554367</v>
      </c>
      <c r="AZ105" s="17">
        <v>0.9241375048472602</v>
      </c>
      <c r="BA105" s="17">
        <v>0.50498087068791209</v>
      </c>
      <c r="BB105" s="17">
        <v>0.48510061136042482</v>
      </c>
      <c r="BC105" s="17">
        <v>0.46876198981092626</v>
      </c>
      <c r="BD105" s="17">
        <v>-0.92490289003938153</v>
      </c>
      <c r="BE105" s="17">
        <v>-0.48601439202727931</v>
      </c>
      <c r="BF105" s="17">
        <v>9.3894847505758203E-2</v>
      </c>
      <c r="BK105" s="20">
        <v>-7.0720777397455067E-2</v>
      </c>
      <c r="BL105" s="20">
        <v>1.0699839559484567</v>
      </c>
      <c r="BN105" s="21">
        <f t="shared" si="5"/>
        <v>1</v>
      </c>
    </row>
    <row r="106" spans="1:66">
      <c r="A106" s="14">
        <v>10.49</v>
      </c>
      <c r="B106" s="14">
        <v>19.29</v>
      </c>
      <c r="C106" s="14">
        <v>67.41</v>
      </c>
      <c r="D106" s="14">
        <v>336.1</v>
      </c>
      <c r="E106" s="14">
        <v>8.5779999999999995E-2</v>
      </c>
      <c r="F106" s="14">
        <v>2.9950000000000001E-2</v>
      </c>
      <c r="G106" s="14">
        <v>1.201E-2</v>
      </c>
      <c r="H106" s="14">
        <v>11.54</v>
      </c>
      <c r="I106" s="14">
        <v>402.8</v>
      </c>
      <c r="J106" s="14">
        <v>3.2030000000000003E-2</v>
      </c>
      <c r="M106" s="16">
        <v>0</v>
      </c>
      <c r="O106" s="12">
        <f t="shared" si="3"/>
        <v>1</v>
      </c>
      <c r="P106" s="12">
        <f t="shared" si="4"/>
        <v>0</v>
      </c>
      <c r="R106" s="17">
        <v>-1.4643074708783446</v>
      </c>
      <c r="S106" s="17">
        <v>1.0359333700219733</v>
      </c>
      <c r="T106" s="17">
        <v>-1.5222749861008058</v>
      </c>
      <c r="U106" s="17">
        <v>0.47751119115197871</v>
      </c>
      <c r="V106" s="17">
        <v>1.5052132201123889</v>
      </c>
      <c r="W106" s="17">
        <v>-1.2567352733816861</v>
      </c>
      <c r="X106" s="17">
        <v>-1.4659127711484521</v>
      </c>
      <c r="Y106" s="17">
        <v>0.877385815472147</v>
      </c>
      <c r="Z106" s="17">
        <v>1.7463530467411736</v>
      </c>
      <c r="AA106" s="17">
        <v>1.2163845753889837</v>
      </c>
      <c r="AB106" s="17">
        <v>-0.28839333793737798</v>
      </c>
      <c r="AC106" s="17">
        <v>1.0652147513376473</v>
      </c>
      <c r="AD106" s="17">
        <v>-0.81583654438301023</v>
      </c>
      <c r="AE106" s="17">
        <v>1.6894094608623824</v>
      </c>
      <c r="AF106" s="17">
        <v>0.2496334827590041</v>
      </c>
      <c r="AG106" s="17">
        <v>0.29010426800531797</v>
      </c>
      <c r="AH106" s="17">
        <v>0.55723475600471262</v>
      </c>
      <c r="AI106" s="17">
        <v>-1.603629768829455</v>
      </c>
      <c r="AJ106" s="17">
        <v>-0.55690825498325469</v>
      </c>
      <c r="AK106" s="17">
        <v>-1.5874379825986917</v>
      </c>
      <c r="AM106" s="17">
        <v>-0.71199659440194174</v>
      </c>
      <c r="AN106" s="17">
        <v>0.71493078626894924</v>
      </c>
      <c r="AO106" s="17">
        <v>0.84531234051337822</v>
      </c>
      <c r="AP106" s="17">
        <v>0.30985418344926052</v>
      </c>
      <c r="AQ106" s="17">
        <v>0.87872701011403531</v>
      </c>
      <c r="AR106" s="17">
        <v>-0.50543190393925785</v>
      </c>
      <c r="AS106" s="17">
        <v>-0.74718036865561666</v>
      </c>
      <c r="AT106" s="17">
        <v>0.88859182336423248</v>
      </c>
      <c r="AU106" s="17">
        <v>0.63987965420096315</v>
      </c>
      <c r="AV106" s="17">
        <v>0.94290905231849176</v>
      </c>
      <c r="AW106" s="17">
        <v>-0.85123950407242732</v>
      </c>
      <c r="AX106" s="17">
        <v>0.92915038171159159</v>
      </c>
      <c r="AY106" s="17">
        <v>-0.71209459059129998</v>
      </c>
      <c r="AZ106" s="17">
        <v>0.8821417235419583</v>
      </c>
      <c r="BA106" s="17">
        <v>0.93167161305128499</v>
      </c>
      <c r="BB106" s="17">
        <v>0.88604950888206213</v>
      </c>
      <c r="BC106" s="17">
        <v>0.32968418571608193</v>
      </c>
      <c r="BD106" s="17">
        <v>-0.93773377856523665</v>
      </c>
      <c r="BE106" s="17">
        <v>-0.41941345431246096</v>
      </c>
      <c r="BF106" s="17">
        <v>0.40622957085025835</v>
      </c>
      <c r="BK106" s="20">
        <v>0.68074898596825706</v>
      </c>
      <c r="BL106" s="20">
        <v>0.3191991298130501</v>
      </c>
      <c r="BN106" s="21">
        <f t="shared" si="5"/>
        <v>0</v>
      </c>
    </row>
    <row r="107" spans="1:66">
      <c r="A107" s="14">
        <v>13.11</v>
      </c>
      <c r="B107" s="14">
        <v>15.56</v>
      </c>
      <c r="C107" s="14">
        <v>87.21</v>
      </c>
      <c r="D107" s="14">
        <v>530.20000000000005</v>
      </c>
      <c r="E107" s="14">
        <v>0.17649999999999999</v>
      </c>
      <c r="F107" s="14">
        <v>0.20710000000000001</v>
      </c>
      <c r="G107" s="14">
        <v>9.6009999999999998E-2</v>
      </c>
      <c r="H107" s="14">
        <v>16.309999999999999</v>
      </c>
      <c r="I107" s="14">
        <v>827.2</v>
      </c>
      <c r="J107" s="14">
        <v>0.1986</v>
      </c>
      <c r="M107" s="16">
        <v>1</v>
      </c>
      <c r="O107" s="12">
        <f t="shared" si="3"/>
        <v>0</v>
      </c>
      <c r="P107" s="12">
        <f t="shared" si="4"/>
        <v>1</v>
      </c>
      <c r="R107" s="17">
        <v>-1.4643074708783446</v>
      </c>
      <c r="S107" s="17">
        <v>1.0359333700219733</v>
      </c>
      <c r="T107" s="17">
        <v>0.4503249130137873</v>
      </c>
      <c r="U107" s="17">
        <v>0.47751119115197871</v>
      </c>
      <c r="V107" s="17">
        <v>1.5052132201123889</v>
      </c>
      <c r="W107" s="17">
        <v>-1.2567352733816861</v>
      </c>
      <c r="X107" s="17">
        <v>-1.4659127711484521</v>
      </c>
      <c r="Y107" s="17">
        <v>0.877385815472147</v>
      </c>
      <c r="Z107" s="17">
        <v>1.7463530467411736</v>
      </c>
      <c r="AA107" s="17">
        <v>1.2163845753889837</v>
      </c>
      <c r="AB107" s="17">
        <v>-0.28839333793737798</v>
      </c>
      <c r="AC107" s="17">
        <v>1.0652147513376473</v>
      </c>
      <c r="AD107" s="17">
        <v>-0.81583654438301023</v>
      </c>
      <c r="AE107" s="17">
        <v>1.6894094608623824</v>
      </c>
      <c r="AF107" s="17">
        <v>0.2496334827590041</v>
      </c>
      <c r="AG107" s="17">
        <v>0.29010426800531797</v>
      </c>
      <c r="AH107" s="17">
        <v>0.55723475600471262</v>
      </c>
      <c r="AI107" s="17">
        <v>-1.603629768829455</v>
      </c>
      <c r="AJ107" s="17">
        <v>-0.55690825498325469</v>
      </c>
      <c r="AK107" s="17">
        <v>0.41256173554619058</v>
      </c>
      <c r="AM107" s="17">
        <v>-0.86856427697541494</v>
      </c>
      <c r="AN107" s="17">
        <v>0.77798847700197626</v>
      </c>
      <c r="AO107" s="17">
        <v>0.34911987554009738</v>
      </c>
      <c r="AP107" s="17">
        <v>0.4170419503096881</v>
      </c>
      <c r="AQ107" s="17">
        <v>0.91157478155402472</v>
      </c>
      <c r="AR107" s="17">
        <v>-0.78563752031288459</v>
      </c>
      <c r="AS107" s="17">
        <v>-0.87567229668205204</v>
      </c>
      <c r="AT107" s="17">
        <v>0.81101611804284912</v>
      </c>
      <c r="AU107" s="17">
        <v>0.89900516387840379</v>
      </c>
      <c r="AV107" s="17">
        <v>0.90355316677328701</v>
      </c>
      <c r="AW107" s="17">
        <v>-0.58735202734044056</v>
      </c>
      <c r="AX107" s="17">
        <v>0.87330008678648763</v>
      </c>
      <c r="AY107" s="17">
        <v>-0.71112666776211741</v>
      </c>
      <c r="AZ107" s="17">
        <v>0.93113986657139858</v>
      </c>
      <c r="BA107" s="17">
        <v>0.66587912326146181</v>
      </c>
      <c r="BB107" s="17">
        <v>0.6224174924203052</v>
      </c>
      <c r="BC107" s="17">
        <v>0.4670756556917729</v>
      </c>
      <c r="BD107" s="17">
        <v>-0.93972656278614386</v>
      </c>
      <c r="BE107" s="17">
        <v>-0.49736866697662613</v>
      </c>
      <c r="BF107" s="17">
        <v>-0.30012792740544714</v>
      </c>
      <c r="BK107" s="20">
        <v>0.60649095708120815</v>
      </c>
      <c r="BL107" s="20">
        <v>0.39361114082919335</v>
      </c>
      <c r="BN107" s="21">
        <f t="shared" si="5"/>
        <v>0</v>
      </c>
    </row>
    <row r="108" spans="1:66">
      <c r="A108" s="14">
        <v>11.64</v>
      </c>
      <c r="B108" s="14">
        <v>18.329999999999998</v>
      </c>
      <c r="C108" s="14">
        <v>75.17</v>
      </c>
      <c r="D108" s="14">
        <v>412.5</v>
      </c>
      <c r="E108" s="14">
        <v>0.1017</v>
      </c>
      <c r="F108" s="14">
        <v>7.0699999999999999E-2</v>
      </c>
      <c r="G108" s="14">
        <v>3.4849999999999999E-2</v>
      </c>
      <c r="H108" s="14">
        <v>13.14</v>
      </c>
      <c r="I108" s="14">
        <v>521.70000000000005</v>
      </c>
      <c r="J108" s="14">
        <v>0.12180000000000001</v>
      </c>
      <c r="M108" s="16">
        <v>0</v>
      </c>
      <c r="O108" s="12">
        <f t="shared" si="3"/>
        <v>1</v>
      </c>
      <c r="P108" s="12">
        <f t="shared" si="4"/>
        <v>0</v>
      </c>
      <c r="R108" s="17">
        <v>-0.86216493245391179</v>
      </c>
      <c r="S108" s="17">
        <v>0.86592397083683859</v>
      </c>
      <c r="T108" s="17">
        <v>1.1492407566427856</v>
      </c>
      <c r="U108" s="17">
        <v>0.30971288832147947</v>
      </c>
      <c r="V108" s="17">
        <v>1.322038261257461</v>
      </c>
      <c r="W108" s="17">
        <v>-0.54000870393571332</v>
      </c>
      <c r="X108" s="17">
        <v>-0.93446499101467595</v>
      </c>
      <c r="Y108" s="17">
        <v>1.3623707400649003</v>
      </c>
      <c r="Z108" s="17">
        <v>0.73556995189170193</v>
      </c>
      <c r="AA108" s="17">
        <v>1.6983871669386827</v>
      </c>
      <c r="AB108" s="17">
        <v>-1.2113068807979621</v>
      </c>
      <c r="AC108" s="17">
        <v>1.5906603286575782</v>
      </c>
      <c r="AD108" s="17">
        <v>-0.8593627097567913</v>
      </c>
      <c r="AE108" s="17">
        <v>1.3374666300864129</v>
      </c>
      <c r="AF108" s="17">
        <v>1.6049118769290147</v>
      </c>
      <c r="AG108" s="17">
        <v>1.3481853892245086</v>
      </c>
      <c r="AH108" s="17">
        <v>0.33128292594394448</v>
      </c>
      <c r="AI108" s="17">
        <v>-1.6572512841003593</v>
      </c>
      <c r="AJ108" s="17">
        <v>-0.4315878441673433</v>
      </c>
      <c r="AK108" s="17">
        <v>0.36873417970664579</v>
      </c>
      <c r="AM108" s="17">
        <v>-0.91023546173430858</v>
      </c>
      <c r="AN108" s="17">
        <v>0.77334248367757763</v>
      </c>
      <c r="AO108" s="17">
        <v>0.2983685637237064</v>
      </c>
      <c r="AP108" s="17">
        <v>0.45632197311843753</v>
      </c>
      <c r="AQ108" s="17">
        <v>0.90171415094877838</v>
      </c>
      <c r="AR108" s="17">
        <v>-0.87489878517180564</v>
      </c>
      <c r="AS108" s="17">
        <v>-0.9079608363887367</v>
      </c>
      <c r="AT108" s="17">
        <v>0.62965867397228092</v>
      </c>
      <c r="AU108" s="17">
        <v>0.95484811580856022</v>
      </c>
      <c r="AV108" s="17">
        <v>0.78815315730949653</v>
      </c>
      <c r="AW108" s="17">
        <v>-8.5119396808902681E-2</v>
      </c>
      <c r="AX108" s="17">
        <v>0.72236750482830514</v>
      </c>
      <c r="AY108" s="17">
        <v>-0.64884163730294087</v>
      </c>
      <c r="AZ108" s="17">
        <v>0.93451682574389228</v>
      </c>
      <c r="BA108" s="17">
        <v>-4.1398801688926699E-2</v>
      </c>
      <c r="BB108" s="17">
        <v>5.8893060794945176E-2</v>
      </c>
      <c r="BC108" s="17">
        <v>0.52350260585072772</v>
      </c>
      <c r="BD108" s="17">
        <v>-0.90984551375058509</v>
      </c>
      <c r="BE108" s="17">
        <v>-0.50796982225005671</v>
      </c>
      <c r="BF108" s="17">
        <v>0.62384728165435888</v>
      </c>
      <c r="BK108" s="20">
        <v>0.81847102621468382</v>
      </c>
      <c r="BL108" s="20">
        <v>0.18169309588573174</v>
      </c>
      <c r="BN108" s="21">
        <f t="shared" si="5"/>
        <v>0</v>
      </c>
    </row>
    <row r="109" spans="1:66">
      <c r="A109" s="14">
        <v>12.36</v>
      </c>
      <c r="B109" s="14">
        <v>18.54</v>
      </c>
      <c r="C109" s="14">
        <v>79.010000000000005</v>
      </c>
      <c r="D109" s="14">
        <v>466.7</v>
      </c>
      <c r="E109" s="14">
        <v>6.8150000000000002E-2</v>
      </c>
      <c r="F109" s="14">
        <v>2.6429999999999999E-2</v>
      </c>
      <c r="G109" s="14">
        <v>1.9210000000000001E-2</v>
      </c>
      <c r="H109" s="14">
        <v>13.29</v>
      </c>
      <c r="I109" s="14">
        <v>544.1</v>
      </c>
      <c r="J109" s="14">
        <v>8.4419999999999995E-2</v>
      </c>
      <c r="M109" s="16">
        <v>0</v>
      </c>
      <c r="O109" s="12">
        <f t="shared" si="3"/>
        <v>1</v>
      </c>
      <c r="P109" s="12">
        <f t="shared" si="4"/>
        <v>0</v>
      </c>
      <c r="R109" s="17">
        <v>-1.4643074708783446</v>
      </c>
      <c r="S109" s="17">
        <v>1.0359333700219733</v>
      </c>
      <c r="T109" s="17">
        <v>0.4503249130137873</v>
      </c>
      <c r="U109" s="17">
        <v>0.47751119115197871</v>
      </c>
      <c r="V109" s="17">
        <v>1.5052132201123889</v>
      </c>
      <c r="W109" s="17">
        <v>-1.2567352733816861</v>
      </c>
      <c r="X109" s="17">
        <v>-1.4659127711484521</v>
      </c>
      <c r="Y109" s="17">
        <v>0.877385815472147</v>
      </c>
      <c r="Z109" s="17">
        <v>1.7463530467411736</v>
      </c>
      <c r="AA109" s="17">
        <v>1.2163845753889837</v>
      </c>
      <c r="AB109" s="17">
        <v>-0.28839333793737798</v>
      </c>
      <c r="AC109" s="17">
        <v>1.0652147513376473</v>
      </c>
      <c r="AD109" s="17">
        <v>-0.81583654438301023</v>
      </c>
      <c r="AE109" s="17">
        <v>1.6894094608623824</v>
      </c>
      <c r="AF109" s="17">
        <v>0.2496334827590041</v>
      </c>
      <c r="AG109" s="17">
        <v>0.29010426800531797</v>
      </c>
      <c r="AH109" s="17">
        <v>0.55723475600471262</v>
      </c>
      <c r="AI109" s="17">
        <v>-1.603629768829455</v>
      </c>
      <c r="AJ109" s="17">
        <v>-0.55690825498325469</v>
      </c>
      <c r="AK109" s="17">
        <v>0.41256201738018461</v>
      </c>
      <c r="AM109" s="17">
        <v>-0.73900109349546284</v>
      </c>
      <c r="AN109" s="17">
        <v>0.71794608113818581</v>
      </c>
      <c r="AO109" s="17">
        <v>0.79797184629939144</v>
      </c>
      <c r="AP109" s="17">
        <v>0.32316486218193885</v>
      </c>
      <c r="AQ109" s="17">
        <v>0.87883616688525867</v>
      </c>
      <c r="AR109" s="17">
        <v>-0.55958472470964604</v>
      </c>
      <c r="AS109" s="17">
        <v>-0.76746595564502773</v>
      </c>
      <c r="AT109" s="17">
        <v>0.87082571362322303</v>
      </c>
      <c r="AU109" s="17">
        <v>0.69886367569627328</v>
      </c>
      <c r="AV109" s="17">
        <v>0.9328538805144666</v>
      </c>
      <c r="AW109" s="17">
        <v>-0.811994462954578</v>
      </c>
      <c r="AX109" s="17">
        <v>0.9162330869105435</v>
      </c>
      <c r="AY109" s="17">
        <v>-0.70270210163403934</v>
      </c>
      <c r="AZ109" s="17">
        <v>0.88651631097589412</v>
      </c>
      <c r="BA109" s="17">
        <v>0.90259231074884361</v>
      </c>
      <c r="BB109" s="17">
        <v>0.85034247456548406</v>
      </c>
      <c r="BC109" s="17">
        <v>0.34852109923633962</v>
      </c>
      <c r="BD109" s="17">
        <v>-0.9336656886718453</v>
      </c>
      <c r="BE109" s="17">
        <v>-0.42586834355073233</v>
      </c>
      <c r="BF109" s="17">
        <v>0.20297806339399879</v>
      </c>
      <c r="BK109" s="20">
        <v>0.26217016100685658</v>
      </c>
      <c r="BL109" s="20">
        <v>0.73792624878676494</v>
      </c>
      <c r="BN109" s="21">
        <f t="shared" si="5"/>
        <v>1</v>
      </c>
    </row>
    <row r="110" spans="1:66">
      <c r="A110" s="14">
        <v>22.27</v>
      </c>
      <c r="B110" s="14">
        <v>19.670000000000002</v>
      </c>
      <c r="C110" s="14">
        <v>152.80000000000001</v>
      </c>
      <c r="D110" s="14">
        <v>1509</v>
      </c>
      <c r="E110" s="14">
        <v>0.27679999999999999</v>
      </c>
      <c r="F110" s="14">
        <v>0.4264</v>
      </c>
      <c r="G110" s="14">
        <v>0.18229999999999999</v>
      </c>
      <c r="H110" s="14">
        <v>28.4</v>
      </c>
      <c r="I110" s="14">
        <v>2360</v>
      </c>
      <c r="J110" s="14">
        <v>0.29099999999999998</v>
      </c>
      <c r="M110" s="16">
        <v>1</v>
      </c>
      <c r="O110" s="12">
        <f t="shared" si="3"/>
        <v>0</v>
      </c>
      <c r="P110" s="12">
        <f t="shared" si="4"/>
        <v>1</v>
      </c>
      <c r="R110" s="17">
        <v>-0.86216493245391179</v>
      </c>
      <c r="S110" s="17">
        <v>0.86592397083683859</v>
      </c>
      <c r="T110" s="17">
        <v>1.1492407566427856</v>
      </c>
      <c r="U110" s="17">
        <v>0.30971288832147947</v>
      </c>
      <c r="V110" s="17">
        <v>1.322038261257461</v>
      </c>
      <c r="W110" s="17">
        <v>-0.54000870393571332</v>
      </c>
      <c r="X110" s="17">
        <v>-0.93446499101467595</v>
      </c>
      <c r="Y110" s="17">
        <v>1.3623707400649003</v>
      </c>
      <c r="Z110" s="17">
        <v>0.73556995189170193</v>
      </c>
      <c r="AA110" s="17">
        <v>1.6983871669386827</v>
      </c>
      <c r="AB110" s="17">
        <v>-1.2113068807979621</v>
      </c>
      <c r="AC110" s="17">
        <v>1.5906603286575782</v>
      </c>
      <c r="AD110" s="17">
        <v>-0.8593627097567913</v>
      </c>
      <c r="AE110" s="17">
        <v>1.3374666300864129</v>
      </c>
      <c r="AF110" s="17">
        <v>1.6049118769290147</v>
      </c>
      <c r="AG110" s="17">
        <v>1.3481853892245086</v>
      </c>
      <c r="AH110" s="17">
        <v>0.33128292594394448</v>
      </c>
      <c r="AI110" s="17">
        <v>-1.6572512841003593</v>
      </c>
      <c r="AJ110" s="17">
        <v>-0.4315878441673433</v>
      </c>
      <c r="AK110" s="17">
        <v>0.36873422441298942</v>
      </c>
      <c r="AM110" s="17">
        <v>-0.74691607545642968</v>
      </c>
      <c r="AN110" s="17">
        <v>0.71366483974566641</v>
      </c>
      <c r="AO110" s="17">
        <v>0.75837228300128967</v>
      </c>
      <c r="AP110" s="17">
        <v>0.32619513099856157</v>
      </c>
      <c r="AQ110" s="17">
        <v>0.87465783768982497</v>
      </c>
      <c r="AR110" s="17">
        <v>-0.5810277210045538</v>
      </c>
      <c r="AS110" s="17">
        <v>-0.77225412386942405</v>
      </c>
      <c r="AT110" s="17">
        <v>0.8556203539069076</v>
      </c>
      <c r="AU110" s="17">
        <v>0.72136046586145253</v>
      </c>
      <c r="AV110" s="17">
        <v>0.92359751213492292</v>
      </c>
      <c r="AW110" s="17">
        <v>-0.78171164959778172</v>
      </c>
      <c r="AX110" s="17">
        <v>0.90474975109714773</v>
      </c>
      <c r="AY110" s="17">
        <v>-0.69156839289952776</v>
      </c>
      <c r="AZ110" s="17">
        <v>0.8847676136827719</v>
      </c>
      <c r="BA110" s="17">
        <v>0.87820113979945424</v>
      </c>
      <c r="BB110" s="17">
        <v>0.82201985695430824</v>
      </c>
      <c r="BC110" s="17">
        <v>0.35418209553660107</v>
      </c>
      <c r="BD110" s="17">
        <v>-0.92834901762153454</v>
      </c>
      <c r="BE110" s="17">
        <v>-0.42431177121625241</v>
      </c>
      <c r="BF110" s="17">
        <v>-0.11926138666001382</v>
      </c>
      <c r="BK110" s="20">
        <v>0.55685165809979098</v>
      </c>
      <c r="BL110" s="20">
        <v>0.44309587811201667</v>
      </c>
      <c r="BN110" s="21">
        <f t="shared" si="5"/>
        <v>0</v>
      </c>
    </row>
    <row r="111" spans="1:66">
      <c r="A111" s="14">
        <v>11.34</v>
      </c>
      <c r="B111" s="14">
        <v>21.26</v>
      </c>
      <c r="C111" s="14">
        <v>72.48</v>
      </c>
      <c r="D111" s="14">
        <v>396.5</v>
      </c>
      <c r="E111" s="14">
        <v>6.5750000000000003E-2</v>
      </c>
      <c r="F111" s="14">
        <v>5.1330000000000001E-2</v>
      </c>
      <c r="G111" s="14">
        <v>1.899E-2</v>
      </c>
      <c r="H111" s="14">
        <v>13.01</v>
      </c>
      <c r="I111" s="14">
        <v>518.1</v>
      </c>
      <c r="J111" s="14">
        <v>8.2780000000000006E-2</v>
      </c>
      <c r="M111" s="16">
        <v>0</v>
      </c>
      <c r="O111" s="12">
        <f t="shared" si="3"/>
        <v>1</v>
      </c>
      <c r="P111" s="12">
        <f t="shared" si="4"/>
        <v>0</v>
      </c>
      <c r="R111" s="17">
        <v>-1.4643074708783446</v>
      </c>
      <c r="S111" s="17">
        <v>1.0359333700219733</v>
      </c>
      <c r="T111" s="17">
        <v>0.4503249130137873</v>
      </c>
      <c r="U111" s="17">
        <v>0.47751119115197871</v>
      </c>
      <c r="V111" s="17">
        <v>1.5052132201123889</v>
      </c>
      <c r="W111" s="17">
        <v>-1.2567352733816861</v>
      </c>
      <c r="X111" s="17">
        <v>-1.4659127711484521</v>
      </c>
      <c r="Y111" s="17">
        <v>0.877385815472147</v>
      </c>
      <c r="Z111" s="17">
        <v>1.7463530467411736</v>
      </c>
      <c r="AA111" s="17">
        <v>1.2163845753889837</v>
      </c>
      <c r="AB111" s="17">
        <v>-0.28839333793737798</v>
      </c>
      <c r="AC111" s="17">
        <v>1.0652147513376473</v>
      </c>
      <c r="AD111" s="17">
        <v>-0.81583654438301023</v>
      </c>
      <c r="AE111" s="17">
        <v>1.6894094608623824</v>
      </c>
      <c r="AF111" s="17">
        <v>0.2496334827590041</v>
      </c>
      <c r="AG111" s="17">
        <v>0.29010426800531797</v>
      </c>
      <c r="AH111" s="17">
        <v>0.55723475600471262</v>
      </c>
      <c r="AI111" s="17">
        <v>-1.603629768829455</v>
      </c>
      <c r="AJ111" s="17">
        <v>-0.55690825498325469</v>
      </c>
      <c r="AK111" s="17">
        <v>0.41256201354970379</v>
      </c>
      <c r="AM111" s="17">
        <v>-0.85503133915446294</v>
      </c>
      <c r="AN111" s="17">
        <v>0.76685853172294649</v>
      </c>
      <c r="AO111" s="17">
        <v>0.72716521738267914</v>
      </c>
      <c r="AP111" s="17">
        <v>0.40366290645901831</v>
      </c>
      <c r="AQ111" s="17">
        <v>0.90497954270451286</v>
      </c>
      <c r="AR111" s="17">
        <v>-0.76461373793874476</v>
      </c>
      <c r="AS111" s="17">
        <v>-0.86348781229281701</v>
      </c>
      <c r="AT111" s="17">
        <v>0.81112188530117524</v>
      </c>
      <c r="AU111" s="17">
        <v>0.88387644334154181</v>
      </c>
      <c r="AV111" s="17">
        <v>0.90230829165149018</v>
      </c>
      <c r="AW111" s="17">
        <v>-0.60592942888805212</v>
      </c>
      <c r="AX111" s="17">
        <v>0.87282203950898773</v>
      </c>
      <c r="AY111" s="17">
        <v>-0.70360553200950027</v>
      </c>
      <c r="AZ111" s="17">
        <v>0.92448991652884316</v>
      </c>
      <c r="BA111" s="17">
        <v>0.69066490713181672</v>
      </c>
      <c r="BB111" s="17">
        <v>0.64275050513825838</v>
      </c>
      <c r="BC111" s="17">
        <v>0.45136554873825269</v>
      </c>
      <c r="BD111" s="17">
        <v>-0.93602034986256299</v>
      </c>
      <c r="BE111" s="17">
        <v>-0.48514416003795929</v>
      </c>
      <c r="BF111" s="17">
        <v>-0.33853658350470422</v>
      </c>
      <c r="BK111" s="20">
        <v>0.97167153872056655</v>
      </c>
      <c r="BL111" s="20">
        <v>2.8332141329315622E-2</v>
      </c>
      <c r="BN111" s="21">
        <f t="shared" si="5"/>
        <v>0</v>
      </c>
    </row>
    <row r="112" spans="1:66">
      <c r="A112" s="14">
        <v>9.7769999999999992</v>
      </c>
      <c r="B112" s="14">
        <v>16.989999999999998</v>
      </c>
      <c r="C112" s="14">
        <v>62.5</v>
      </c>
      <c r="D112" s="14">
        <v>290.2</v>
      </c>
      <c r="E112" s="14">
        <v>8.4040000000000004E-2</v>
      </c>
      <c r="F112" s="14">
        <v>4.3339999999999997E-2</v>
      </c>
      <c r="G112" s="14">
        <v>1.7780000000000001E-2</v>
      </c>
      <c r="H112" s="14">
        <v>11.05</v>
      </c>
      <c r="I112" s="14">
        <v>367</v>
      </c>
      <c r="J112" s="14">
        <v>5.3339999999999999E-2</v>
      </c>
      <c r="M112" s="16">
        <v>0</v>
      </c>
      <c r="O112" s="12">
        <f t="shared" si="3"/>
        <v>1</v>
      </c>
      <c r="P112" s="12">
        <f t="shared" si="4"/>
        <v>0</v>
      </c>
      <c r="R112" s="17">
        <v>-1.4643074708783446</v>
      </c>
      <c r="S112" s="17">
        <v>1.0359333700219733</v>
      </c>
      <c r="T112" s="17">
        <v>0.4503249130137873</v>
      </c>
      <c r="U112" s="17">
        <v>0.47751119115197871</v>
      </c>
      <c r="V112" s="17">
        <v>1.5052132201123889</v>
      </c>
      <c r="W112" s="17">
        <v>-1.2567352733816861</v>
      </c>
      <c r="X112" s="17">
        <v>-1.4659127711484521</v>
      </c>
      <c r="Y112" s="17">
        <v>0.877385815472147</v>
      </c>
      <c r="Z112" s="17">
        <v>1.7463530467411736</v>
      </c>
      <c r="AA112" s="17">
        <v>1.2163845753889837</v>
      </c>
      <c r="AB112" s="17">
        <v>-0.28839333793737798</v>
      </c>
      <c r="AC112" s="17">
        <v>1.0652147513376473</v>
      </c>
      <c r="AD112" s="17">
        <v>-0.81583654438301023</v>
      </c>
      <c r="AE112" s="17">
        <v>1.6894094608623824</v>
      </c>
      <c r="AF112" s="17">
        <v>0.2496334827590041</v>
      </c>
      <c r="AG112" s="17">
        <v>0.29010426800531797</v>
      </c>
      <c r="AH112" s="17">
        <v>0.55723475600471262</v>
      </c>
      <c r="AI112" s="17">
        <v>-1.603629768829455</v>
      </c>
      <c r="AJ112" s="17">
        <v>-0.55690825498325469</v>
      </c>
      <c r="AK112" s="17">
        <v>0.41256201738018505</v>
      </c>
      <c r="AM112" s="17">
        <v>-0.94116898160275564</v>
      </c>
      <c r="AN112" s="17">
        <v>0.78352674109650011</v>
      </c>
      <c r="AO112" s="17">
        <v>-7.4147747997710789E-2</v>
      </c>
      <c r="AP112" s="17">
        <v>0.50032685011270583</v>
      </c>
      <c r="AQ112" s="17">
        <v>0.90270212007983119</v>
      </c>
      <c r="AR112" s="17">
        <v>-0.92786096687063035</v>
      </c>
      <c r="AS112" s="17">
        <v>-0.93531912979867105</v>
      </c>
      <c r="AT112" s="17">
        <v>0.41783213395723878</v>
      </c>
      <c r="AU112" s="17">
        <v>0.9798331887328614</v>
      </c>
      <c r="AV112" s="17">
        <v>0.63670693322500715</v>
      </c>
      <c r="AW112" s="17">
        <v>0.37782994524587055</v>
      </c>
      <c r="AX112" s="17">
        <v>0.52663182736121628</v>
      </c>
      <c r="AY112" s="17">
        <v>-0.60692891643043079</v>
      </c>
      <c r="AZ112" s="17">
        <v>0.94391443074402293</v>
      </c>
      <c r="BA112" s="17">
        <v>-0.62939066781441144</v>
      </c>
      <c r="BB112" s="17">
        <v>-0.45600804315478066</v>
      </c>
      <c r="BC112" s="17">
        <v>0.58035091354036039</v>
      </c>
      <c r="BD112" s="17">
        <v>-0.88677742966746098</v>
      </c>
      <c r="BE112" s="17">
        <v>-0.53062959645583874</v>
      </c>
      <c r="BF112" s="17">
        <v>0.52673579066464304</v>
      </c>
      <c r="BK112" s="20">
        <v>-3.6012482540044737E-2</v>
      </c>
      <c r="BL112" s="20">
        <v>1.0359992177858397</v>
      </c>
      <c r="BN112" s="21">
        <f t="shared" si="5"/>
        <v>1</v>
      </c>
    </row>
    <row r="113" spans="1:66">
      <c r="A113" s="14">
        <v>12.63</v>
      </c>
      <c r="B113" s="14">
        <v>20.76</v>
      </c>
      <c r="C113" s="14">
        <v>82.15</v>
      </c>
      <c r="D113" s="14">
        <v>480.4</v>
      </c>
      <c r="E113" s="14">
        <v>0.12089999999999999</v>
      </c>
      <c r="F113" s="14">
        <v>0.1065</v>
      </c>
      <c r="G113" s="14">
        <v>6.021E-2</v>
      </c>
      <c r="H113" s="14">
        <v>13.33</v>
      </c>
      <c r="I113" s="14">
        <v>527.4</v>
      </c>
      <c r="J113" s="14">
        <v>0.1105</v>
      </c>
      <c r="M113" s="16">
        <v>0</v>
      </c>
      <c r="O113" s="12">
        <f t="shared" si="3"/>
        <v>1</v>
      </c>
      <c r="P113" s="12">
        <f t="shared" si="4"/>
        <v>0</v>
      </c>
      <c r="R113" s="17">
        <v>-0.86216493245391179</v>
      </c>
      <c r="S113" s="17">
        <v>0.86592397083683859</v>
      </c>
      <c r="T113" s="17">
        <v>1.1492407566427856</v>
      </c>
      <c r="U113" s="17">
        <v>0.30971288832147947</v>
      </c>
      <c r="V113" s="17">
        <v>1.322038261257461</v>
      </c>
      <c r="W113" s="17">
        <v>-0.54000870393571332</v>
      </c>
      <c r="X113" s="17">
        <v>-0.93446499101467595</v>
      </c>
      <c r="Y113" s="17">
        <v>1.3623707400649003</v>
      </c>
      <c r="Z113" s="17">
        <v>0.73556995189170193</v>
      </c>
      <c r="AA113" s="17">
        <v>1.6983871669386827</v>
      </c>
      <c r="AB113" s="17">
        <v>-1.2113068807979621</v>
      </c>
      <c r="AC113" s="17">
        <v>1.5906603286575782</v>
      </c>
      <c r="AD113" s="17">
        <v>-0.8593627097567913</v>
      </c>
      <c r="AE113" s="17">
        <v>1.3374666300864129</v>
      </c>
      <c r="AF113" s="17">
        <v>1.6049118769290147</v>
      </c>
      <c r="AG113" s="17">
        <v>1.3481853892245086</v>
      </c>
      <c r="AH113" s="17">
        <v>0.33128292594394448</v>
      </c>
      <c r="AI113" s="17">
        <v>-1.6572512841003593</v>
      </c>
      <c r="AJ113" s="17">
        <v>-0.4315878441673433</v>
      </c>
      <c r="AK113" s="17">
        <v>0.36873422441294657</v>
      </c>
      <c r="AM113" s="17">
        <v>-0.8919559838997978</v>
      </c>
      <c r="AN113" s="17">
        <v>0.77042763282793336</v>
      </c>
      <c r="AO113" s="17">
        <v>0.62722930413235989</v>
      </c>
      <c r="AP113" s="17">
        <v>0.43638531955972859</v>
      </c>
      <c r="AQ113" s="17">
        <v>0.90263051245402137</v>
      </c>
      <c r="AR113" s="17">
        <v>-0.8401538352506398</v>
      </c>
      <c r="AS113" s="17">
        <v>-0.89277052017813685</v>
      </c>
      <c r="AT113" s="17">
        <v>0.70964898180511238</v>
      </c>
      <c r="AU113" s="17">
        <v>0.93505288266884934</v>
      </c>
      <c r="AV113" s="17">
        <v>0.84039161851088384</v>
      </c>
      <c r="AW113" s="17">
        <v>-0.30713556053761371</v>
      </c>
      <c r="AX113" s="17">
        <v>0.79099858022530167</v>
      </c>
      <c r="AY113" s="17">
        <v>-0.66981949839492361</v>
      </c>
      <c r="AZ113" s="17">
        <v>0.93063767003339615</v>
      </c>
      <c r="BA113" s="17">
        <v>0.28550935171748298</v>
      </c>
      <c r="BB113" s="17">
        <v>0.31282934197518841</v>
      </c>
      <c r="BC113" s="17">
        <v>0.49663230335628433</v>
      </c>
      <c r="BD113" s="17">
        <v>-0.92043814511897359</v>
      </c>
      <c r="BE113" s="17">
        <v>-0.4989662790986778</v>
      </c>
      <c r="BF113" s="17">
        <v>0.869037232070622</v>
      </c>
      <c r="BK113" s="20">
        <v>-9.883777185230895E-2</v>
      </c>
      <c r="BL113" s="20">
        <v>1.0987169189763821</v>
      </c>
      <c r="BN113" s="21">
        <f t="shared" si="5"/>
        <v>1</v>
      </c>
    </row>
    <row r="114" spans="1:66">
      <c r="A114" s="14">
        <v>14.26</v>
      </c>
      <c r="B114" s="14">
        <v>19.649999999999999</v>
      </c>
      <c r="C114" s="14">
        <v>97.83</v>
      </c>
      <c r="D114" s="14">
        <v>629.9</v>
      </c>
      <c r="E114" s="14">
        <v>0.2233</v>
      </c>
      <c r="F114" s="14">
        <v>0.30030000000000001</v>
      </c>
      <c r="G114" s="14">
        <v>7.7979999999999994E-2</v>
      </c>
      <c r="H114" s="14">
        <v>15.3</v>
      </c>
      <c r="I114" s="14">
        <v>709</v>
      </c>
      <c r="J114" s="14">
        <v>0.15049999999999999</v>
      </c>
      <c r="M114" s="16">
        <v>0</v>
      </c>
      <c r="O114" s="12">
        <f t="shared" si="3"/>
        <v>1</v>
      </c>
      <c r="P114" s="12">
        <f t="shared" si="4"/>
        <v>0</v>
      </c>
      <c r="R114" s="17">
        <v>-0.86216493245391179</v>
      </c>
      <c r="S114" s="17">
        <v>0.86592397083683859</v>
      </c>
      <c r="T114" s="17">
        <v>1.1492407566427856</v>
      </c>
      <c r="U114" s="17">
        <v>0.30971288832147947</v>
      </c>
      <c r="V114" s="17">
        <v>1.322038261257461</v>
      </c>
      <c r="W114" s="17">
        <v>-0.54000870393571332</v>
      </c>
      <c r="X114" s="17">
        <v>-0.93446499101467595</v>
      </c>
      <c r="Y114" s="17">
        <v>1.3623707400649003</v>
      </c>
      <c r="Z114" s="17">
        <v>0.73556995189170193</v>
      </c>
      <c r="AA114" s="17">
        <v>1.6983871669386827</v>
      </c>
      <c r="AB114" s="17">
        <v>-1.2113068807979621</v>
      </c>
      <c r="AC114" s="17">
        <v>1.5906603286575782</v>
      </c>
      <c r="AD114" s="17">
        <v>-0.8593627097567913</v>
      </c>
      <c r="AE114" s="17">
        <v>1.3374666300864129</v>
      </c>
      <c r="AF114" s="17">
        <v>1.6049118769290147</v>
      </c>
      <c r="AG114" s="17">
        <v>1.3481853892245086</v>
      </c>
      <c r="AH114" s="17">
        <v>0.33128292594394448</v>
      </c>
      <c r="AI114" s="17">
        <v>-1.6572512841003593</v>
      </c>
      <c r="AJ114" s="17">
        <v>-0.4315878441673433</v>
      </c>
      <c r="AK114" s="17">
        <v>0.36870700637324649</v>
      </c>
      <c r="AM114" s="17">
        <v>-0.73404134771513041</v>
      </c>
      <c r="AN114" s="17">
        <v>0.70251457542402218</v>
      </c>
      <c r="AO114" s="17">
        <v>0.75088646196271724</v>
      </c>
      <c r="AP114" s="17">
        <v>0.31764233239919593</v>
      </c>
      <c r="AQ114" s="17">
        <v>0.86666517639345453</v>
      </c>
      <c r="AR114" s="17">
        <v>-0.56575769374301477</v>
      </c>
      <c r="AS114" s="17">
        <v>-0.76022016550051974</v>
      </c>
      <c r="AT114" s="17">
        <v>0.84896214818716664</v>
      </c>
      <c r="AU114" s="17">
        <v>0.70591164868931511</v>
      </c>
      <c r="AV114" s="17">
        <v>0.91873587945900026</v>
      </c>
      <c r="AW114" s="17">
        <v>-0.77598731418696731</v>
      </c>
      <c r="AX114" s="17">
        <v>0.89934694480045074</v>
      </c>
      <c r="AY114" s="17">
        <v>-0.68145199800396872</v>
      </c>
      <c r="AZ114" s="17">
        <v>0.87673408977869671</v>
      </c>
      <c r="BA114" s="17">
        <v>0.87416623577744024</v>
      </c>
      <c r="BB114" s="17">
        <v>0.81684546257963497</v>
      </c>
      <c r="BC114" s="17">
        <v>0.34463391130767296</v>
      </c>
      <c r="BD114" s="17">
        <v>-0.9230071747609091</v>
      </c>
      <c r="BE114" s="17">
        <v>-0.41464420132421015</v>
      </c>
      <c r="BF114" s="17">
        <v>7.4702456841081566E-2</v>
      </c>
      <c r="BK114" s="20">
        <v>1.030083659603517</v>
      </c>
      <c r="BL114" s="20">
        <v>-3.0129287972283036E-2</v>
      </c>
      <c r="BN114" s="21">
        <f t="shared" si="5"/>
        <v>0</v>
      </c>
    </row>
    <row r="115" spans="1:66">
      <c r="A115" s="14">
        <v>10.51</v>
      </c>
      <c r="B115" s="14">
        <v>20.190000000000001</v>
      </c>
      <c r="C115" s="14">
        <v>68.64</v>
      </c>
      <c r="D115" s="14">
        <v>334.2</v>
      </c>
      <c r="E115" s="14">
        <v>0.1303</v>
      </c>
      <c r="F115" s="14">
        <v>6.4759999999999998E-2</v>
      </c>
      <c r="G115" s="14">
        <v>3.0679999999999999E-2</v>
      </c>
      <c r="H115" s="14">
        <v>11.16</v>
      </c>
      <c r="I115" s="14">
        <v>374.4</v>
      </c>
      <c r="J115" s="14">
        <v>6.1359999999999998E-2</v>
      </c>
      <c r="M115" s="16">
        <v>0</v>
      </c>
      <c r="O115" s="12">
        <f t="shared" si="3"/>
        <v>1</v>
      </c>
      <c r="P115" s="12">
        <f t="shared" si="4"/>
        <v>0</v>
      </c>
      <c r="R115" s="17">
        <v>-0.86216493245391179</v>
      </c>
      <c r="S115" s="17">
        <v>0.86592397083683859</v>
      </c>
      <c r="T115" s="17">
        <v>1.1492407566427856</v>
      </c>
      <c r="U115" s="17">
        <v>0.30971288832147947</v>
      </c>
      <c r="V115" s="17">
        <v>1.322038261257461</v>
      </c>
      <c r="W115" s="17">
        <v>-0.54000870393571332</v>
      </c>
      <c r="X115" s="17">
        <v>-0.93446499101467595</v>
      </c>
      <c r="Y115" s="17">
        <v>1.3623707400649003</v>
      </c>
      <c r="Z115" s="17">
        <v>0.73556995189170193</v>
      </c>
      <c r="AA115" s="17">
        <v>1.6983871669386827</v>
      </c>
      <c r="AB115" s="17">
        <v>-1.2113068807979621</v>
      </c>
      <c r="AC115" s="17">
        <v>1.5906603286575782</v>
      </c>
      <c r="AD115" s="17">
        <v>-0.8593627097567913</v>
      </c>
      <c r="AE115" s="17">
        <v>1.3374666300864129</v>
      </c>
      <c r="AF115" s="17">
        <v>1.6049118769290147</v>
      </c>
      <c r="AG115" s="17">
        <v>1.3481853892245086</v>
      </c>
      <c r="AH115" s="17">
        <v>0.33128292594394448</v>
      </c>
      <c r="AI115" s="17">
        <v>-1.6572512841003593</v>
      </c>
      <c r="AJ115" s="17">
        <v>-0.4315878441673433</v>
      </c>
      <c r="AK115" s="17">
        <v>0.3687342244129872</v>
      </c>
      <c r="AM115" s="17">
        <v>-0.88930889259661483</v>
      </c>
      <c r="AN115" s="17">
        <v>0.76713743623071029</v>
      </c>
      <c r="AO115" s="17">
        <v>0.2492330927395075</v>
      </c>
      <c r="AP115" s="17">
        <v>0.43309105911922791</v>
      </c>
      <c r="AQ115" s="17">
        <v>0.90048967738630792</v>
      </c>
      <c r="AR115" s="17">
        <v>-0.8366549347483051</v>
      </c>
      <c r="AS115" s="17">
        <v>-0.89019787772139847</v>
      </c>
      <c r="AT115" s="17">
        <v>0.70749440150032716</v>
      </c>
      <c r="AU115" s="17">
        <v>0.93295658888766042</v>
      </c>
      <c r="AV115" s="17">
        <v>0.83839708890960374</v>
      </c>
      <c r="AW115" s="17">
        <v>-0.30858054173415522</v>
      </c>
      <c r="AX115" s="17">
        <v>0.78892933467404547</v>
      </c>
      <c r="AY115" s="17">
        <v>-0.66670127308480631</v>
      </c>
      <c r="AZ115" s="17">
        <v>0.92881856829781329</v>
      </c>
      <c r="BA115" s="17">
        <v>0.28879555964855302</v>
      </c>
      <c r="BB115" s="17">
        <v>0.31473924566115608</v>
      </c>
      <c r="BC115" s="17">
        <v>0.49296269477980781</v>
      </c>
      <c r="BD115" s="17">
        <v>-0.91870888351000657</v>
      </c>
      <c r="BE115" s="17">
        <v>-0.49560989212728784</v>
      </c>
      <c r="BF115" s="17">
        <v>0.18425558881831278</v>
      </c>
      <c r="BK115" s="20">
        <v>1.0150539011463726</v>
      </c>
      <c r="BL115" s="20">
        <v>-1.4889928647254755E-2</v>
      </c>
      <c r="BN115" s="21">
        <f t="shared" si="5"/>
        <v>0</v>
      </c>
    </row>
    <row r="116" spans="1:66">
      <c r="A116" s="14">
        <v>8.7260000000000009</v>
      </c>
      <c r="B116" s="14">
        <v>15.83</v>
      </c>
      <c r="C116" s="14">
        <v>55.84</v>
      </c>
      <c r="D116" s="14">
        <v>230.9</v>
      </c>
      <c r="E116" s="14">
        <v>8.201E-2</v>
      </c>
      <c r="F116" s="14">
        <v>4.1320000000000003E-2</v>
      </c>
      <c r="G116" s="14">
        <v>1.924E-2</v>
      </c>
      <c r="H116" s="14">
        <v>9.6280000000000001</v>
      </c>
      <c r="I116" s="14">
        <v>284.39999999999998</v>
      </c>
      <c r="J116" s="14">
        <v>0.105</v>
      </c>
      <c r="M116" s="16">
        <v>0</v>
      </c>
      <c r="O116" s="12">
        <f t="shared" si="3"/>
        <v>1</v>
      </c>
      <c r="P116" s="12">
        <f t="shared" si="4"/>
        <v>0</v>
      </c>
      <c r="R116" s="17">
        <v>-1.4643074708783446</v>
      </c>
      <c r="S116" s="17">
        <v>1.0359333700219733</v>
      </c>
      <c r="T116" s="17">
        <v>0.4503249130137873</v>
      </c>
      <c r="U116" s="17">
        <v>0.47751119115197871</v>
      </c>
      <c r="V116" s="17">
        <v>1.5052132201123889</v>
      </c>
      <c r="W116" s="17">
        <v>-1.2567352733816861</v>
      </c>
      <c r="X116" s="17">
        <v>-1.4659127711484521</v>
      </c>
      <c r="Y116" s="17">
        <v>0.877385815472147</v>
      </c>
      <c r="Z116" s="17">
        <v>1.7463530467411736</v>
      </c>
      <c r="AA116" s="17">
        <v>1.2163845753889837</v>
      </c>
      <c r="AB116" s="17">
        <v>-0.28839333793737798</v>
      </c>
      <c r="AC116" s="17">
        <v>1.0652147513376473</v>
      </c>
      <c r="AD116" s="17">
        <v>-0.81583654438301023</v>
      </c>
      <c r="AE116" s="17">
        <v>1.6894094608623824</v>
      </c>
      <c r="AF116" s="17">
        <v>0.2496334827590041</v>
      </c>
      <c r="AG116" s="17">
        <v>0.29010426800531797</v>
      </c>
      <c r="AH116" s="17">
        <v>0.55723475600471262</v>
      </c>
      <c r="AI116" s="17">
        <v>-1.603629768829455</v>
      </c>
      <c r="AJ116" s="17">
        <v>-0.55690825498325469</v>
      </c>
      <c r="AK116" s="17">
        <v>0.41256201738018505</v>
      </c>
      <c r="AM116" s="17">
        <v>-0.820533839226538</v>
      </c>
      <c r="AN116" s="17">
        <v>0.75299423350814698</v>
      </c>
      <c r="AO116" s="17">
        <v>0.72820244170371518</v>
      </c>
      <c r="AP116" s="17">
        <v>0.37622420256765521</v>
      </c>
      <c r="AQ116" s="17">
        <v>0.89836508347173893</v>
      </c>
      <c r="AR116" s="17">
        <v>-0.7008863970047583</v>
      </c>
      <c r="AS116" s="17">
        <v>-0.83499123082126436</v>
      </c>
      <c r="AT116" s="17">
        <v>0.84074411980103714</v>
      </c>
      <c r="AU116" s="17">
        <v>0.83314538671042937</v>
      </c>
      <c r="AV116" s="17">
        <v>0.91818158559422347</v>
      </c>
      <c r="AW116" s="17">
        <v>-0.70656716034451006</v>
      </c>
      <c r="AX116" s="17">
        <v>0.89489901519242254</v>
      </c>
      <c r="AY116" s="17">
        <v>-0.70779195656049543</v>
      </c>
      <c r="AZ116" s="17">
        <v>0.91397595429728351</v>
      </c>
      <c r="BA116" s="17">
        <v>0.80419576984018604</v>
      </c>
      <c r="BB116" s="17">
        <v>0.74726145143823097</v>
      </c>
      <c r="BC116" s="17">
        <v>0.41599545553737544</v>
      </c>
      <c r="BD116" s="17">
        <v>-0.93727653092432461</v>
      </c>
      <c r="BE116" s="17">
        <v>-0.46643774420811829</v>
      </c>
      <c r="BF116" s="17">
        <v>0.25042024568598009</v>
      </c>
      <c r="BK116" s="20">
        <v>1.0321269145069276</v>
      </c>
      <c r="BL116" s="20">
        <v>-3.2253054814198344E-2</v>
      </c>
      <c r="BN116" s="21">
        <f t="shared" si="5"/>
        <v>0</v>
      </c>
    </row>
    <row r="117" spans="1:66">
      <c r="A117" s="14">
        <v>11.93</v>
      </c>
      <c r="B117" s="14">
        <v>21.53</v>
      </c>
      <c r="C117" s="14">
        <v>76.53</v>
      </c>
      <c r="D117" s="14">
        <v>438.6</v>
      </c>
      <c r="E117" s="14">
        <v>7.8490000000000004E-2</v>
      </c>
      <c r="F117" s="14">
        <v>3.3279999999999997E-2</v>
      </c>
      <c r="G117" s="14">
        <v>2.0080000000000001E-2</v>
      </c>
      <c r="H117" s="14">
        <v>13.67</v>
      </c>
      <c r="I117" s="14">
        <v>583</v>
      </c>
      <c r="J117" s="14">
        <v>7.2470000000000007E-2</v>
      </c>
      <c r="M117" s="16">
        <v>0</v>
      </c>
      <c r="O117" s="12">
        <f t="shared" si="3"/>
        <v>1</v>
      </c>
      <c r="P117" s="12">
        <f t="shared" si="4"/>
        <v>0</v>
      </c>
      <c r="R117" s="17">
        <v>-1.4643074708783446</v>
      </c>
      <c r="S117" s="17">
        <v>1.0359333700219733</v>
      </c>
      <c r="T117" s="17">
        <v>0.4503249130137873</v>
      </c>
      <c r="U117" s="17">
        <v>0.47751119115197871</v>
      </c>
      <c r="V117" s="17">
        <v>1.5052132201123889</v>
      </c>
      <c r="W117" s="17">
        <v>-1.2567352733816861</v>
      </c>
      <c r="X117" s="17">
        <v>-1.4659127711484521</v>
      </c>
      <c r="Y117" s="17">
        <v>0.877385815472147</v>
      </c>
      <c r="Z117" s="17">
        <v>1.7463530467411736</v>
      </c>
      <c r="AA117" s="17">
        <v>1.2163845753889837</v>
      </c>
      <c r="AB117" s="17">
        <v>-0.28839333793737798</v>
      </c>
      <c r="AC117" s="17">
        <v>1.0652147513376473</v>
      </c>
      <c r="AD117" s="17">
        <v>-0.81583654438301023</v>
      </c>
      <c r="AE117" s="17">
        <v>1.6894094608623824</v>
      </c>
      <c r="AF117" s="17">
        <v>0.2496334827590041</v>
      </c>
      <c r="AG117" s="17">
        <v>0.29010426800531797</v>
      </c>
      <c r="AH117" s="17">
        <v>0.55723475600471262</v>
      </c>
      <c r="AI117" s="17">
        <v>-1.603629768829455</v>
      </c>
      <c r="AJ117" s="17">
        <v>-0.55690825498325469</v>
      </c>
      <c r="AK117" s="17">
        <v>0.41256201738018505</v>
      </c>
      <c r="AM117" s="17">
        <v>-0.93788096582466807</v>
      </c>
      <c r="AN117" s="17">
        <v>0.8305406253051083</v>
      </c>
      <c r="AO117" s="17">
        <v>0.31232266655670543</v>
      </c>
      <c r="AP117" s="17">
        <v>0.50643457996131125</v>
      </c>
      <c r="AQ117" s="17">
        <v>0.93812083269035773</v>
      </c>
      <c r="AR117" s="17">
        <v>-0.9046847213725151</v>
      </c>
      <c r="AS117" s="17">
        <v>-0.93719655223289022</v>
      </c>
      <c r="AT117" s="17">
        <v>0.73581671417805783</v>
      </c>
      <c r="AU117" s="17">
        <v>0.969409688836807</v>
      </c>
      <c r="AV117" s="17">
        <v>0.86804805439005317</v>
      </c>
      <c r="AW117" s="17">
        <v>-0.22480324708620789</v>
      </c>
      <c r="AX117" s="17">
        <v>0.81758910791064876</v>
      </c>
      <c r="AY117" s="17">
        <v>-0.72510290423777135</v>
      </c>
      <c r="AZ117" s="17">
        <v>0.96019124733043204</v>
      </c>
      <c r="BA117" s="17">
        <v>0.13827575462598576</v>
      </c>
      <c r="BB117" s="17">
        <v>0.21304560359746721</v>
      </c>
      <c r="BC117" s="17">
        <v>0.5745286081344112</v>
      </c>
      <c r="BD117" s="17">
        <v>-0.94767452585606304</v>
      </c>
      <c r="BE117" s="17">
        <v>-0.56710982781280439</v>
      </c>
      <c r="BF117" s="17">
        <v>-0.64857256789002382</v>
      </c>
      <c r="BK117" s="20">
        <v>0.33267536490249755</v>
      </c>
      <c r="BL117" s="20">
        <v>0.66736772538196087</v>
      </c>
      <c r="BN117" s="21">
        <f t="shared" si="5"/>
        <v>1</v>
      </c>
    </row>
    <row r="118" spans="1:66">
      <c r="A118" s="14">
        <v>8.9499999999999993</v>
      </c>
      <c r="B118" s="14">
        <v>15.76</v>
      </c>
      <c r="C118" s="14">
        <v>58.74</v>
      </c>
      <c r="D118" s="14">
        <v>245.2</v>
      </c>
      <c r="E118" s="14">
        <v>0.12429999999999999</v>
      </c>
      <c r="F118" s="14">
        <v>9.2630000000000004E-2</v>
      </c>
      <c r="G118" s="14">
        <v>2.308E-2</v>
      </c>
      <c r="H118" s="14">
        <v>9.4139999999999997</v>
      </c>
      <c r="I118" s="14">
        <v>270</v>
      </c>
      <c r="J118" s="14">
        <v>3.8460000000000001E-2</v>
      </c>
      <c r="M118" s="16">
        <v>0</v>
      </c>
      <c r="O118" s="12">
        <f t="shared" si="3"/>
        <v>1</v>
      </c>
      <c r="P118" s="12">
        <f t="shared" si="4"/>
        <v>0</v>
      </c>
      <c r="R118" s="17">
        <v>-0.86216493245391179</v>
      </c>
      <c r="S118" s="17">
        <v>0.86592397083683859</v>
      </c>
      <c r="T118" s="17">
        <v>1.1492407566427856</v>
      </c>
      <c r="U118" s="17">
        <v>0.30971288832147947</v>
      </c>
      <c r="V118" s="17">
        <v>1.322038261257461</v>
      </c>
      <c r="W118" s="17">
        <v>-0.54000870393571332</v>
      </c>
      <c r="X118" s="17">
        <v>-0.93446499101467595</v>
      </c>
      <c r="Y118" s="17">
        <v>1.3623707400649003</v>
      </c>
      <c r="Z118" s="17">
        <v>0.73556995189170193</v>
      </c>
      <c r="AA118" s="17">
        <v>1.6983871669386827</v>
      </c>
      <c r="AB118" s="17">
        <v>-1.2113068807979621</v>
      </c>
      <c r="AC118" s="17">
        <v>1.5906603286575782</v>
      </c>
      <c r="AD118" s="17">
        <v>-0.8593627097567913</v>
      </c>
      <c r="AE118" s="17">
        <v>1.3374666300864129</v>
      </c>
      <c r="AF118" s="17">
        <v>1.6049118769290147</v>
      </c>
      <c r="AG118" s="17">
        <v>1.3481853892245086</v>
      </c>
      <c r="AH118" s="17">
        <v>0.33128292594394448</v>
      </c>
      <c r="AI118" s="17">
        <v>-1.6572512841003593</v>
      </c>
      <c r="AJ118" s="17">
        <v>-0.4315878441673433</v>
      </c>
      <c r="AK118" s="17">
        <v>0.3687331740055988</v>
      </c>
      <c r="AM118" s="17">
        <v>-0.79496440293822035</v>
      </c>
      <c r="AN118" s="17">
        <v>0.72769645551532303</v>
      </c>
      <c r="AO118" s="17">
        <v>0.72463727863049743</v>
      </c>
      <c r="AP118" s="17">
        <v>0.35503611011072395</v>
      </c>
      <c r="AQ118" s="17">
        <v>0.88124395786037812</v>
      </c>
      <c r="AR118" s="17">
        <v>-0.66896145206400892</v>
      </c>
      <c r="AS118" s="17">
        <v>-0.81086824683652869</v>
      </c>
      <c r="AT118" s="17">
        <v>0.82320210314539366</v>
      </c>
      <c r="AU118" s="17">
        <v>0.80579937801245494</v>
      </c>
      <c r="AV118" s="17">
        <v>0.90535495900309115</v>
      </c>
      <c r="AW118" s="17">
        <v>-0.69102191613666142</v>
      </c>
      <c r="AX118" s="17">
        <v>0.88043974352159216</v>
      </c>
      <c r="AY118" s="17">
        <v>-0.6836430711953142</v>
      </c>
      <c r="AZ118" s="17">
        <v>0.89783395621864281</v>
      </c>
      <c r="BA118" s="17">
        <v>0.79155919498633376</v>
      </c>
      <c r="BB118" s="17">
        <v>0.7325373596066741</v>
      </c>
      <c r="BC118" s="17">
        <v>0.39250345390072244</v>
      </c>
      <c r="BD118" s="17">
        <v>-0.92514491707799462</v>
      </c>
      <c r="BE118" s="17">
        <v>-0.44296097356583292</v>
      </c>
      <c r="BF118" s="17">
        <v>0.20690569338919385</v>
      </c>
      <c r="BK118" s="20">
        <v>8.0665298015856507E-2</v>
      </c>
      <c r="BL118" s="20">
        <v>0.91941329100419222</v>
      </c>
      <c r="BN118" s="21">
        <f t="shared" si="5"/>
        <v>1</v>
      </c>
    </row>
    <row r="119" spans="1:66">
      <c r="A119" s="14">
        <v>14.87</v>
      </c>
      <c r="B119" s="14">
        <v>16.670000000000002</v>
      </c>
      <c r="C119" s="14">
        <v>98.64</v>
      </c>
      <c r="D119" s="14">
        <v>682.5</v>
      </c>
      <c r="E119" s="14">
        <v>0.16489999999999999</v>
      </c>
      <c r="F119" s="14">
        <v>0.16900000000000001</v>
      </c>
      <c r="G119" s="14">
        <v>8.9230000000000004E-2</v>
      </c>
      <c r="H119" s="14">
        <v>18.809999999999999</v>
      </c>
      <c r="I119" s="14">
        <v>1095</v>
      </c>
      <c r="J119" s="14">
        <v>0.20269999999999999</v>
      </c>
      <c r="M119" s="16">
        <v>1</v>
      </c>
      <c r="O119" s="12">
        <f t="shared" si="3"/>
        <v>0</v>
      </c>
      <c r="P119" s="12">
        <f t="shared" si="4"/>
        <v>1</v>
      </c>
      <c r="R119" s="17">
        <v>-1.4643074708783446</v>
      </c>
      <c r="S119" s="17">
        <v>1.0359333700219733</v>
      </c>
      <c r="T119" s="17">
        <v>0.4503249130137873</v>
      </c>
      <c r="U119" s="17">
        <v>0.47751119115197871</v>
      </c>
      <c r="V119" s="17">
        <v>1.5052132201123889</v>
      </c>
      <c r="W119" s="17">
        <v>-1.2567352733816861</v>
      </c>
      <c r="X119" s="17">
        <v>-1.4659127711484521</v>
      </c>
      <c r="Y119" s="17">
        <v>0.877385815472147</v>
      </c>
      <c r="Z119" s="17">
        <v>1.7463530467411736</v>
      </c>
      <c r="AA119" s="17">
        <v>1.2163845753889837</v>
      </c>
      <c r="AB119" s="17">
        <v>-0.28839333793737798</v>
      </c>
      <c r="AC119" s="17">
        <v>1.0652147513376473</v>
      </c>
      <c r="AD119" s="17">
        <v>-0.81583654438301023</v>
      </c>
      <c r="AE119" s="17">
        <v>1.6894094608623824</v>
      </c>
      <c r="AF119" s="17">
        <v>0.2496334827590041</v>
      </c>
      <c r="AG119" s="17">
        <v>0.29010426800531797</v>
      </c>
      <c r="AH119" s="17">
        <v>0.55723475600471262</v>
      </c>
      <c r="AI119" s="17">
        <v>-1.603629768829455</v>
      </c>
      <c r="AJ119" s="17">
        <v>-0.55690825498325469</v>
      </c>
      <c r="AK119" s="17">
        <v>0.41256201738018505</v>
      </c>
      <c r="AM119" s="17">
        <v>-0.81091958436244804</v>
      </c>
      <c r="AN119" s="17">
        <v>0.74789039833485904</v>
      </c>
      <c r="AO119" s="17">
        <v>0.74680207570637447</v>
      </c>
      <c r="AP119" s="17">
        <v>0.36898418631390068</v>
      </c>
      <c r="AQ119" s="17">
        <v>0.89546741119638218</v>
      </c>
      <c r="AR119" s="17">
        <v>-0.68454596634775067</v>
      </c>
      <c r="AS119" s="17">
        <v>-0.82683165788747148</v>
      </c>
      <c r="AT119" s="17">
        <v>0.8440411569711449</v>
      </c>
      <c r="AU119" s="17">
        <v>0.81913043628248605</v>
      </c>
      <c r="AV119" s="17">
        <v>0.91963033022667595</v>
      </c>
      <c r="AW119" s="17">
        <v>-0.72104735829602085</v>
      </c>
      <c r="AX119" s="17">
        <v>0.89719412374579344</v>
      </c>
      <c r="AY119" s="17">
        <v>-0.70618771598472796</v>
      </c>
      <c r="AZ119" s="17">
        <v>0.91035230572006931</v>
      </c>
      <c r="BA119" s="17">
        <v>0.81931680795395634</v>
      </c>
      <c r="BB119" s="17">
        <v>0.76193397909350136</v>
      </c>
      <c r="BC119" s="17">
        <v>0.40700009442244672</v>
      </c>
      <c r="BD119" s="17">
        <v>-0.93637310008534624</v>
      </c>
      <c r="BE119" s="17">
        <v>-0.46060618816975396</v>
      </c>
      <c r="BF119" s="17">
        <v>0.23206607826634038</v>
      </c>
      <c r="BK119" s="20">
        <v>0.88141339751458436</v>
      </c>
      <c r="BL119" s="20">
        <v>0.11664279179181848</v>
      </c>
      <c r="BN119" s="21">
        <f t="shared" si="5"/>
        <v>0</v>
      </c>
    </row>
    <row r="120" spans="1:66">
      <c r="A120" s="14">
        <v>15.78</v>
      </c>
      <c r="B120" s="14">
        <v>22.91</v>
      </c>
      <c r="C120" s="14">
        <v>105.7</v>
      </c>
      <c r="D120" s="14">
        <v>782.6</v>
      </c>
      <c r="E120" s="14">
        <v>0.17519999999999999</v>
      </c>
      <c r="F120" s="14">
        <v>0.21329999999999999</v>
      </c>
      <c r="G120" s="14">
        <v>9.4789999999999999E-2</v>
      </c>
      <c r="H120" s="14">
        <v>20.190000000000001</v>
      </c>
      <c r="I120" s="14">
        <v>1272</v>
      </c>
      <c r="J120" s="14">
        <v>0.2034</v>
      </c>
      <c r="M120" s="16">
        <v>1</v>
      </c>
      <c r="O120" s="12">
        <f t="shared" si="3"/>
        <v>0</v>
      </c>
      <c r="P120" s="12">
        <f t="shared" si="4"/>
        <v>1</v>
      </c>
      <c r="R120" s="17">
        <v>-1.4643074708783446</v>
      </c>
      <c r="S120" s="17">
        <v>1.0359333700219733</v>
      </c>
      <c r="T120" s="17">
        <v>0.4503249130137873</v>
      </c>
      <c r="U120" s="17">
        <v>0.47751119115197871</v>
      </c>
      <c r="V120" s="17">
        <v>1.5052132201123889</v>
      </c>
      <c r="W120" s="17">
        <v>-1.2567352733816861</v>
      </c>
      <c r="X120" s="17">
        <v>-1.4659127711484521</v>
      </c>
      <c r="Y120" s="17">
        <v>0.877385815472147</v>
      </c>
      <c r="Z120" s="17">
        <v>1.7463530467411736</v>
      </c>
      <c r="AA120" s="17">
        <v>1.2163845753889837</v>
      </c>
      <c r="AB120" s="17">
        <v>-0.28839333793737798</v>
      </c>
      <c r="AC120" s="17">
        <v>1.0652147513376473</v>
      </c>
      <c r="AD120" s="17">
        <v>-0.81583654438301023</v>
      </c>
      <c r="AE120" s="17">
        <v>1.6894094608623824</v>
      </c>
      <c r="AF120" s="17">
        <v>0.2496334827590041</v>
      </c>
      <c r="AG120" s="17">
        <v>0.29010426800531797</v>
      </c>
      <c r="AH120" s="17">
        <v>0.55723475600471262</v>
      </c>
      <c r="AI120" s="17">
        <v>-1.603629768829455</v>
      </c>
      <c r="AJ120" s="17">
        <v>-0.55690825498325469</v>
      </c>
      <c r="AK120" s="17">
        <v>0.41256201738018505</v>
      </c>
      <c r="AM120" s="17">
        <v>-0.7888968027776514</v>
      </c>
      <c r="AN120" s="17">
        <v>0.74709614933747903</v>
      </c>
      <c r="AO120" s="17">
        <v>0.80491308091627223</v>
      </c>
      <c r="AP120" s="17">
        <v>0.35566818001496969</v>
      </c>
      <c r="AQ120" s="17">
        <v>0.8969896230542157</v>
      </c>
      <c r="AR120" s="17">
        <v>-0.636742332697664</v>
      </c>
      <c r="AS120" s="17">
        <v>-0.81044797268227353</v>
      </c>
      <c r="AT120" s="17">
        <v>0.87058895101825906</v>
      </c>
      <c r="AU120" s="17">
        <v>0.77539927647184981</v>
      </c>
      <c r="AV120" s="17">
        <v>0.93478343639961237</v>
      </c>
      <c r="AW120" s="17">
        <v>-0.78818427913879852</v>
      </c>
      <c r="AX120" s="17">
        <v>0.91691771216303775</v>
      </c>
      <c r="AY120" s="17">
        <v>-0.71963290142576641</v>
      </c>
      <c r="AZ120" s="17">
        <v>0.90774025944462566</v>
      </c>
      <c r="BA120" s="17">
        <v>0.88109987936863854</v>
      </c>
      <c r="BB120" s="17">
        <v>0.82731356628190456</v>
      </c>
      <c r="BC120" s="17">
        <v>0.38782409467443885</v>
      </c>
      <c r="BD120" s="17">
        <v>-0.94209294830451906</v>
      </c>
      <c r="BE120" s="17">
        <v>-0.45549556440218308</v>
      </c>
      <c r="BF120" s="17">
        <v>0.40212038549654644</v>
      </c>
      <c r="BK120" s="20">
        <v>0.98796894595610008</v>
      </c>
      <c r="BL120" s="20">
        <v>1.1890206272640931E-2</v>
      </c>
      <c r="BN120" s="21">
        <f t="shared" si="5"/>
        <v>0</v>
      </c>
    </row>
    <row r="121" spans="1:66">
      <c r="A121" s="14">
        <v>17.95</v>
      </c>
      <c r="B121" s="14">
        <v>20.010000000000002</v>
      </c>
      <c r="C121" s="14">
        <v>114.2</v>
      </c>
      <c r="D121" s="14">
        <v>982</v>
      </c>
      <c r="E121" s="14">
        <v>6.7220000000000002E-2</v>
      </c>
      <c r="F121" s="14">
        <v>7.2929999999999995E-2</v>
      </c>
      <c r="G121" s="14">
        <v>5.5960000000000003E-2</v>
      </c>
      <c r="H121" s="14">
        <v>20.58</v>
      </c>
      <c r="I121" s="14">
        <v>1261</v>
      </c>
      <c r="J121" s="14">
        <v>0.11849999999999999</v>
      </c>
      <c r="M121" s="16">
        <v>1</v>
      </c>
      <c r="O121" s="12">
        <f t="shared" si="3"/>
        <v>0</v>
      </c>
      <c r="P121" s="12">
        <f t="shared" si="4"/>
        <v>1</v>
      </c>
      <c r="R121" s="17">
        <v>-1.4643074708783446</v>
      </c>
      <c r="S121" s="17">
        <v>1.0359333700219733</v>
      </c>
      <c r="T121" s="17">
        <v>0.4503249130137873</v>
      </c>
      <c r="U121" s="17">
        <v>0.47751119115197871</v>
      </c>
      <c r="V121" s="17">
        <v>1.5052132201123889</v>
      </c>
      <c r="W121" s="17">
        <v>-1.2567352733816861</v>
      </c>
      <c r="X121" s="17">
        <v>-1.4659127711484521</v>
      </c>
      <c r="Y121" s="17">
        <v>0.877385815472147</v>
      </c>
      <c r="Z121" s="17">
        <v>1.7463530467411736</v>
      </c>
      <c r="AA121" s="17">
        <v>1.2163845753889837</v>
      </c>
      <c r="AB121" s="17">
        <v>-0.28839333793737798</v>
      </c>
      <c r="AC121" s="17">
        <v>1.0652147513376473</v>
      </c>
      <c r="AD121" s="17">
        <v>-0.81583654438301023</v>
      </c>
      <c r="AE121" s="17">
        <v>1.6894094608623824</v>
      </c>
      <c r="AF121" s="17">
        <v>0.2496334827590041</v>
      </c>
      <c r="AG121" s="17">
        <v>0.29010426800531797</v>
      </c>
      <c r="AH121" s="17">
        <v>0.55723475600471262</v>
      </c>
      <c r="AI121" s="17">
        <v>-1.603629768829455</v>
      </c>
      <c r="AJ121" s="17">
        <v>-0.55690825498325469</v>
      </c>
      <c r="AK121" s="17">
        <v>0.41256201738018505</v>
      </c>
      <c r="AM121" s="17">
        <v>-0.8391651440287109</v>
      </c>
      <c r="AN121" s="17">
        <v>0.75909511636665927</v>
      </c>
      <c r="AO121" s="17">
        <v>0.75089019142789193</v>
      </c>
      <c r="AP121" s="17">
        <v>0.39020948090598573</v>
      </c>
      <c r="AQ121" s="17">
        <v>0.90097166843580956</v>
      </c>
      <c r="AR121" s="17">
        <v>-0.73633139058766695</v>
      </c>
      <c r="AS121" s="17">
        <v>-0.850101150727128</v>
      </c>
      <c r="AT121" s="17">
        <v>0.82319407344871443</v>
      </c>
      <c r="AU121" s="17">
        <v>0.86221845185405144</v>
      </c>
      <c r="AV121" s="17">
        <v>0.90854581276753277</v>
      </c>
      <c r="AW121" s="17">
        <v>-0.65134619150679574</v>
      </c>
      <c r="AX121" s="17">
        <v>0.88177432546750967</v>
      </c>
      <c r="AY121" s="17">
        <v>-0.70363503716653764</v>
      </c>
      <c r="AZ121" s="17">
        <v>0.91900534026428393</v>
      </c>
      <c r="BA121" s="17">
        <v>0.7444401732374003</v>
      </c>
      <c r="BB121" s="17">
        <v>0.69065183191894952</v>
      </c>
      <c r="BC121" s="17">
        <v>0.43437928389266167</v>
      </c>
      <c r="BD121" s="17">
        <v>-0.93570628583462412</v>
      </c>
      <c r="BE121" s="17">
        <v>-0.47529798208490781</v>
      </c>
      <c r="BF121" s="17">
        <v>0.59692428561840105</v>
      </c>
      <c r="BK121" s="20">
        <v>1.0468009152006683</v>
      </c>
      <c r="BL121" s="20">
        <v>-4.6781687946010897E-2</v>
      </c>
      <c r="BN121" s="21">
        <f t="shared" si="5"/>
        <v>0</v>
      </c>
    </row>
    <row r="122" spans="1:66">
      <c r="A122" s="14">
        <v>11.41</v>
      </c>
      <c r="B122" s="14">
        <v>10.82</v>
      </c>
      <c r="C122" s="14">
        <v>73.34</v>
      </c>
      <c r="D122" s="14">
        <v>403.3</v>
      </c>
      <c r="E122" s="14">
        <v>6.6850000000000007E-2</v>
      </c>
      <c r="F122" s="14">
        <v>3.5119999999999998E-2</v>
      </c>
      <c r="G122" s="14">
        <v>2.623E-2</v>
      </c>
      <c r="H122" s="14">
        <v>12.82</v>
      </c>
      <c r="I122" s="14">
        <v>510.5</v>
      </c>
      <c r="J122" s="14">
        <v>8.9580000000000007E-2</v>
      </c>
      <c r="M122" s="16">
        <v>0</v>
      </c>
      <c r="O122" s="12">
        <f t="shared" si="3"/>
        <v>1</v>
      </c>
      <c r="P122" s="12">
        <f t="shared" si="4"/>
        <v>0</v>
      </c>
      <c r="R122" s="17">
        <v>-0.86216493245391179</v>
      </c>
      <c r="S122" s="17">
        <v>0.86592397083683859</v>
      </c>
      <c r="T122" s="17">
        <v>1.1492407566427856</v>
      </c>
      <c r="U122" s="17">
        <v>0.30971288832147947</v>
      </c>
      <c r="V122" s="17">
        <v>1.322038261257461</v>
      </c>
      <c r="W122" s="17">
        <v>-0.54000870393571332</v>
      </c>
      <c r="X122" s="17">
        <v>-0.93446499101467595</v>
      </c>
      <c r="Y122" s="17">
        <v>1.3623707400649003</v>
      </c>
      <c r="Z122" s="17">
        <v>0.73556995189170193</v>
      </c>
      <c r="AA122" s="17">
        <v>1.6983871669386827</v>
      </c>
      <c r="AB122" s="17">
        <v>-1.2113068807979621</v>
      </c>
      <c r="AC122" s="17">
        <v>1.5906603286575782</v>
      </c>
      <c r="AD122" s="17">
        <v>-0.8593627097567913</v>
      </c>
      <c r="AE122" s="17">
        <v>1.3374666300864129</v>
      </c>
      <c r="AF122" s="17">
        <v>1.6049118769290147</v>
      </c>
      <c r="AG122" s="17">
        <v>1.3481853892245086</v>
      </c>
      <c r="AH122" s="17">
        <v>0.33128292594394448</v>
      </c>
      <c r="AI122" s="17">
        <v>-1.6572512841003593</v>
      </c>
      <c r="AJ122" s="17">
        <v>-0.4315878441673433</v>
      </c>
      <c r="AK122" s="17">
        <v>0.36873422441258652</v>
      </c>
      <c r="AM122" s="17">
        <v>-0.80081353489793117</v>
      </c>
      <c r="AN122" s="17">
        <v>0.72115476049500238</v>
      </c>
      <c r="AO122" s="17">
        <v>0.56761074558862812</v>
      </c>
      <c r="AP122" s="17">
        <v>0.35716918971777356</v>
      </c>
      <c r="AQ122" s="17">
        <v>0.87523564150673716</v>
      </c>
      <c r="AR122" s="17">
        <v>-0.68703850304305103</v>
      </c>
      <c r="AS122" s="17">
        <v>-0.81396317084359771</v>
      </c>
      <c r="AT122" s="17">
        <v>0.79804407846663394</v>
      </c>
      <c r="AU122" s="17">
        <v>0.82197992114701013</v>
      </c>
      <c r="AV122" s="17">
        <v>0.88918043252478296</v>
      </c>
      <c r="AW122" s="17">
        <v>-0.63558508408646008</v>
      </c>
      <c r="AX122" s="17">
        <v>0.86036561141161583</v>
      </c>
      <c r="AY122" s="17">
        <v>-0.66828959489688344</v>
      </c>
      <c r="AZ122" s="17">
        <v>0.89486398247864229</v>
      </c>
      <c r="BA122" s="17">
        <v>0.73294783513842654</v>
      </c>
      <c r="BB122" s="17">
        <v>0.67597803865202655</v>
      </c>
      <c r="BC122" s="17">
        <v>0.39740915665848164</v>
      </c>
      <c r="BD122" s="17">
        <v>-0.91720994566449665</v>
      </c>
      <c r="BE122" s="17">
        <v>-0.43968611113266082</v>
      </c>
      <c r="BF122" s="17">
        <v>1.3562232800568334E-2</v>
      </c>
      <c r="BK122" s="20">
        <v>1.0233448499182167</v>
      </c>
      <c r="BL122" s="20">
        <v>-2.3291158478732105E-2</v>
      </c>
      <c r="BN122" s="21">
        <f t="shared" si="5"/>
        <v>0</v>
      </c>
    </row>
    <row r="123" spans="1:66">
      <c r="A123" s="14">
        <v>18.66</v>
      </c>
      <c r="B123" s="14">
        <v>17.12</v>
      </c>
      <c r="C123" s="14">
        <v>121.4</v>
      </c>
      <c r="D123" s="14">
        <v>1077</v>
      </c>
      <c r="E123" s="14">
        <v>0.11</v>
      </c>
      <c r="F123" s="14">
        <v>0.1457</v>
      </c>
      <c r="G123" s="14">
        <v>8.6650000000000005E-2</v>
      </c>
      <c r="H123" s="14">
        <v>22.25</v>
      </c>
      <c r="I123" s="14">
        <v>1549</v>
      </c>
      <c r="J123" s="14">
        <v>0.16739999999999999</v>
      </c>
      <c r="M123" s="16">
        <v>1</v>
      </c>
      <c r="O123" s="12">
        <f t="shared" si="3"/>
        <v>0</v>
      </c>
      <c r="P123" s="12">
        <f t="shared" si="4"/>
        <v>1</v>
      </c>
      <c r="R123" s="17">
        <v>-0.86216493245391179</v>
      </c>
      <c r="S123" s="17">
        <v>0.86592397083683859</v>
      </c>
      <c r="T123" s="17">
        <v>1.1492407566427856</v>
      </c>
      <c r="U123" s="17">
        <v>0.30971288832147947</v>
      </c>
      <c r="V123" s="17">
        <v>1.322038261257461</v>
      </c>
      <c r="W123" s="17">
        <v>-0.54000870393571332</v>
      </c>
      <c r="X123" s="17">
        <v>-0.93446499101467595</v>
      </c>
      <c r="Y123" s="17">
        <v>1.3623707400649003</v>
      </c>
      <c r="Z123" s="17">
        <v>0.73556995189170193</v>
      </c>
      <c r="AA123" s="17">
        <v>1.6983871669386827</v>
      </c>
      <c r="AB123" s="17">
        <v>-1.2113068807979621</v>
      </c>
      <c r="AC123" s="17">
        <v>1.5906603286575782</v>
      </c>
      <c r="AD123" s="17">
        <v>-0.8593627097567913</v>
      </c>
      <c r="AE123" s="17">
        <v>1.3374666300864129</v>
      </c>
      <c r="AF123" s="17">
        <v>1.6049118769290147</v>
      </c>
      <c r="AG123" s="17">
        <v>1.3481853892245086</v>
      </c>
      <c r="AH123" s="17">
        <v>0.33128292594394448</v>
      </c>
      <c r="AI123" s="17">
        <v>-1.6572512841003593</v>
      </c>
      <c r="AJ123" s="17">
        <v>-0.4315878441673433</v>
      </c>
      <c r="AK123" s="17">
        <v>0.36873422441298942</v>
      </c>
      <c r="AM123" s="17">
        <v>-0.76387268155291643</v>
      </c>
      <c r="AN123" s="17">
        <v>0.72913292734357915</v>
      </c>
      <c r="AO123" s="17">
        <v>0.77880245306090168</v>
      </c>
      <c r="AP123" s="17">
        <v>0.33808435838247497</v>
      </c>
      <c r="AQ123" s="17">
        <v>0.88546334961233519</v>
      </c>
      <c r="AR123" s="17">
        <v>-0.60089668589865419</v>
      </c>
      <c r="AS123" s="17">
        <v>-0.78819153230612626</v>
      </c>
      <c r="AT123" s="17">
        <v>0.86545554195941088</v>
      </c>
      <c r="AU123" s="17">
        <v>0.74098467612932817</v>
      </c>
      <c r="AV123" s="17">
        <v>0.93053052348415055</v>
      </c>
      <c r="AW123" s="17">
        <v>-0.791368377528744</v>
      </c>
      <c r="AX123" s="17">
        <v>0.91258435258500936</v>
      </c>
      <c r="AY123" s="17">
        <v>-0.70609387484511399</v>
      </c>
      <c r="AZ123" s="17">
        <v>0.89542692853416106</v>
      </c>
      <c r="BA123" s="17">
        <v>0.88516669801476877</v>
      </c>
      <c r="BB123" s="17">
        <v>0.83078828600310506</v>
      </c>
      <c r="BC123" s="17">
        <v>0.36730550387844563</v>
      </c>
      <c r="BD123" s="17">
        <v>-0.93560658445963407</v>
      </c>
      <c r="BE123" s="17">
        <v>-0.43796515042742296</v>
      </c>
      <c r="BF123" s="17">
        <v>0.21438464801016549</v>
      </c>
      <c r="BK123" s="20">
        <v>5.1646511730931495E-2</v>
      </c>
      <c r="BL123" s="20">
        <v>0.94841689606608526</v>
      </c>
      <c r="BN123" s="21">
        <f t="shared" si="5"/>
        <v>1</v>
      </c>
    </row>
    <row r="124" spans="1:66">
      <c r="A124" s="14">
        <v>24.25</v>
      </c>
      <c r="B124" s="14">
        <v>20.2</v>
      </c>
      <c r="C124" s="14">
        <v>166.2</v>
      </c>
      <c r="D124" s="14">
        <v>1761</v>
      </c>
      <c r="E124" s="14">
        <v>0.28670000000000001</v>
      </c>
      <c r="F124" s="14">
        <v>0.42680000000000001</v>
      </c>
      <c r="G124" s="14">
        <v>0.20119999999999999</v>
      </c>
      <c r="H124" s="14">
        <v>26.02</v>
      </c>
      <c r="I124" s="14">
        <v>2073</v>
      </c>
      <c r="J124" s="14">
        <v>0.2248</v>
      </c>
      <c r="M124" s="16">
        <v>1</v>
      </c>
      <c r="O124" s="12">
        <f t="shared" si="3"/>
        <v>0</v>
      </c>
      <c r="P124" s="12">
        <f t="shared" si="4"/>
        <v>1</v>
      </c>
      <c r="R124" s="17">
        <v>-0.86216493245391179</v>
      </c>
      <c r="S124" s="17">
        <v>0.86592397083683859</v>
      </c>
      <c r="T124" s="17">
        <v>1.1492407566427856</v>
      </c>
      <c r="U124" s="17">
        <v>0.30971288832147947</v>
      </c>
      <c r="V124" s="17">
        <v>1.322038261257461</v>
      </c>
      <c r="W124" s="17">
        <v>-0.54000870393571332</v>
      </c>
      <c r="X124" s="17">
        <v>-0.93446499101467595</v>
      </c>
      <c r="Y124" s="17">
        <v>1.3623707400649003</v>
      </c>
      <c r="Z124" s="17">
        <v>0.73556995189170193</v>
      </c>
      <c r="AA124" s="17">
        <v>1.6983871669386827</v>
      </c>
      <c r="AB124" s="17">
        <v>-1.2113068807979621</v>
      </c>
      <c r="AC124" s="17">
        <v>1.5906603286575782</v>
      </c>
      <c r="AD124" s="17">
        <v>-0.8593627097567913</v>
      </c>
      <c r="AE124" s="17">
        <v>1.3374666300864129</v>
      </c>
      <c r="AF124" s="17">
        <v>1.6049118769290147</v>
      </c>
      <c r="AG124" s="17">
        <v>1.3481853892245086</v>
      </c>
      <c r="AH124" s="17">
        <v>0.33128292594394448</v>
      </c>
      <c r="AI124" s="17">
        <v>-1.6572512841003593</v>
      </c>
      <c r="AJ124" s="17">
        <v>-0.4315878441673433</v>
      </c>
      <c r="AK124" s="17">
        <v>0.36873422441298942</v>
      </c>
      <c r="AM124" s="17">
        <v>-0.88023515278799247</v>
      </c>
      <c r="AN124" s="17">
        <v>0.76116600471527385</v>
      </c>
      <c r="AO124" s="17">
        <v>0.3878673196802776</v>
      </c>
      <c r="AP124" s="17">
        <v>0.42334635285124178</v>
      </c>
      <c r="AQ124" s="17">
        <v>0.89721366046678164</v>
      </c>
      <c r="AR124" s="17">
        <v>-0.82174111078070144</v>
      </c>
      <c r="AS124" s="17">
        <v>-0.88212690984075171</v>
      </c>
      <c r="AT124" s="17">
        <v>0.71987683242916389</v>
      </c>
      <c r="AU124" s="17">
        <v>0.92367275713494512</v>
      </c>
      <c r="AV124" s="17">
        <v>0.84529217778561028</v>
      </c>
      <c r="AW124" s="17">
        <v>-0.35632178384623125</v>
      </c>
      <c r="AX124" s="17">
        <v>0.79886442103867372</v>
      </c>
      <c r="AY124" s="17">
        <v>-0.66628169889644706</v>
      </c>
      <c r="AZ124" s="17">
        <v>0.92489480260196855</v>
      </c>
      <c r="BA124" s="17">
        <v>0.35993184472628986</v>
      </c>
      <c r="BB124" s="17">
        <v>0.36921780895506118</v>
      </c>
      <c r="BC124" s="17">
        <v>0.4809730048113211</v>
      </c>
      <c r="BD124" s="17">
        <v>-0.9181796474053292</v>
      </c>
      <c r="BE124" s="17">
        <v>-0.48823236501576883</v>
      </c>
      <c r="BF124" s="17">
        <v>0.13668969794227195</v>
      </c>
      <c r="BK124" s="20">
        <v>0.8570337077613841</v>
      </c>
      <c r="BL124" s="20">
        <v>0.14282745514778306</v>
      </c>
      <c r="BN124" s="21">
        <f t="shared" si="5"/>
        <v>0</v>
      </c>
    </row>
    <row r="125" spans="1:66">
      <c r="A125" s="14">
        <v>14.5</v>
      </c>
      <c r="B125" s="14">
        <v>10.89</v>
      </c>
      <c r="C125" s="14">
        <v>94.28</v>
      </c>
      <c r="D125" s="14">
        <v>640.70000000000005</v>
      </c>
      <c r="E125" s="14">
        <v>0.1099</v>
      </c>
      <c r="F125" s="14">
        <v>8.8419999999999999E-2</v>
      </c>
      <c r="G125" s="14">
        <v>5.7779999999999998E-2</v>
      </c>
      <c r="H125" s="14">
        <v>15.7</v>
      </c>
      <c r="I125" s="14">
        <v>745.5</v>
      </c>
      <c r="J125" s="14">
        <v>0.1221</v>
      </c>
      <c r="M125" s="16">
        <v>0</v>
      </c>
      <c r="O125" s="12">
        <f t="shared" si="3"/>
        <v>1</v>
      </c>
      <c r="P125" s="12">
        <f t="shared" si="4"/>
        <v>0</v>
      </c>
      <c r="R125" s="17">
        <v>-1.4643074708783446</v>
      </c>
      <c r="S125" s="17">
        <v>1.0359333700219733</v>
      </c>
      <c r="T125" s="17">
        <v>0.4503249130137873</v>
      </c>
      <c r="U125" s="17">
        <v>0.47751119115197871</v>
      </c>
      <c r="V125" s="17">
        <v>1.5052132201123889</v>
      </c>
      <c r="W125" s="17">
        <v>-1.2567352733816861</v>
      </c>
      <c r="X125" s="17">
        <v>-1.4659127711484521</v>
      </c>
      <c r="Y125" s="17">
        <v>0.877385815472147</v>
      </c>
      <c r="Z125" s="17">
        <v>1.7463530467411736</v>
      </c>
      <c r="AA125" s="17">
        <v>1.2163845753889837</v>
      </c>
      <c r="AB125" s="17">
        <v>-0.28839333793737798</v>
      </c>
      <c r="AC125" s="17">
        <v>1.0652147513376473</v>
      </c>
      <c r="AD125" s="17">
        <v>-0.81583654438301023</v>
      </c>
      <c r="AE125" s="17">
        <v>1.6894094608623824</v>
      </c>
      <c r="AF125" s="17">
        <v>0.2496334827590041</v>
      </c>
      <c r="AG125" s="17">
        <v>0.29010426800531797</v>
      </c>
      <c r="AH125" s="17">
        <v>0.55723475600471262</v>
      </c>
      <c r="AI125" s="17">
        <v>-1.603629768829455</v>
      </c>
      <c r="AJ125" s="17">
        <v>-0.55690825498325469</v>
      </c>
      <c r="AK125" s="17">
        <v>0.41256201738018505</v>
      </c>
      <c r="AM125" s="17">
        <v>-0.89571890734009518</v>
      </c>
      <c r="AN125" s="17">
        <v>0.78968689751272869</v>
      </c>
      <c r="AO125" s="17">
        <v>0.49754238279178431</v>
      </c>
      <c r="AP125" s="17">
        <v>0.4445403170313339</v>
      </c>
      <c r="AQ125" s="17">
        <v>0.91650422851084612</v>
      </c>
      <c r="AR125" s="17">
        <v>-0.83657714752458223</v>
      </c>
      <c r="AS125" s="17">
        <v>-0.89846142663835815</v>
      </c>
      <c r="AT125" s="17">
        <v>0.76846436780573413</v>
      </c>
      <c r="AU125" s="17">
        <v>0.93264681508294556</v>
      </c>
      <c r="AV125" s="17">
        <v>0.88007550599231399</v>
      </c>
      <c r="AW125" s="17">
        <v>-0.43613700033914354</v>
      </c>
      <c r="AX125" s="17">
        <v>0.8405743147013488</v>
      </c>
      <c r="AY125" s="17">
        <v>-0.70345847576926979</v>
      </c>
      <c r="AZ125" s="17">
        <v>0.93939793243029646</v>
      </c>
      <c r="BA125" s="17">
        <v>0.46351174287669766</v>
      </c>
      <c r="BB125" s="17">
        <v>0.45648990328795858</v>
      </c>
      <c r="BC125" s="17">
        <v>0.50231477280692183</v>
      </c>
      <c r="BD125" s="17">
        <v>-0.93696652228008437</v>
      </c>
      <c r="BE125" s="17">
        <v>-0.51508086234205508</v>
      </c>
      <c r="BF125" s="17">
        <v>8.046538193100139E-2</v>
      </c>
      <c r="BK125" s="20">
        <v>1.0494047711501646</v>
      </c>
      <c r="BL125" s="20">
        <v>-4.9496953330078711E-2</v>
      </c>
      <c r="BN125" s="21">
        <f t="shared" si="5"/>
        <v>0</v>
      </c>
    </row>
    <row r="126" spans="1:66">
      <c r="A126" s="14">
        <v>13.37</v>
      </c>
      <c r="B126" s="14">
        <v>16.39</v>
      </c>
      <c r="C126" s="14">
        <v>86.1</v>
      </c>
      <c r="D126" s="14">
        <v>553.5</v>
      </c>
      <c r="E126" s="14">
        <v>7.3249999999999996E-2</v>
      </c>
      <c r="F126" s="14">
        <v>8.0920000000000006E-2</v>
      </c>
      <c r="G126" s="14">
        <v>2.8000000000000001E-2</v>
      </c>
      <c r="H126" s="14">
        <v>14.26</v>
      </c>
      <c r="I126" s="14">
        <v>632.1</v>
      </c>
      <c r="J126" s="14">
        <v>8.9779999999999999E-2</v>
      </c>
      <c r="M126" s="16">
        <v>0</v>
      </c>
      <c r="O126" s="12">
        <f t="shared" si="3"/>
        <v>1</v>
      </c>
      <c r="P126" s="12">
        <f t="shared" si="4"/>
        <v>0</v>
      </c>
      <c r="R126" s="17">
        <v>-0.86216493245391179</v>
      </c>
      <c r="S126" s="17">
        <v>0.86592397083683859</v>
      </c>
      <c r="T126" s="17">
        <v>1.1492407566427856</v>
      </c>
      <c r="U126" s="17">
        <v>0.30971288832147947</v>
      </c>
      <c r="V126" s="17">
        <v>1.322038261257461</v>
      </c>
      <c r="W126" s="17">
        <v>-0.54000870393571332</v>
      </c>
      <c r="X126" s="17">
        <v>-0.93446499101467595</v>
      </c>
      <c r="Y126" s="17">
        <v>1.3623707400649003</v>
      </c>
      <c r="Z126" s="17">
        <v>0.73556995189170193</v>
      </c>
      <c r="AA126" s="17">
        <v>1.6983871669386827</v>
      </c>
      <c r="AB126" s="17">
        <v>-1.2113068807979621</v>
      </c>
      <c r="AC126" s="17">
        <v>1.5906603286575782</v>
      </c>
      <c r="AD126" s="17">
        <v>-0.8593627097567913</v>
      </c>
      <c r="AE126" s="17">
        <v>1.3374666300864129</v>
      </c>
      <c r="AF126" s="17">
        <v>1.6049118769290147</v>
      </c>
      <c r="AG126" s="17">
        <v>1.3481853892245086</v>
      </c>
      <c r="AH126" s="17">
        <v>0.33128292594394448</v>
      </c>
      <c r="AI126" s="17">
        <v>-1.6572512841003593</v>
      </c>
      <c r="AJ126" s="17">
        <v>-0.4315878441673433</v>
      </c>
      <c r="AK126" s="17">
        <v>-0.77974184605167096</v>
      </c>
      <c r="AM126" s="17">
        <v>-0.70956843980235296</v>
      </c>
      <c r="AN126" s="17">
        <v>0.70821008047309664</v>
      </c>
      <c r="AO126" s="17">
        <v>0.83482808758816529</v>
      </c>
      <c r="AP126" s="17">
        <v>0.30738242187312564</v>
      </c>
      <c r="AQ126" s="17">
        <v>0.8735427945758808</v>
      </c>
      <c r="AR126" s="17">
        <v>-0.50818916645546175</v>
      </c>
      <c r="AS126" s="17">
        <v>-0.74374157505500804</v>
      </c>
      <c r="AT126" s="17">
        <v>0.8806690031552965</v>
      </c>
      <c r="AU126" s="17">
        <v>0.64325882413784774</v>
      </c>
      <c r="AV126" s="17">
        <v>0.93794179845447789</v>
      </c>
      <c r="AW126" s="17">
        <v>-0.83918251115798248</v>
      </c>
      <c r="AX126" s="17">
        <v>0.9232180191778665</v>
      </c>
      <c r="AY126" s="17">
        <v>-0.70323345929182957</v>
      </c>
      <c r="AZ126" s="17">
        <v>0.87779995366878705</v>
      </c>
      <c r="BA126" s="17">
        <v>0.92349987050072579</v>
      </c>
      <c r="BB126" s="17">
        <v>0.87537215859923723</v>
      </c>
      <c r="BC126" s="17">
        <v>0.32790581051743428</v>
      </c>
      <c r="BD126" s="17">
        <v>-0.9335459841485767</v>
      </c>
      <c r="BE126" s="17">
        <v>-0.41447738135162304</v>
      </c>
      <c r="BF126" s="17">
        <v>0.32169857810724889</v>
      </c>
      <c r="BK126" s="20">
        <v>-5.524816205822615E-2</v>
      </c>
      <c r="BL126" s="20">
        <v>1.055221279618058</v>
      </c>
      <c r="BN126" s="21">
        <f t="shared" si="5"/>
        <v>1</v>
      </c>
    </row>
    <row r="127" spans="1:66">
      <c r="A127" s="14">
        <v>13.85</v>
      </c>
      <c r="B127" s="14">
        <v>17.21</v>
      </c>
      <c r="C127" s="14">
        <v>88.44</v>
      </c>
      <c r="D127" s="14">
        <v>588.70000000000005</v>
      </c>
      <c r="E127" s="14">
        <v>6.1359999999999998E-2</v>
      </c>
      <c r="F127" s="14">
        <v>1.4200000000000001E-2</v>
      </c>
      <c r="G127" s="14">
        <v>1.141E-2</v>
      </c>
      <c r="H127" s="14">
        <v>15.49</v>
      </c>
      <c r="I127" s="14">
        <v>725.9</v>
      </c>
      <c r="J127" s="14">
        <v>5.1040000000000002E-2</v>
      </c>
      <c r="M127" s="16">
        <v>0</v>
      </c>
      <c r="O127" s="12">
        <f t="shared" si="3"/>
        <v>1</v>
      </c>
      <c r="P127" s="12">
        <f t="shared" si="4"/>
        <v>0</v>
      </c>
      <c r="R127" s="17">
        <v>-0.86216493245391179</v>
      </c>
      <c r="S127" s="17">
        <v>0.86592397083683859</v>
      </c>
      <c r="T127" s="17">
        <v>1.1492407566427856</v>
      </c>
      <c r="U127" s="17">
        <v>0.30971288832147947</v>
      </c>
      <c r="V127" s="17">
        <v>1.322038261257461</v>
      </c>
      <c r="W127" s="17">
        <v>-0.54000870393571332</v>
      </c>
      <c r="X127" s="17">
        <v>-0.93446499101467595</v>
      </c>
      <c r="Y127" s="17">
        <v>1.3623707400649003</v>
      </c>
      <c r="Z127" s="17">
        <v>0.73556995189170193</v>
      </c>
      <c r="AA127" s="17">
        <v>1.6983871669386827</v>
      </c>
      <c r="AB127" s="17">
        <v>-1.2113068807979621</v>
      </c>
      <c r="AC127" s="17">
        <v>1.5906603286575782</v>
      </c>
      <c r="AD127" s="17">
        <v>-0.8593627097567913</v>
      </c>
      <c r="AE127" s="17">
        <v>1.3374666300864129</v>
      </c>
      <c r="AF127" s="17">
        <v>1.6049118769290147</v>
      </c>
      <c r="AG127" s="17">
        <v>1.3481853892245086</v>
      </c>
      <c r="AH127" s="17">
        <v>0.33128292594394448</v>
      </c>
      <c r="AI127" s="17">
        <v>-1.6572512841003593</v>
      </c>
      <c r="AJ127" s="17">
        <v>-0.4315878441673433</v>
      </c>
      <c r="AK127" s="17">
        <v>0.36873422441298909</v>
      </c>
      <c r="AM127" s="17">
        <v>-0.67093951550881781</v>
      </c>
      <c r="AN127" s="17">
        <v>0.66532585515239828</v>
      </c>
      <c r="AO127" s="17">
        <v>0.76362468720647025</v>
      </c>
      <c r="AP127" s="17">
        <v>0.28243599779021944</v>
      </c>
      <c r="AQ127" s="17">
        <v>0.84039345785079711</v>
      </c>
      <c r="AR127" s="17">
        <v>-0.4773584074072284</v>
      </c>
      <c r="AS127" s="17">
        <v>-0.70479587273660116</v>
      </c>
      <c r="AT127" s="17">
        <v>0.84505678470147272</v>
      </c>
      <c r="AU127" s="17">
        <v>0.60992263668361935</v>
      </c>
      <c r="AV127" s="17">
        <v>0.91344696169839401</v>
      </c>
      <c r="AW127" s="17">
        <v>-0.79533571115704949</v>
      </c>
      <c r="AX127" s="17">
        <v>0.89518506563938249</v>
      </c>
      <c r="AY127" s="17">
        <v>-0.65815417364580875</v>
      </c>
      <c r="AZ127" s="17">
        <v>0.84603146114887151</v>
      </c>
      <c r="BA127" s="17">
        <v>0.89257241447622349</v>
      </c>
      <c r="BB127" s="17">
        <v>0.83593136193891515</v>
      </c>
      <c r="BC127" s="17">
        <v>0.30226420557321537</v>
      </c>
      <c r="BD127" s="17">
        <v>-0.90931856204604578</v>
      </c>
      <c r="BE127" s="17">
        <v>-0.38094004535892156</v>
      </c>
      <c r="BF127" s="17">
        <v>1.0335468238114459E-2</v>
      </c>
      <c r="BK127" s="20">
        <v>0.88716527493541864</v>
      </c>
      <c r="BL127" s="20">
        <v>0.112686347090348</v>
      </c>
      <c r="BN127" s="21">
        <f t="shared" si="5"/>
        <v>0</v>
      </c>
    </row>
    <row r="128" spans="1:66">
      <c r="A128" s="14">
        <v>13.61</v>
      </c>
      <c r="B128" s="14">
        <v>24.69</v>
      </c>
      <c r="C128" s="14">
        <v>87.76</v>
      </c>
      <c r="D128" s="14">
        <v>572.6</v>
      </c>
      <c r="E128" s="14">
        <v>7.8619999999999995E-2</v>
      </c>
      <c r="F128" s="14">
        <v>5.2850000000000001E-2</v>
      </c>
      <c r="G128" s="14">
        <v>3.0849999999999999E-2</v>
      </c>
      <c r="H128" s="14">
        <v>16.89</v>
      </c>
      <c r="I128" s="14">
        <v>848.7</v>
      </c>
      <c r="J128" s="14">
        <v>0.13289999999999999</v>
      </c>
      <c r="M128" s="16">
        <v>1</v>
      </c>
      <c r="O128" s="12">
        <f t="shared" si="3"/>
        <v>0</v>
      </c>
      <c r="P128" s="12">
        <f t="shared" si="4"/>
        <v>1</v>
      </c>
      <c r="R128" s="17">
        <v>-1.4643074708783446</v>
      </c>
      <c r="S128" s="17">
        <v>1.0359333700219733</v>
      </c>
      <c r="T128" s="17">
        <v>0.4503249130137873</v>
      </c>
      <c r="U128" s="17">
        <v>0.47751119115197871</v>
      </c>
      <c r="V128" s="17">
        <v>1.5052132201123889</v>
      </c>
      <c r="W128" s="17">
        <v>-1.2567352733816861</v>
      </c>
      <c r="X128" s="17">
        <v>-1.4659127711484521</v>
      </c>
      <c r="Y128" s="17">
        <v>0.877385815472147</v>
      </c>
      <c r="Z128" s="17">
        <v>1.7463530467411736</v>
      </c>
      <c r="AA128" s="17">
        <v>1.2163845753889837</v>
      </c>
      <c r="AB128" s="17">
        <v>-0.28839333793737798</v>
      </c>
      <c r="AC128" s="17">
        <v>1.0652147513376473</v>
      </c>
      <c r="AD128" s="17">
        <v>-0.81583654438301023</v>
      </c>
      <c r="AE128" s="17">
        <v>1.6894094608623824</v>
      </c>
      <c r="AF128" s="17">
        <v>0.2496334827590041</v>
      </c>
      <c r="AG128" s="17">
        <v>0.29010426800531797</v>
      </c>
      <c r="AH128" s="17">
        <v>0.55723475600471262</v>
      </c>
      <c r="AI128" s="17">
        <v>-1.603629768829455</v>
      </c>
      <c r="AJ128" s="17">
        <v>-0.55690825498325469</v>
      </c>
      <c r="AK128" s="17">
        <v>0.41256201728851094</v>
      </c>
      <c r="AM128" s="17">
        <v>-0.72535570720062004</v>
      </c>
      <c r="AN128" s="17">
        <v>0.69195813522603533</v>
      </c>
      <c r="AO128" s="17">
        <v>0.74409588182910846</v>
      </c>
      <c r="AP128" s="17">
        <v>0.31143913621135322</v>
      </c>
      <c r="AQ128" s="17">
        <v>0.85855567858087123</v>
      </c>
      <c r="AR128" s="17">
        <v>-0.55880732556878554</v>
      </c>
      <c r="AS128" s="17">
        <v>-0.75136145229701834</v>
      </c>
      <c r="AT128" s="17">
        <v>0.83871880617858385</v>
      </c>
      <c r="AU128" s="17">
        <v>0.69897432093583212</v>
      </c>
      <c r="AV128" s="17">
        <v>0.91161924918015214</v>
      </c>
      <c r="AW128" s="17">
        <v>-0.76219448337898177</v>
      </c>
      <c r="AX128" s="17">
        <v>0.89113654964073064</v>
      </c>
      <c r="AY128" s="17">
        <v>-0.66987149662662271</v>
      </c>
      <c r="AZ128" s="17">
        <v>0.86928028589166018</v>
      </c>
      <c r="BA128" s="17">
        <v>0.86304466046549488</v>
      </c>
      <c r="BB128" s="17">
        <v>0.80389954531275631</v>
      </c>
      <c r="BC128" s="17">
        <v>0.33830680217841297</v>
      </c>
      <c r="BD128" s="17">
        <v>-0.91670747379183648</v>
      </c>
      <c r="BE128" s="17">
        <v>-0.40627590111004402</v>
      </c>
      <c r="BF128" s="17">
        <v>0.10703171898116749</v>
      </c>
      <c r="BK128" s="20">
        <v>1.0445254980373617</v>
      </c>
      <c r="BL128" s="20">
        <v>-4.4435691209816983E-2</v>
      </c>
      <c r="BN128" s="21">
        <f t="shared" si="5"/>
        <v>0</v>
      </c>
    </row>
    <row r="129" spans="1:66">
      <c r="A129" s="14">
        <v>19</v>
      </c>
      <c r="B129" s="14">
        <v>18.91</v>
      </c>
      <c r="C129" s="14">
        <v>123.4</v>
      </c>
      <c r="D129" s="14">
        <v>1138</v>
      </c>
      <c r="E129" s="14">
        <v>8.0280000000000004E-2</v>
      </c>
      <c r="F129" s="14">
        <v>9.2710000000000001E-2</v>
      </c>
      <c r="G129" s="14">
        <v>5.6270000000000001E-2</v>
      </c>
      <c r="H129" s="14">
        <v>22.32</v>
      </c>
      <c r="I129" s="14">
        <v>1538</v>
      </c>
      <c r="J129" s="14">
        <v>0.12180000000000001</v>
      </c>
      <c r="M129" s="16">
        <v>1</v>
      </c>
      <c r="O129" s="12">
        <f t="shared" si="3"/>
        <v>0</v>
      </c>
      <c r="P129" s="12">
        <f t="shared" si="4"/>
        <v>1</v>
      </c>
      <c r="R129" s="17">
        <v>-1.4643074708783446</v>
      </c>
      <c r="S129" s="17">
        <v>1.0359333700219733</v>
      </c>
      <c r="T129" s="17">
        <v>0.4503249130137873</v>
      </c>
      <c r="U129" s="17">
        <v>0.47751119115197871</v>
      </c>
      <c r="V129" s="17">
        <v>1.5052132201123889</v>
      </c>
      <c r="W129" s="17">
        <v>-1.2567352733816861</v>
      </c>
      <c r="X129" s="17">
        <v>-1.4659127711484521</v>
      </c>
      <c r="Y129" s="17">
        <v>0.877385815472147</v>
      </c>
      <c r="Z129" s="17">
        <v>1.7463530467411736</v>
      </c>
      <c r="AA129" s="17">
        <v>1.2163845753889837</v>
      </c>
      <c r="AB129" s="17">
        <v>-0.28839333793737798</v>
      </c>
      <c r="AC129" s="17">
        <v>1.0652147513376473</v>
      </c>
      <c r="AD129" s="17">
        <v>-0.81583654438301023</v>
      </c>
      <c r="AE129" s="17">
        <v>1.6894094608623824</v>
      </c>
      <c r="AF129" s="17">
        <v>0.2496334827590041</v>
      </c>
      <c r="AG129" s="17">
        <v>0.29010426800531797</v>
      </c>
      <c r="AH129" s="17">
        <v>0.55723475600471262</v>
      </c>
      <c r="AI129" s="17">
        <v>-1.603629768829455</v>
      </c>
      <c r="AJ129" s="17">
        <v>-0.55690825498325469</v>
      </c>
      <c r="AK129" s="17">
        <v>0.41256201738018505</v>
      </c>
      <c r="AM129" s="17">
        <v>-0.82801898357330428</v>
      </c>
      <c r="AN129" s="17">
        <v>0.74233421992128001</v>
      </c>
      <c r="AO129" s="17">
        <v>0.65921145132699543</v>
      </c>
      <c r="AP129" s="17">
        <v>0.37886062778352375</v>
      </c>
      <c r="AQ129" s="17">
        <v>0.88926516824116819</v>
      </c>
      <c r="AR129" s="17">
        <v>-0.72630894453756822</v>
      </c>
      <c r="AS129" s="17">
        <v>-0.83859862339069524</v>
      </c>
      <c r="AT129" s="17">
        <v>0.80165768218817701</v>
      </c>
      <c r="AU129" s="17">
        <v>0.85453096979043774</v>
      </c>
      <c r="AV129" s="17">
        <v>0.89381057404372144</v>
      </c>
      <c r="AW129" s="17">
        <v>-0.61648293516835284</v>
      </c>
      <c r="AX129" s="17">
        <v>0.86422745012359625</v>
      </c>
      <c r="AY129" s="17">
        <v>-0.68341816539200051</v>
      </c>
      <c r="AZ129" s="17">
        <v>0.90932371588193106</v>
      </c>
      <c r="BA129" s="17">
        <v>0.70770498109320346</v>
      </c>
      <c r="BB129" s="17">
        <v>0.65509221404502749</v>
      </c>
      <c r="BC129" s="17">
        <v>0.42290068910499545</v>
      </c>
      <c r="BD129" s="17">
        <v>-0.92568495378974314</v>
      </c>
      <c r="BE129" s="17">
        <v>-0.46046777180318677</v>
      </c>
      <c r="BF129" s="17">
        <v>0.41539841903189656</v>
      </c>
      <c r="BK129" s="20">
        <v>0.90032035395314103</v>
      </c>
      <c r="BL129" s="20">
        <v>9.9760634106037666E-2</v>
      </c>
      <c r="BN129" s="21">
        <f t="shared" si="5"/>
        <v>0</v>
      </c>
    </row>
    <row r="130" spans="1:66">
      <c r="A130" s="14">
        <v>15.1</v>
      </c>
      <c r="B130" s="14">
        <v>16.39</v>
      </c>
      <c r="C130" s="14">
        <v>99.58</v>
      </c>
      <c r="D130" s="14">
        <v>674.5</v>
      </c>
      <c r="E130" s="14">
        <v>0.1807</v>
      </c>
      <c r="F130" s="14">
        <v>0.1138</v>
      </c>
      <c r="G130" s="14">
        <v>8.5339999999999999E-2</v>
      </c>
      <c r="H130" s="14">
        <v>16.11</v>
      </c>
      <c r="I130" s="14">
        <v>762.6</v>
      </c>
      <c r="J130" s="14">
        <v>0.14230000000000001</v>
      </c>
      <c r="M130" s="16">
        <v>0</v>
      </c>
      <c r="O130" s="12">
        <f t="shared" si="3"/>
        <v>1</v>
      </c>
      <c r="P130" s="12">
        <f t="shared" si="4"/>
        <v>0</v>
      </c>
      <c r="R130" s="17">
        <v>-0.86216493245391179</v>
      </c>
      <c r="S130" s="17">
        <v>0.86592397083683859</v>
      </c>
      <c r="T130" s="17">
        <v>1.1492407566427856</v>
      </c>
      <c r="U130" s="17">
        <v>0.30971288832147947</v>
      </c>
      <c r="V130" s="17">
        <v>1.322038261257461</v>
      </c>
      <c r="W130" s="17">
        <v>-0.54000870393571332</v>
      </c>
      <c r="X130" s="17">
        <v>-0.93446499101467595</v>
      </c>
      <c r="Y130" s="17">
        <v>1.3623707400649003</v>
      </c>
      <c r="Z130" s="17">
        <v>0.73556995189170193</v>
      </c>
      <c r="AA130" s="17">
        <v>1.6983871669386827</v>
      </c>
      <c r="AB130" s="17">
        <v>-1.2113068807979621</v>
      </c>
      <c r="AC130" s="17">
        <v>1.5906603286575782</v>
      </c>
      <c r="AD130" s="17">
        <v>-0.8593627097567913</v>
      </c>
      <c r="AE130" s="17">
        <v>1.3374666300864129</v>
      </c>
      <c r="AF130" s="17">
        <v>1.6049118769290147</v>
      </c>
      <c r="AG130" s="17">
        <v>1.3481853892245086</v>
      </c>
      <c r="AH130" s="17">
        <v>0.33128292594394448</v>
      </c>
      <c r="AI130" s="17">
        <v>-1.6572512841003593</v>
      </c>
      <c r="AJ130" s="17">
        <v>-0.4315878441673433</v>
      </c>
      <c r="AK130" s="17">
        <v>0.36873422441298942</v>
      </c>
      <c r="AM130" s="17">
        <v>-0.85790505753258861</v>
      </c>
      <c r="AN130" s="17">
        <v>0.75811580647304777</v>
      </c>
      <c r="AO130" s="17">
        <v>0.48088200305888434</v>
      </c>
      <c r="AP130" s="17">
        <v>0.40394350487422859</v>
      </c>
      <c r="AQ130" s="17">
        <v>0.89796392225488675</v>
      </c>
      <c r="AR130" s="17">
        <v>-0.77739787405022465</v>
      </c>
      <c r="AS130" s="17">
        <v>-0.86421045844246525</v>
      </c>
      <c r="AT130" s="17">
        <v>0.77888902772034196</v>
      </c>
      <c r="AU130" s="17">
        <v>0.89343202921092701</v>
      </c>
      <c r="AV130" s="17">
        <v>0.88185328120546214</v>
      </c>
      <c r="AW130" s="17">
        <v>-0.52885995736024993</v>
      </c>
      <c r="AX130" s="17">
        <v>0.84696564432549926</v>
      </c>
      <c r="AY130" s="17">
        <v>-0.68484999594373108</v>
      </c>
      <c r="AZ130" s="17">
        <v>0.92065878956686875</v>
      </c>
      <c r="BA130" s="17">
        <v>0.59711175973245889</v>
      </c>
      <c r="BB130" s="17">
        <v>0.56067676222375962</v>
      </c>
      <c r="BC130" s="17">
        <v>0.45434552109508936</v>
      </c>
      <c r="BD130" s="17">
        <v>-0.92709233702273186</v>
      </c>
      <c r="BE130" s="17">
        <v>-0.47942757773276379</v>
      </c>
      <c r="BF130" s="17">
        <v>-0.15961207867934937</v>
      </c>
      <c r="BK130" s="20">
        <v>0.69748577439682335</v>
      </c>
      <c r="BL130" s="20">
        <v>0.30271437290990438</v>
      </c>
      <c r="BN130" s="21">
        <f t="shared" si="5"/>
        <v>0</v>
      </c>
    </row>
    <row r="131" spans="1:66">
      <c r="A131" s="14">
        <v>19.79</v>
      </c>
      <c r="B131" s="14">
        <v>25.12</v>
      </c>
      <c r="C131" s="14">
        <v>130.4</v>
      </c>
      <c r="D131" s="14">
        <v>1192</v>
      </c>
      <c r="E131" s="14">
        <v>0.15890000000000001</v>
      </c>
      <c r="F131" s="14">
        <v>0.2545</v>
      </c>
      <c r="G131" s="14">
        <v>0.1149</v>
      </c>
      <c r="H131" s="14">
        <v>22.63</v>
      </c>
      <c r="I131" s="14">
        <v>1589</v>
      </c>
      <c r="J131" s="14">
        <v>0.17319999999999999</v>
      </c>
      <c r="M131" s="16">
        <v>1</v>
      </c>
      <c r="O131" s="12">
        <f t="shared" ref="O131:O194" si="6">IF(M131=0,1,0)</f>
        <v>0</v>
      </c>
      <c r="P131" s="12">
        <f t="shared" ref="P131:P194" si="7">IF(M131=1,1,0)</f>
        <v>1</v>
      </c>
      <c r="R131" s="17">
        <v>-0.86216493245391179</v>
      </c>
      <c r="S131" s="17">
        <v>0.86592397083683859</v>
      </c>
      <c r="T131" s="17">
        <v>1.1492407566427856</v>
      </c>
      <c r="U131" s="17">
        <v>0.30971288832147947</v>
      </c>
      <c r="V131" s="17">
        <v>1.322038261257461</v>
      </c>
      <c r="W131" s="17">
        <v>-0.54000870393571332</v>
      </c>
      <c r="X131" s="17">
        <v>-0.93446499101467595</v>
      </c>
      <c r="Y131" s="17">
        <v>1.3623707400649003</v>
      </c>
      <c r="Z131" s="17">
        <v>0.73556995189170193</v>
      </c>
      <c r="AA131" s="17">
        <v>1.6983871669386827</v>
      </c>
      <c r="AB131" s="17">
        <v>-1.2113068807979621</v>
      </c>
      <c r="AC131" s="17">
        <v>1.5906603286575782</v>
      </c>
      <c r="AD131" s="17">
        <v>-0.8593627097567913</v>
      </c>
      <c r="AE131" s="17">
        <v>1.3374666300864129</v>
      </c>
      <c r="AF131" s="17">
        <v>1.6049118769290147</v>
      </c>
      <c r="AG131" s="17">
        <v>1.3481853892245086</v>
      </c>
      <c r="AH131" s="17">
        <v>0.33128292594394448</v>
      </c>
      <c r="AI131" s="17">
        <v>-1.6572512841003593</v>
      </c>
      <c r="AJ131" s="17">
        <v>-0.4315878441673433</v>
      </c>
      <c r="AK131" s="17">
        <v>0.35099676057904983</v>
      </c>
      <c r="AM131" s="17">
        <v>-0.51937331335103831</v>
      </c>
      <c r="AN131" s="17">
        <v>0.57589946047321172</v>
      </c>
      <c r="AO131" s="17">
        <v>0.75550925720082474</v>
      </c>
      <c r="AP131" s="17">
        <v>0.21219264602724389</v>
      </c>
      <c r="AQ131" s="17">
        <v>0.76813615192334883</v>
      </c>
      <c r="AR131" s="17">
        <v>-0.2906506706065024</v>
      </c>
      <c r="AS131" s="17">
        <v>-0.56868071114171959</v>
      </c>
      <c r="AT131" s="17">
        <v>0.82366848195408959</v>
      </c>
      <c r="AU131" s="17">
        <v>0.38118387166997586</v>
      </c>
      <c r="AV131" s="17">
        <v>0.89251219491264144</v>
      </c>
      <c r="AW131" s="17">
        <v>-0.81004790201294408</v>
      </c>
      <c r="AX131" s="17">
        <v>0.87558074425190435</v>
      </c>
      <c r="AY131" s="17">
        <v>-0.5977029111015395</v>
      </c>
      <c r="AZ131" s="17">
        <v>0.76058591915832363</v>
      </c>
      <c r="BA131" s="17">
        <v>0.90822524329655985</v>
      </c>
      <c r="BB131" s="17">
        <v>0.85109202938707684</v>
      </c>
      <c r="BC131" s="17">
        <v>0.21852070607094121</v>
      </c>
      <c r="BD131" s="17">
        <v>-0.86785976282072208</v>
      </c>
      <c r="BE131" s="17">
        <v>-0.30932640401164374</v>
      </c>
      <c r="BF131" s="17">
        <v>-0.49023754461075769</v>
      </c>
      <c r="BK131" s="20">
        <v>1.0352191542128049</v>
      </c>
      <c r="BL131" s="20">
        <v>-3.5221397618097741E-2</v>
      </c>
      <c r="BN131" s="21">
        <f t="shared" si="5"/>
        <v>0</v>
      </c>
    </row>
    <row r="132" spans="1:66">
      <c r="A132" s="14">
        <v>12.19</v>
      </c>
      <c r="B132" s="14">
        <v>13.29</v>
      </c>
      <c r="C132" s="14">
        <v>79.08</v>
      </c>
      <c r="D132" s="14">
        <v>455.8</v>
      </c>
      <c r="E132" s="14">
        <v>9.5089999999999994E-2</v>
      </c>
      <c r="F132" s="14">
        <v>2.8549999999999999E-2</v>
      </c>
      <c r="G132" s="14">
        <v>2.8819999999999998E-2</v>
      </c>
      <c r="H132" s="14">
        <v>13.34</v>
      </c>
      <c r="I132" s="14">
        <v>545.20000000000005</v>
      </c>
      <c r="J132" s="14">
        <v>8.1869999999999998E-2</v>
      </c>
      <c r="M132" s="16">
        <v>0</v>
      </c>
      <c r="O132" s="12">
        <f t="shared" si="6"/>
        <v>1</v>
      </c>
      <c r="P132" s="12">
        <f t="shared" si="7"/>
        <v>0</v>
      </c>
      <c r="R132" s="17">
        <v>-0.86216493245391179</v>
      </c>
      <c r="S132" s="17">
        <v>0.86592397083683859</v>
      </c>
      <c r="T132" s="17">
        <v>1.1492407566427856</v>
      </c>
      <c r="U132" s="17">
        <v>0.30971288832147947</v>
      </c>
      <c r="V132" s="17">
        <v>1.322038261257461</v>
      </c>
      <c r="W132" s="17">
        <v>-0.54000870393571332</v>
      </c>
      <c r="X132" s="17">
        <v>-0.93446499101467595</v>
      </c>
      <c r="Y132" s="17">
        <v>1.3623707400649003</v>
      </c>
      <c r="Z132" s="17">
        <v>0.73556995189170193</v>
      </c>
      <c r="AA132" s="17">
        <v>1.6983871669386827</v>
      </c>
      <c r="AB132" s="17">
        <v>-1.2113068807979621</v>
      </c>
      <c r="AC132" s="17">
        <v>1.5906603286575782</v>
      </c>
      <c r="AD132" s="17">
        <v>-0.8593627097567913</v>
      </c>
      <c r="AE132" s="17">
        <v>1.3374666300864129</v>
      </c>
      <c r="AF132" s="17">
        <v>1.6049118769290147</v>
      </c>
      <c r="AG132" s="17">
        <v>1.3481853892245086</v>
      </c>
      <c r="AH132" s="17">
        <v>0.33128292594394448</v>
      </c>
      <c r="AI132" s="17">
        <v>-1.6572512841003593</v>
      </c>
      <c r="AJ132" s="17">
        <v>-0.4315878441673433</v>
      </c>
      <c r="AK132" s="17">
        <v>0.36869330870899297</v>
      </c>
      <c r="AM132" s="17">
        <v>-0.74865351786039802</v>
      </c>
      <c r="AN132" s="17">
        <v>0.70980151198403263</v>
      </c>
      <c r="AO132" s="17">
        <v>0.76787400942910344</v>
      </c>
      <c r="AP132" s="17">
        <v>0.32628504108416745</v>
      </c>
      <c r="AQ132" s="17">
        <v>0.87132168122745857</v>
      </c>
      <c r="AR132" s="17">
        <v>-0.58870960841512421</v>
      </c>
      <c r="AS132" s="17">
        <v>-0.77265178415584179</v>
      </c>
      <c r="AT132" s="17">
        <v>0.84660481160214041</v>
      </c>
      <c r="AU132" s="17">
        <v>0.72933988722158116</v>
      </c>
      <c r="AV132" s="17">
        <v>0.91789647700827359</v>
      </c>
      <c r="AW132" s="17">
        <v>-0.76465609075577889</v>
      </c>
      <c r="AX132" s="17">
        <v>0.89778882389733694</v>
      </c>
      <c r="AY132" s="17">
        <v>-0.6844456883656389</v>
      </c>
      <c r="AZ132" s="17">
        <v>0.8826492799935941</v>
      </c>
      <c r="BA132" s="17">
        <v>0.86378042985230141</v>
      </c>
      <c r="BB132" s="17">
        <v>0.80580812928600276</v>
      </c>
      <c r="BC132" s="17">
        <v>0.35537751271098478</v>
      </c>
      <c r="BD132" s="17">
        <v>-0.92477575251136834</v>
      </c>
      <c r="BE132" s="17">
        <v>-0.42201159672583544</v>
      </c>
      <c r="BF132" s="17">
        <v>0.36022078185101841</v>
      </c>
      <c r="BK132" s="20">
        <v>1.2558443823124963</v>
      </c>
      <c r="BL132" s="20">
        <v>-0.2555280110616433</v>
      </c>
      <c r="BN132" s="21">
        <f t="shared" si="5"/>
        <v>0</v>
      </c>
    </row>
    <row r="133" spans="1:66">
      <c r="A133" s="14">
        <v>15.46</v>
      </c>
      <c r="B133" s="14">
        <v>19.48</v>
      </c>
      <c r="C133" s="14">
        <v>101.7</v>
      </c>
      <c r="D133" s="14">
        <v>748.9</v>
      </c>
      <c r="E133" s="14">
        <v>0.12230000000000001</v>
      </c>
      <c r="F133" s="14">
        <v>0.14660000000000001</v>
      </c>
      <c r="G133" s="14">
        <v>8.0869999999999997E-2</v>
      </c>
      <c r="H133" s="14">
        <v>19.260000000000002</v>
      </c>
      <c r="I133" s="14">
        <v>1156</v>
      </c>
      <c r="J133" s="14">
        <v>0.15140000000000001</v>
      </c>
      <c r="M133" s="16">
        <v>1</v>
      </c>
      <c r="O133" s="12">
        <f t="shared" si="6"/>
        <v>0</v>
      </c>
      <c r="P133" s="12">
        <f t="shared" si="7"/>
        <v>1</v>
      </c>
      <c r="R133" s="17">
        <v>-1.4643074708783446</v>
      </c>
      <c r="S133" s="17">
        <v>1.0359333700219733</v>
      </c>
      <c r="T133" s="17">
        <v>0.4503249130137873</v>
      </c>
      <c r="U133" s="17">
        <v>0.47751119115197871</v>
      </c>
      <c r="V133" s="17">
        <v>1.5052132201123889</v>
      </c>
      <c r="W133" s="17">
        <v>-1.2567352733816861</v>
      </c>
      <c r="X133" s="17">
        <v>-1.4659127711484521</v>
      </c>
      <c r="Y133" s="17">
        <v>0.877385815472147</v>
      </c>
      <c r="Z133" s="17">
        <v>1.7463530467411736</v>
      </c>
      <c r="AA133" s="17">
        <v>1.2163845753889837</v>
      </c>
      <c r="AB133" s="17">
        <v>-0.28839333793737798</v>
      </c>
      <c r="AC133" s="17">
        <v>1.0652147513376473</v>
      </c>
      <c r="AD133" s="17">
        <v>-0.81583654438301023</v>
      </c>
      <c r="AE133" s="17">
        <v>1.6894094608623824</v>
      </c>
      <c r="AF133" s="17">
        <v>0.2496334827590041</v>
      </c>
      <c r="AG133" s="17">
        <v>0.29010426800531797</v>
      </c>
      <c r="AH133" s="17">
        <v>0.55723475600471262</v>
      </c>
      <c r="AI133" s="17">
        <v>-1.603629768829455</v>
      </c>
      <c r="AJ133" s="17">
        <v>-0.55690825498325469</v>
      </c>
      <c r="AK133" s="17">
        <v>0.41256201738018505</v>
      </c>
      <c r="AM133" s="17">
        <v>-0.70719262562397145</v>
      </c>
      <c r="AN133" s="17">
        <v>0.66962757189338118</v>
      </c>
      <c r="AO133" s="17">
        <v>0.72116794095925452</v>
      </c>
      <c r="AP133" s="17">
        <v>0.29886333367609436</v>
      </c>
      <c r="AQ133" s="17">
        <v>0.84069143983545036</v>
      </c>
      <c r="AR133" s="17">
        <v>-0.54481598264039965</v>
      </c>
      <c r="AS133" s="17">
        <v>-0.73267331508132505</v>
      </c>
      <c r="AT133" s="17">
        <v>0.81579950086252262</v>
      </c>
      <c r="AU133" s="17">
        <v>0.68486439612559868</v>
      </c>
      <c r="AV133" s="17">
        <v>0.89520878664954018</v>
      </c>
      <c r="AW133" s="17">
        <v>-0.73156059776381299</v>
      </c>
      <c r="AX133" s="17">
        <v>0.87237111535173562</v>
      </c>
      <c r="AY133" s="17">
        <v>-0.6452738991729382</v>
      </c>
      <c r="AZ133" s="17">
        <v>0.85289362855441075</v>
      </c>
      <c r="BA133" s="17">
        <v>0.83727764602614718</v>
      </c>
      <c r="BB133" s="17">
        <v>0.77473016518352456</v>
      </c>
      <c r="BC133" s="17">
        <v>0.32550383487316248</v>
      </c>
      <c r="BD133" s="17">
        <v>-0.90234303358895751</v>
      </c>
      <c r="BE133" s="17">
        <v>-0.38913450518507392</v>
      </c>
      <c r="BF133" s="17">
        <v>8.3861110119883522E-2</v>
      </c>
      <c r="BK133" s="20">
        <v>0.96668813129769082</v>
      </c>
      <c r="BL133" s="20">
        <v>3.320575722467365E-2</v>
      </c>
      <c r="BN133" s="21">
        <f t="shared" si="5"/>
        <v>0</v>
      </c>
    </row>
    <row r="134" spans="1:66">
      <c r="A134" s="14">
        <v>16.16</v>
      </c>
      <c r="B134" s="14">
        <v>21.54</v>
      </c>
      <c r="C134" s="14">
        <v>106.2</v>
      </c>
      <c r="D134" s="14">
        <v>809.8</v>
      </c>
      <c r="E134" s="14">
        <v>0.12839999999999999</v>
      </c>
      <c r="F134" s="14">
        <v>0.1043</v>
      </c>
      <c r="G134" s="14">
        <v>5.6129999999999999E-2</v>
      </c>
      <c r="H134" s="14">
        <v>19.47</v>
      </c>
      <c r="I134" s="14">
        <v>1175</v>
      </c>
      <c r="J134" s="14">
        <v>0.13120000000000001</v>
      </c>
      <c r="M134" s="16">
        <v>1</v>
      </c>
      <c r="O134" s="12">
        <f t="shared" si="6"/>
        <v>0</v>
      </c>
      <c r="P134" s="12">
        <f t="shared" si="7"/>
        <v>1</v>
      </c>
      <c r="R134" s="17">
        <v>-1.4643074708783446</v>
      </c>
      <c r="S134" s="17">
        <v>1.0359333700219733</v>
      </c>
      <c r="T134" s="17">
        <v>0.4503249130137873</v>
      </c>
      <c r="U134" s="17">
        <v>0.47751119115197871</v>
      </c>
      <c r="V134" s="17">
        <v>1.5052132201123889</v>
      </c>
      <c r="W134" s="17">
        <v>-1.2567352733816861</v>
      </c>
      <c r="X134" s="17">
        <v>-1.4659127711484521</v>
      </c>
      <c r="Y134" s="17">
        <v>0.877385815472147</v>
      </c>
      <c r="Z134" s="17">
        <v>1.7463530467411736</v>
      </c>
      <c r="AA134" s="17">
        <v>1.2163845753889837</v>
      </c>
      <c r="AB134" s="17">
        <v>-0.28839333793737798</v>
      </c>
      <c r="AC134" s="17">
        <v>1.0652147513376473</v>
      </c>
      <c r="AD134" s="17">
        <v>-0.81583654438301023</v>
      </c>
      <c r="AE134" s="17">
        <v>1.6894094608623824</v>
      </c>
      <c r="AF134" s="17">
        <v>0.2496334827590041</v>
      </c>
      <c r="AG134" s="17">
        <v>0.29010426800531797</v>
      </c>
      <c r="AH134" s="17">
        <v>0.55723475600471262</v>
      </c>
      <c r="AI134" s="17">
        <v>-1.603629768829455</v>
      </c>
      <c r="AJ134" s="17">
        <v>-0.55690825498325469</v>
      </c>
      <c r="AK134" s="17">
        <v>0.40586312566298111</v>
      </c>
      <c r="AM134" s="17">
        <v>-0.67400690135682428</v>
      </c>
      <c r="AN134" s="17">
        <v>0.68412951627143903</v>
      </c>
      <c r="AO134" s="17">
        <v>0.80790435499119784</v>
      </c>
      <c r="AP134" s="17">
        <v>0.28724744748611586</v>
      </c>
      <c r="AQ134" s="17">
        <v>0.85656547952450701</v>
      </c>
      <c r="AR134" s="17">
        <v>-0.46250223179844047</v>
      </c>
      <c r="AS134" s="17">
        <v>-0.71183436493179852</v>
      </c>
      <c r="AT134" s="17">
        <v>0.87237841894403034</v>
      </c>
      <c r="AU134" s="17">
        <v>0.59186497939618776</v>
      </c>
      <c r="AV134" s="17">
        <v>0.93153604106988408</v>
      </c>
      <c r="AW134" s="17">
        <v>-0.8370542549096075</v>
      </c>
      <c r="AX134" s="17">
        <v>0.91647589325654766</v>
      </c>
      <c r="AY134" s="17">
        <v>-0.68470856264056668</v>
      </c>
      <c r="AZ134" s="17">
        <v>0.85897207468558934</v>
      </c>
      <c r="BA134" s="17">
        <v>0.92308238291912359</v>
      </c>
      <c r="BB134" s="17">
        <v>0.87386521949432783</v>
      </c>
      <c r="BC134" s="17">
        <v>0.30454486441920503</v>
      </c>
      <c r="BD134" s="17">
        <v>-0.9238733245021945</v>
      </c>
      <c r="BE134" s="17">
        <v>-0.39327570272531687</v>
      </c>
      <c r="BF134" s="17">
        <v>-7.6585431144589891E-2</v>
      </c>
      <c r="BK134" s="20">
        <v>0.99485196767429529</v>
      </c>
      <c r="BL134" s="20">
        <v>5.412231394860063E-3</v>
      </c>
      <c r="BN134" s="21">
        <f t="shared" si="5"/>
        <v>0</v>
      </c>
    </row>
    <row r="135" spans="1:66">
      <c r="A135" s="14">
        <v>15.71</v>
      </c>
      <c r="B135" s="14">
        <v>13.93</v>
      </c>
      <c r="C135" s="14">
        <v>102</v>
      </c>
      <c r="D135" s="14">
        <v>761.7</v>
      </c>
      <c r="E135" s="14">
        <v>9.4619999999999996E-2</v>
      </c>
      <c r="F135" s="14">
        <v>7.1349999999999997E-2</v>
      </c>
      <c r="G135" s="14">
        <v>5.9330000000000001E-2</v>
      </c>
      <c r="H135" s="14">
        <v>17.5</v>
      </c>
      <c r="I135" s="14">
        <v>922.8</v>
      </c>
      <c r="J135" s="14">
        <v>0.13739999999999999</v>
      </c>
      <c r="M135" s="16">
        <v>0</v>
      </c>
      <c r="O135" s="12">
        <f t="shared" si="6"/>
        <v>1</v>
      </c>
      <c r="P135" s="12">
        <f t="shared" si="7"/>
        <v>0</v>
      </c>
      <c r="R135" s="17">
        <v>-0.86216493245391179</v>
      </c>
      <c r="S135" s="17">
        <v>0.86592397083683859</v>
      </c>
      <c r="T135" s="17">
        <v>1.1492407566427856</v>
      </c>
      <c r="U135" s="17">
        <v>0.30971288832147947</v>
      </c>
      <c r="V135" s="17">
        <v>1.322038261257461</v>
      </c>
      <c r="W135" s="17">
        <v>-0.54000870393571332</v>
      </c>
      <c r="X135" s="17">
        <v>-0.93446499101467595</v>
      </c>
      <c r="Y135" s="17">
        <v>1.3623707400649003</v>
      </c>
      <c r="Z135" s="17">
        <v>0.73556995189170193</v>
      </c>
      <c r="AA135" s="17">
        <v>1.6983871669386827</v>
      </c>
      <c r="AB135" s="17">
        <v>-1.2113068807979621</v>
      </c>
      <c r="AC135" s="17">
        <v>1.5906603286575782</v>
      </c>
      <c r="AD135" s="17">
        <v>-0.8593627097567913</v>
      </c>
      <c r="AE135" s="17">
        <v>1.3374666300864129</v>
      </c>
      <c r="AF135" s="17">
        <v>1.6049118769290147</v>
      </c>
      <c r="AG135" s="17">
        <v>1.3481853892245086</v>
      </c>
      <c r="AH135" s="17">
        <v>0.33128292594394448</v>
      </c>
      <c r="AI135" s="17">
        <v>-1.6572512841003593</v>
      </c>
      <c r="AJ135" s="17">
        <v>-0.4315878441673433</v>
      </c>
      <c r="AK135" s="17">
        <v>-1.6312657567861852</v>
      </c>
      <c r="AM135" s="17">
        <v>-0.86290630346833408</v>
      </c>
      <c r="AN135" s="17">
        <v>0.75599901753125787</v>
      </c>
      <c r="AO135" s="17">
        <v>0.42029647645722373</v>
      </c>
      <c r="AP135" s="17">
        <v>0.40745808359705693</v>
      </c>
      <c r="AQ135" s="17">
        <v>0.89564628205547236</v>
      </c>
      <c r="AR135" s="17">
        <v>-0.78938775203519351</v>
      </c>
      <c r="AS135" s="17">
        <v>-0.86773660309446465</v>
      </c>
      <c r="AT135" s="17">
        <v>0.75850107175667181</v>
      </c>
      <c r="AU135" s="17">
        <v>0.90200954001853184</v>
      </c>
      <c r="AV135" s="17">
        <v>0.86893945022920072</v>
      </c>
      <c r="AW135" s="17">
        <v>-0.47518052388090509</v>
      </c>
      <c r="AX135" s="17">
        <v>0.83038654276926072</v>
      </c>
      <c r="AY135" s="17">
        <v>-0.67583429250890392</v>
      </c>
      <c r="AZ135" s="17">
        <v>0.92025174142802624</v>
      </c>
      <c r="BA135" s="17">
        <v>0.52707298077146048</v>
      </c>
      <c r="BB135" s="17">
        <v>0.50213541978850762</v>
      </c>
      <c r="BC135" s="17">
        <v>0.45995968252969577</v>
      </c>
      <c r="BD135" s="17">
        <v>-0.92265762759091874</v>
      </c>
      <c r="BE135" s="17">
        <v>-0.47927127713836326</v>
      </c>
      <c r="BF135" s="17">
        <v>-0.47240831971421349</v>
      </c>
      <c r="BK135" s="20">
        <v>-1.2647988511679913E-2</v>
      </c>
      <c r="BL135" s="20">
        <v>1.0126925511153617</v>
      </c>
      <c r="BN135" s="21">
        <f t="shared" si="5"/>
        <v>1</v>
      </c>
    </row>
    <row r="136" spans="1:66">
      <c r="A136" s="14">
        <v>18.45</v>
      </c>
      <c r="B136" s="14">
        <v>21.91</v>
      </c>
      <c r="C136" s="14">
        <v>120.2</v>
      </c>
      <c r="D136" s="14">
        <v>1075</v>
      </c>
      <c r="E136" s="14">
        <v>9.7089999999999996E-2</v>
      </c>
      <c r="F136" s="14">
        <v>0.1153</v>
      </c>
      <c r="G136" s="14">
        <v>6.8470000000000003E-2</v>
      </c>
      <c r="H136" s="14">
        <v>22.52</v>
      </c>
      <c r="I136" s="14">
        <v>1590</v>
      </c>
      <c r="J136" s="14">
        <v>0.13789999999999999</v>
      </c>
      <c r="M136" s="16">
        <v>1</v>
      </c>
      <c r="O136" s="12">
        <f t="shared" si="6"/>
        <v>0</v>
      </c>
      <c r="P136" s="12">
        <f t="shared" si="7"/>
        <v>1</v>
      </c>
      <c r="R136" s="17">
        <v>-0.86216493245391179</v>
      </c>
      <c r="S136" s="17">
        <v>0.86592397083683859</v>
      </c>
      <c r="T136" s="17">
        <v>1.1492407566427856</v>
      </c>
      <c r="U136" s="17">
        <v>0.30971288832147947</v>
      </c>
      <c r="V136" s="17">
        <v>1.322038261257461</v>
      </c>
      <c r="W136" s="17">
        <v>-0.54000870393571332</v>
      </c>
      <c r="X136" s="17">
        <v>-0.93446499101467595</v>
      </c>
      <c r="Y136" s="17">
        <v>1.3623707400649003</v>
      </c>
      <c r="Z136" s="17">
        <v>0.73556995189170193</v>
      </c>
      <c r="AA136" s="17">
        <v>1.6983871669386827</v>
      </c>
      <c r="AB136" s="17">
        <v>-1.2113068807979621</v>
      </c>
      <c r="AC136" s="17">
        <v>1.5906603286575782</v>
      </c>
      <c r="AD136" s="17">
        <v>-0.8593627097567913</v>
      </c>
      <c r="AE136" s="17">
        <v>1.3374666300864129</v>
      </c>
      <c r="AF136" s="17">
        <v>1.6049118769290147</v>
      </c>
      <c r="AG136" s="17">
        <v>1.3481853892245086</v>
      </c>
      <c r="AH136" s="17">
        <v>0.33128292594394448</v>
      </c>
      <c r="AI136" s="17">
        <v>-1.6572512841003593</v>
      </c>
      <c r="AJ136" s="17">
        <v>-0.4315878441673433</v>
      </c>
      <c r="AK136" s="17">
        <v>0.36873422441298753</v>
      </c>
      <c r="AM136" s="17">
        <v>-0.76913736406643562</v>
      </c>
      <c r="AN136" s="17">
        <v>0.71136168120876553</v>
      </c>
      <c r="AO136" s="17">
        <v>0.71807485625085332</v>
      </c>
      <c r="AP136" s="17">
        <v>0.33722809646838009</v>
      </c>
      <c r="AQ136" s="17">
        <v>0.87055795479276554</v>
      </c>
      <c r="AR136" s="17">
        <v>-0.62999593984659585</v>
      </c>
      <c r="AS136" s="17">
        <v>-0.78817805957419884</v>
      </c>
      <c r="AT136" s="17">
        <v>0.82441547617900446</v>
      </c>
      <c r="AU136" s="17">
        <v>0.77004480562452737</v>
      </c>
      <c r="AV136" s="17">
        <v>0.9045233623033625</v>
      </c>
      <c r="AW136" s="17">
        <v>-0.71167220833176181</v>
      </c>
      <c r="AX136" s="17">
        <v>0.88073467788215143</v>
      </c>
      <c r="AY136" s="17">
        <v>-0.67419821225331977</v>
      </c>
      <c r="AZ136" s="17">
        <v>0.88574652587875724</v>
      </c>
      <c r="BA136" s="17">
        <v>0.81424811936433916</v>
      </c>
      <c r="BB136" s="17">
        <v>0.75383218170119803</v>
      </c>
      <c r="BC136" s="17">
        <v>0.37100607074551883</v>
      </c>
      <c r="BD136" s="17">
        <v>-0.91976688273325091</v>
      </c>
      <c r="BE136" s="17">
        <v>-0.42677322602576007</v>
      </c>
      <c r="BF136" s="17">
        <v>3.7096442480382234E-2</v>
      </c>
      <c r="BK136" s="20">
        <v>7.2148292327391204E-3</v>
      </c>
      <c r="BL136" s="20">
        <v>0.99281760534628349</v>
      </c>
      <c r="BN136" s="21">
        <f t="shared" si="5"/>
        <v>1</v>
      </c>
    </row>
    <row r="137" spans="1:66">
      <c r="A137" s="14">
        <v>12.77</v>
      </c>
      <c r="B137" s="14">
        <v>22.47</v>
      </c>
      <c r="C137" s="14">
        <v>81.72</v>
      </c>
      <c r="D137" s="14">
        <v>506.3</v>
      </c>
      <c r="E137" s="14">
        <v>5.7610000000000001E-2</v>
      </c>
      <c r="F137" s="14">
        <v>4.7109999999999999E-2</v>
      </c>
      <c r="G137" s="14">
        <v>2.7040000000000002E-2</v>
      </c>
      <c r="H137" s="14">
        <v>14.49</v>
      </c>
      <c r="I137" s="14">
        <v>653.6</v>
      </c>
      <c r="J137" s="14">
        <v>9.3310000000000004E-2</v>
      </c>
      <c r="M137" s="16">
        <v>1</v>
      </c>
      <c r="O137" s="12">
        <f t="shared" si="6"/>
        <v>0</v>
      </c>
      <c r="P137" s="12">
        <f t="shared" si="7"/>
        <v>1</v>
      </c>
      <c r="R137" s="17">
        <v>-0.86216493245391179</v>
      </c>
      <c r="S137" s="17">
        <v>0.86592397083683859</v>
      </c>
      <c r="T137" s="17">
        <v>1.1492407566427856</v>
      </c>
      <c r="U137" s="17">
        <v>0.30971288832147947</v>
      </c>
      <c r="V137" s="17">
        <v>1.322038261257461</v>
      </c>
      <c r="W137" s="17">
        <v>-0.54000870393571332</v>
      </c>
      <c r="X137" s="17">
        <v>-0.93446499101467595</v>
      </c>
      <c r="Y137" s="17">
        <v>1.3623707400649003</v>
      </c>
      <c r="Z137" s="17">
        <v>0.73556995189170193</v>
      </c>
      <c r="AA137" s="17">
        <v>1.6983871669386827</v>
      </c>
      <c r="AB137" s="17">
        <v>-1.2113068807979621</v>
      </c>
      <c r="AC137" s="17">
        <v>1.5906603286575782</v>
      </c>
      <c r="AD137" s="17">
        <v>-0.8593627097567913</v>
      </c>
      <c r="AE137" s="17">
        <v>1.3374666300864129</v>
      </c>
      <c r="AF137" s="17">
        <v>1.6049118769290147</v>
      </c>
      <c r="AG137" s="17">
        <v>1.3481853892245086</v>
      </c>
      <c r="AH137" s="17">
        <v>0.33128292594394448</v>
      </c>
      <c r="AI137" s="17">
        <v>-1.6572512841003593</v>
      </c>
      <c r="AJ137" s="17">
        <v>-0.4315878441673433</v>
      </c>
      <c r="AK137" s="17">
        <v>0.33764473920497184</v>
      </c>
      <c r="AM137" s="17">
        <v>-0.72629216828247989</v>
      </c>
      <c r="AN137" s="17">
        <v>0.70762456551408692</v>
      </c>
      <c r="AO137" s="17">
        <v>0.80358681106087737</v>
      </c>
      <c r="AP137" s="17">
        <v>0.31497029355174433</v>
      </c>
      <c r="AQ137" s="17">
        <v>0.87161254972045343</v>
      </c>
      <c r="AR137" s="17">
        <v>-0.54406020042288816</v>
      </c>
      <c r="AS137" s="17">
        <v>-0.75574796865420102</v>
      </c>
      <c r="AT137" s="17">
        <v>0.86549872562372887</v>
      </c>
      <c r="AU137" s="17">
        <v>0.68269612435227844</v>
      </c>
      <c r="AV137" s="17">
        <v>0.92901114255668205</v>
      </c>
      <c r="AW137" s="17">
        <v>-0.80793764827461945</v>
      </c>
      <c r="AX137" s="17">
        <v>0.91198011740094009</v>
      </c>
      <c r="AY137" s="17">
        <v>-0.69367503654207219</v>
      </c>
      <c r="AZ137" s="17">
        <v>0.87906826429294926</v>
      </c>
      <c r="BA137" s="17">
        <v>0.90003615733162845</v>
      </c>
      <c r="BB137" s="17">
        <v>0.84679851277845675</v>
      </c>
      <c r="BC137" s="17">
        <v>0.33929682416194035</v>
      </c>
      <c r="BD137" s="17">
        <v>-0.92910511391383643</v>
      </c>
      <c r="BE137" s="17">
        <v>-0.41676161186703986</v>
      </c>
      <c r="BF137" s="17">
        <v>0.35808715109782563</v>
      </c>
      <c r="BK137" s="20">
        <v>-5.7706051490775789E-2</v>
      </c>
      <c r="BL137" s="20">
        <v>1.0574295003982186</v>
      </c>
      <c r="BN137" s="21">
        <f t="shared" si="5"/>
        <v>1</v>
      </c>
    </row>
    <row r="138" spans="1:66">
      <c r="A138" s="14">
        <v>11.71</v>
      </c>
      <c r="B138" s="14">
        <v>16.670000000000002</v>
      </c>
      <c r="C138" s="14">
        <v>74.72</v>
      </c>
      <c r="D138" s="14">
        <v>423.6</v>
      </c>
      <c r="E138" s="14">
        <v>6.0949999999999997E-2</v>
      </c>
      <c r="F138" s="14">
        <v>3.5920000000000001E-2</v>
      </c>
      <c r="G138" s="14">
        <v>2.5999999999999999E-2</v>
      </c>
      <c r="H138" s="14">
        <v>13.33</v>
      </c>
      <c r="I138" s="14">
        <v>546.70000000000005</v>
      </c>
      <c r="J138" s="14">
        <v>6.9680000000000006E-2</v>
      </c>
      <c r="M138" s="16">
        <v>0</v>
      </c>
      <c r="O138" s="12">
        <f t="shared" si="6"/>
        <v>1</v>
      </c>
      <c r="P138" s="12">
        <f t="shared" si="7"/>
        <v>0</v>
      </c>
      <c r="R138" s="17">
        <v>-0.86216493245391179</v>
      </c>
      <c r="S138" s="17">
        <v>0.86592397083683859</v>
      </c>
      <c r="T138" s="17">
        <v>1.1492407566427856</v>
      </c>
      <c r="U138" s="17">
        <v>0.30971288832147947</v>
      </c>
      <c r="V138" s="17">
        <v>1.322038261257461</v>
      </c>
      <c r="W138" s="17">
        <v>-0.54000870393571332</v>
      </c>
      <c r="X138" s="17">
        <v>-0.93446499101467595</v>
      </c>
      <c r="Y138" s="17">
        <v>1.3623707400649003</v>
      </c>
      <c r="Z138" s="17">
        <v>0.73556995189170193</v>
      </c>
      <c r="AA138" s="17">
        <v>1.6983871669386827</v>
      </c>
      <c r="AB138" s="17">
        <v>-1.2113068807979621</v>
      </c>
      <c r="AC138" s="17">
        <v>1.5906603286575782</v>
      </c>
      <c r="AD138" s="17">
        <v>-0.8593627097567913</v>
      </c>
      <c r="AE138" s="17">
        <v>1.3374666300864129</v>
      </c>
      <c r="AF138" s="17">
        <v>1.6049118769290147</v>
      </c>
      <c r="AG138" s="17">
        <v>1.3481853892245086</v>
      </c>
      <c r="AH138" s="17">
        <v>0.33128292594394448</v>
      </c>
      <c r="AI138" s="17">
        <v>-1.6572512841003593</v>
      </c>
      <c r="AJ138" s="17">
        <v>-0.4315878441673433</v>
      </c>
      <c r="AK138" s="17">
        <v>0.36870307174160488</v>
      </c>
      <c r="AM138" s="17">
        <v>-0.93720148065166442</v>
      </c>
      <c r="AN138" s="17">
        <v>0.79712935124854767</v>
      </c>
      <c r="AO138" s="17">
        <v>-0.36441566094303102</v>
      </c>
      <c r="AP138" s="17">
        <v>0.4971160131994587</v>
      </c>
      <c r="AQ138" s="17">
        <v>0.91448813155526043</v>
      </c>
      <c r="AR138" s="17">
        <v>-0.91654611430630983</v>
      </c>
      <c r="AS138" s="17">
        <v>-0.93316338770187957</v>
      </c>
      <c r="AT138" s="17">
        <v>0.55344272287691965</v>
      </c>
      <c r="AU138" s="17">
        <v>0.97499219503305246</v>
      </c>
      <c r="AV138" s="17">
        <v>0.74208251888566101</v>
      </c>
      <c r="AW138" s="17">
        <v>0.15845399272124613</v>
      </c>
      <c r="AX138" s="17">
        <v>0.65672764920949978</v>
      </c>
      <c r="AY138" s="17">
        <v>-0.6493742818636411</v>
      </c>
      <c r="AZ138" s="17">
        <v>0.94827513837050348</v>
      </c>
      <c r="BA138" s="17">
        <v>-0.38344319028443541</v>
      </c>
      <c r="BB138" s="17">
        <v>-0.21908629635140323</v>
      </c>
      <c r="BC138" s="17">
        <v>0.5722979235241652</v>
      </c>
      <c r="BD138" s="17">
        <v>-0.91162719413070303</v>
      </c>
      <c r="BE138" s="17">
        <v>-0.53886050789677964</v>
      </c>
      <c r="BF138" s="17">
        <v>-0.31144399913800402</v>
      </c>
      <c r="BK138" s="20">
        <v>1.0370790433338857</v>
      </c>
      <c r="BL138" s="20">
        <v>-3.7053582960695504E-2</v>
      </c>
      <c r="BN138" s="21">
        <f t="shared" si="5"/>
        <v>0</v>
      </c>
    </row>
    <row r="139" spans="1:66">
      <c r="A139" s="14">
        <v>11.43</v>
      </c>
      <c r="B139" s="14">
        <v>15.39</v>
      </c>
      <c r="C139" s="14">
        <v>73.06</v>
      </c>
      <c r="D139" s="14">
        <v>399.8</v>
      </c>
      <c r="E139" s="14">
        <v>6.8890000000000007E-2</v>
      </c>
      <c r="F139" s="14">
        <v>3.5029999999999999E-2</v>
      </c>
      <c r="G139" s="14">
        <v>2.8750000000000001E-2</v>
      </c>
      <c r="H139" s="14">
        <v>12.32</v>
      </c>
      <c r="I139" s="14">
        <v>462</v>
      </c>
      <c r="J139" s="14">
        <v>8.4760000000000002E-2</v>
      </c>
      <c r="M139" s="16">
        <v>0</v>
      </c>
      <c r="O139" s="12">
        <f t="shared" si="6"/>
        <v>1</v>
      </c>
      <c r="P139" s="12">
        <f t="shared" si="7"/>
        <v>0</v>
      </c>
      <c r="R139" s="17">
        <v>-1.4643074708783446</v>
      </c>
      <c r="S139" s="17">
        <v>1.0359333700219733</v>
      </c>
      <c r="T139" s="17">
        <v>0.4503249130137873</v>
      </c>
      <c r="U139" s="17">
        <v>0.47751119115197871</v>
      </c>
      <c r="V139" s="17">
        <v>1.5052132201123889</v>
      </c>
      <c r="W139" s="17">
        <v>-1.2567352733816861</v>
      </c>
      <c r="X139" s="17">
        <v>-1.4659127711484521</v>
      </c>
      <c r="Y139" s="17">
        <v>0.877385815472147</v>
      </c>
      <c r="Z139" s="17">
        <v>1.7463530467411736</v>
      </c>
      <c r="AA139" s="17">
        <v>1.2163845753889837</v>
      </c>
      <c r="AB139" s="17">
        <v>-0.28839333793737798</v>
      </c>
      <c r="AC139" s="17">
        <v>1.0652147513376473</v>
      </c>
      <c r="AD139" s="17">
        <v>-0.81583654438301023</v>
      </c>
      <c r="AE139" s="17">
        <v>1.6894094608623824</v>
      </c>
      <c r="AF139" s="17">
        <v>0.2496334827590041</v>
      </c>
      <c r="AG139" s="17">
        <v>0.29010426800531797</v>
      </c>
      <c r="AH139" s="17">
        <v>0.55723475600471262</v>
      </c>
      <c r="AI139" s="17">
        <v>-1.603629768829455</v>
      </c>
      <c r="AJ139" s="17">
        <v>-0.55690825498325469</v>
      </c>
      <c r="AK139" s="17">
        <v>-1.5874378696575175</v>
      </c>
      <c r="AM139" s="17">
        <v>-0.76377132897960376</v>
      </c>
      <c r="AN139" s="17">
        <v>0.70843761196508614</v>
      </c>
      <c r="AO139" s="17">
        <v>0.70896695487320482</v>
      </c>
      <c r="AP139" s="17">
        <v>0.33379129504373112</v>
      </c>
      <c r="AQ139" s="17">
        <v>0.86867114398084744</v>
      </c>
      <c r="AR139" s="17">
        <v>-0.62163311438993674</v>
      </c>
      <c r="AS139" s="17">
        <v>-0.78355102382066166</v>
      </c>
      <c r="AT139" s="17">
        <v>0.82541688076752706</v>
      </c>
      <c r="AU139" s="17">
        <v>0.7620739558340146</v>
      </c>
      <c r="AV139" s="17">
        <v>0.9048656206656509</v>
      </c>
      <c r="AW139" s="17">
        <v>-0.71700764188959487</v>
      </c>
      <c r="AX139" s="17">
        <v>0.8814027899282697</v>
      </c>
      <c r="AY139" s="17">
        <v>-0.67291431469348895</v>
      </c>
      <c r="AZ139" s="17">
        <v>0.88344590537270107</v>
      </c>
      <c r="BA139" s="17">
        <v>0.81977377597349366</v>
      </c>
      <c r="BB139" s="17">
        <v>0.75923565101141932</v>
      </c>
      <c r="BC139" s="17">
        <v>0.36676530576710831</v>
      </c>
      <c r="BD139" s="17">
        <v>-0.91898821314561052</v>
      </c>
      <c r="BE139" s="17">
        <v>-0.42381836939266609</v>
      </c>
      <c r="BF139" s="17">
        <v>2.7527466745199708E-2</v>
      </c>
      <c r="BK139" s="20">
        <v>-2.7710354155517349E-2</v>
      </c>
      <c r="BL139" s="20">
        <v>1.0277149809537869</v>
      </c>
      <c r="BN139" s="21">
        <f t="shared" si="5"/>
        <v>1</v>
      </c>
    </row>
    <row r="140" spans="1:66">
      <c r="A140" s="14">
        <v>14.95</v>
      </c>
      <c r="B140" s="14">
        <v>17.57</v>
      </c>
      <c r="C140" s="14">
        <v>96.85</v>
      </c>
      <c r="D140" s="14">
        <v>678.1</v>
      </c>
      <c r="E140" s="14">
        <v>0.1305</v>
      </c>
      <c r="F140" s="14">
        <v>0.15390000000000001</v>
      </c>
      <c r="G140" s="14">
        <v>8.6239999999999997E-2</v>
      </c>
      <c r="H140" s="14">
        <v>18.55</v>
      </c>
      <c r="I140" s="14">
        <v>971.4</v>
      </c>
      <c r="J140" s="14">
        <v>0.16669999999999999</v>
      </c>
      <c r="M140" s="16">
        <v>1</v>
      </c>
      <c r="O140" s="12">
        <f t="shared" si="6"/>
        <v>0</v>
      </c>
      <c r="P140" s="12">
        <f t="shared" si="7"/>
        <v>1</v>
      </c>
      <c r="R140" s="17">
        <v>-0.86216493245391179</v>
      </c>
      <c r="S140" s="17">
        <v>0.86592397083683859</v>
      </c>
      <c r="T140" s="17">
        <v>1.1492407566427856</v>
      </c>
      <c r="U140" s="17">
        <v>0.30971288832147947</v>
      </c>
      <c r="V140" s="17">
        <v>1.322038261257461</v>
      </c>
      <c r="W140" s="17">
        <v>-0.54000870393571332</v>
      </c>
      <c r="X140" s="17">
        <v>-0.93446499101467595</v>
      </c>
      <c r="Y140" s="17">
        <v>1.3623707400649003</v>
      </c>
      <c r="Z140" s="17">
        <v>0.73556995189170193</v>
      </c>
      <c r="AA140" s="17">
        <v>1.6983871669386827</v>
      </c>
      <c r="AB140" s="17">
        <v>-1.2113068807979621</v>
      </c>
      <c r="AC140" s="17">
        <v>1.5906603286575782</v>
      </c>
      <c r="AD140" s="17">
        <v>-0.8593627097567913</v>
      </c>
      <c r="AE140" s="17">
        <v>1.3374666300864129</v>
      </c>
      <c r="AF140" s="17">
        <v>1.6049118769290147</v>
      </c>
      <c r="AG140" s="17">
        <v>1.3481853892245086</v>
      </c>
      <c r="AH140" s="17">
        <v>0.33128292594394448</v>
      </c>
      <c r="AI140" s="17">
        <v>-1.6572512841003593</v>
      </c>
      <c r="AJ140" s="17">
        <v>-0.4315878441673433</v>
      </c>
      <c r="AK140" s="17">
        <v>0.36873101600642622</v>
      </c>
      <c r="AM140" s="17">
        <v>-0.68271477671877423</v>
      </c>
      <c r="AN140" s="17">
        <v>0.67081721762505653</v>
      </c>
      <c r="AO140" s="17">
        <v>0.75657184357438445</v>
      </c>
      <c r="AP140" s="17">
        <v>0.28838617359454666</v>
      </c>
      <c r="AQ140" s="17">
        <v>0.84418500441398947</v>
      </c>
      <c r="AR140" s="17">
        <v>-0.49485528303533977</v>
      </c>
      <c r="AS140" s="17">
        <v>-0.71483455715296007</v>
      </c>
      <c r="AT140" s="17">
        <v>0.84361970370783557</v>
      </c>
      <c r="AU140" s="17">
        <v>0.62972061083649666</v>
      </c>
      <c r="AV140" s="17">
        <v>0.91296835813785115</v>
      </c>
      <c r="AW140" s="17">
        <v>-0.78865728046032779</v>
      </c>
      <c r="AX140" s="17">
        <v>0.89424214578770933</v>
      </c>
      <c r="AY140" s="17">
        <v>-0.66043217772331519</v>
      </c>
      <c r="AZ140" s="17">
        <v>0.85100594709777666</v>
      </c>
      <c r="BA140" s="17">
        <v>0.88686996121772788</v>
      </c>
      <c r="BB140" s="17">
        <v>0.82955952041578362</v>
      </c>
      <c r="BC140" s="17">
        <v>0.30969804321569233</v>
      </c>
      <c r="BD140" s="17">
        <v>-0.91079617046286243</v>
      </c>
      <c r="BE140" s="17">
        <v>-0.38610436081525018</v>
      </c>
      <c r="BF140" s="17">
        <v>-0.22173207115569896</v>
      </c>
      <c r="BK140" s="20">
        <v>7.7384616344200463E-3</v>
      </c>
      <c r="BL140" s="20">
        <v>0.99221687104389544</v>
      </c>
      <c r="BN140" s="21">
        <f t="shared" si="5"/>
        <v>1</v>
      </c>
    </row>
    <row r="141" spans="1:66">
      <c r="A141" s="14">
        <v>11.28</v>
      </c>
      <c r="B141" s="14">
        <v>13.39</v>
      </c>
      <c r="C141" s="14">
        <v>73</v>
      </c>
      <c r="D141" s="14">
        <v>384.8</v>
      </c>
      <c r="E141" s="14">
        <v>0.11360000000000001</v>
      </c>
      <c r="F141" s="14">
        <v>4.6350000000000002E-2</v>
      </c>
      <c r="G141" s="14">
        <v>4.7960000000000003E-2</v>
      </c>
      <c r="H141" s="14">
        <v>11.92</v>
      </c>
      <c r="I141" s="14">
        <v>434</v>
      </c>
      <c r="J141" s="14">
        <v>8.6110000000000006E-2</v>
      </c>
      <c r="M141" s="16">
        <v>0</v>
      </c>
      <c r="O141" s="12">
        <f t="shared" si="6"/>
        <v>1</v>
      </c>
      <c r="P141" s="12">
        <f t="shared" si="7"/>
        <v>0</v>
      </c>
      <c r="R141" s="17">
        <v>-0.86216493245391179</v>
      </c>
      <c r="S141" s="17">
        <v>0.86592397083683859</v>
      </c>
      <c r="T141" s="17">
        <v>1.1492407566427856</v>
      </c>
      <c r="U141" s="17">
        <v>0.30971288832147947</v>
      </c>
      <c r="V141" s="17">
        <v>1.322038261257461</v>
      </c>
      <c r="W141" s="17">
        <v>-0.54000870393571332</v>
      </c>
      <c r="X141" s="17">
        <v>-0.93446499101467595</v>
      </c>
      <c r="Y141" s="17">
        <v>1.3623707400649003</v>
      </c>
      <c r="Z141" s="17">
        <v>0.73556995189170193</v>
      </c>
      <c r="AA141" s="17">
        <v>1.6983871669386827</v>
      </c>
      <c r="AB141" s="17">
        <v>-1.2113068807979621</v>
      </c>
      <c r="AC141" s="17">
        <v>1.5906603286575782</v>
      </c>
      <c r="AD141" s="17">
        <v>-0.8593627097567913</v>
      </c>
      <c r="AE141" s="17">
        <v>1.3374666300864129</v>
      </c>
      <c r="AF141" s="17">
        <v>1.6049118769290147</v>
      </c>
      <c r="AG141" s="17">
        <v>1.3481853892245086</v>
      </c>
      <c r="AH141" s="17">
        <v>0.33128292594394448</v>
      </c>
      <c r="AI141" s="17">
        <v>-1.6572512841003593</v>
      </c>
      <c r="AJ141" s="17">
        <v>-0.4315878441673433</v>
      </c>
      <c r="AK141" s="17">
        <v>0.36873422441298775</v>
      </c>
      <c r="AM141" s="17">
        <v>-0.77867060751321793</v>
      </c>
      <c r="AN141" s="17">
        <v>0.73817072092694502</v>
      </c>
      <c r="AO141" s="17">
        <v>0.80635472854852863</v>
      </c>
      <c r="AP141" s="17">
        <v>0.34797924129444735</v>
      </c>
      <c r="AQ141" s="17">
        <v>0.8911312410309491</v>
      </c>
      <c r="AR141" s="17">
        <v>-0.62355900071192816</v>
      </c>
      <c r="AS141" s="17">
        <v>-0.80102528589990574</v>
      </c>
      <c r="AT141" s="17">
        <v>0.86574713335369557</v>
      </c>
      <c r="AU141" s="17">
        <v>0.76302109973180587</v>
      </c>
      <c r="AV141" s="17">
        <v>0.93136758564239608</v>
      </c>
      <c r="AW141" s="17">
        <v>-0.78441758579337018</v>
      </c>
      <c r="AX141" s="17">
        <v>0.91307871480375624</v>
      </c>
      <c r="AY141" s="17">
        <v>-0.71160009133038726</v>
      </c>
      <c r="AZ141" s="17">
        <v>0.90191839304691257</v>
      </c>
      <c r="BA141" s="17">
        <v>0.87861040699075632</v>
      </c>
      <c r="BB141" s="17">
        <v>0.82396989284118749</v>
      </c>
      <c r="BC141" s="17">
        <v>0.37920473681004063</v>
      </c>
      <c r="BD141" s="17">
        <v>-0.9383571133531502</v>
      </c>
      <c r="BE141" s="17">
        <v>-0.44709586693965875</v>
      </c>
      <c r="BF141" s="17">
        <v>0.18604802188201441</v>
      </c>
      <c r="BK141" s="20">
        <v>0.97156175295084979</v>
      </c>
      <c r="BL141" s="20">
        <v>2.8432451125798758E-2</v>
      </c>
      <c r="BN141" s="21">
        <f t="shared" si="5"/>
        <v>0</v>
      </c>
    </row>
    <row r="142" spans="1:66">
      <c r="A142" s="14">
        <v>9.7379999999999995</v>
      </c>
      <c r="B142" s="14">
        <v>11.97</v>
      </c>
      <c r="C142" s="14">
        <v>61.24</v>
      </c>
      <c r="D142" s="14">
        <v>288.5</v>
      </c>
      <c r="E142" s="14">
        <v>4.1020000000000001E-2</v>
      </c>
      <c r="F142" s="14">
        <v>0</v>
      </c>
      <c r="G142" s="14">
        <v>0</v>
      </c>
      <c r="H142" s="14">
        <v>10.62</v>
      </c>
      <c r="I142" s="14">
        <v>342.9</v>
      </c>
      <c r="J142" s="14">
        <v>0</v>
      </c>
      <c r="M142" s="16">
        <v>0</v>
      </c>
      <c r="O142" s="12">
        <f t="shared" si="6"/>
        <v>1</v>
      </c>
      <c r="P142" s="12">
        <f t="shared" si="7"/>
        <v>0</v>
      </c>
      <c r="R142" s="17">
        <v>-1.4643074708783446</v>
      </c>
      <c r="S142" s="17">
        <v>1.0359333700219733</v>
      </c>
      <c r="T142" s="17">
        <v>0.4503249130137873</v>
      </c>
      <c r="U142" s="17">
        <v>0.47751119115197871</v>
      </c>
      <c r="V142" s="17">
        <v>1.5052132201123889</v>
      </c>
      <c r="W142" s="17">
        <v>-1.2567352733816861</v>
      </c>
      <c r="X142" s="17">
        <v>-1.4659127711484521</v>
      </c>
      <c r="Y142" s="17">
        <v>0.877385815472147</v>
      </c>
      <c r="Z142" s="17">
        <v>1.7463530467411736</v>
      </c>
      <c r="AA142" s="17">
        <v>1.2163845753889837</v>
      </c>
      <c r="AB142" s="17">
        <v>-0.28839333793737798</v>
      </c>
      <c r="AC142" s="17">
        <v>1.0652147513376473</v>
      </c>
      <c r="AD142" s="17">
        <v>-0.81583654438301023</v>
      </c>
      <c r="AE142" s="17">
        <v>1.6894094608623824</v>
      </c>
      <c r="AF142" s="17">
        <v>0.2496334827590041</v>
      </c>
      <c r="AG142" s="17">
        <v>0.29010426800531797</v>
      </c>
      <c r="AH142" s="17">
        <v>0.55723475600471262</v>
      </c>
      <c r="AI142" s="17">
        <v>-1.603629768829455</v>
      </c>
      <c r="AJ142" s="17">
        <v>-0.55690825498325469</v>
      </c>
      <c r="AK142" s="17">
        <v>0.41256201738018505</v>
      </c>
      <c r="AM142" s="17">
        <v>-0.80506111512940837</v>
      </c>
      <c r="AN142" s="17">
        <v>0.7553109314873705</v>
      </c>
      <c r="AO142" s="17">
        <v>0.78440988372592757</v>
      </c>
      <c r="AP142" s="17">
        <v>0.36702295613693925</v>
      </c>
      <c r="AQ142" s="17">
        <v>0.90163194142886405</v>
      </c>
      <c r="AR142" s="17">
        <v>-0.66430871919749801</v>
      </c>
      <c r="AS142" s="17">
        <v>-0.8240233144036595</v>
      </c>
      <c r="AT142" s="17">
        <v>0.86697110088963159</v>
      </c>
      <c r="AU142" s="17">
        <v>0.80081866928673617</v>
      </c>
      <c r="AV142" s="17">
        <v>0.93336102559521905</v>
      </c>
      <c r="AW142" s="17">
        <v>-0.77168263079004196</v>
      </c>
      <c r="AX142" s="17">
        <v>0.91452550227691565</v>
      </c>
      <c r="AY142" s="17">
        <v>-0.72260084034724459</v>
      </c>
      <c r="AZ142" s="17">
        <v>0.91360917924350982</v>
      </c>
      <c r="BA142" s="17">
        <v>0.86603678983795518</v>
      </c>
      <c r="BB142" s="17">
        <v>0.81130367863772834</v>
      </c>
      <c r="BC142" s="17">
        <v>0.4019305943879985</v>
      </c>
      <c r="BD142" s="17">
        <v>-0.94361548928174654</v>
      </c>
      <c r="BE142" s="17">
        <v>-0.4647922149302669</v>
      </c>
      <c r="BF142" s="17">
        <v>-4.3564845978052255E-2</v>
      </c>
      <c r="BK142" s="20">
        <v>1.0353448416574842</v>
      </c>
      <c r="BL142" s="20">
        <v>-3.5385655859747532E-2</v>
      </c>
      <c r="BN142" s="21">
        <f t="shared" si="5"/>
        <v>0</v>
      </c>
    </row>
    <row r="143" spans="1:66">
      <c r="A143" s="14">
        <v>16.11</v>
      </c>
      <c r="B143" s="14">
        <v>18.05</v>
      </c>
      <c r="C143" s="14">
        <v>105.1</v>
      </c>
      <c r="D143" s="14">
        <v>813</v>
      </c>
      <c r="E143" s="14">
        <v>0.1137</v>
      </c>
      <c r="F143" s="14">
        <v>9.4469999999999998E-2</v>
      </c>
      <c r="G143" s="14">
        <v>5.9429999999999997E-2</v>
      </c>
      <c r="H143" s="14">
        <v>19.920000000000002</v>
      </c>
      <c r="I143" s="14">
        <v>1233</v>
      </c>
      <c r="J143" s="14">
        <v>0.1216</v>
      </c>
      <c r="M143" s="16">
        <v>1</v>
      </c>
      <c r="O143" s="12">
        <f t="shared" si="6"/>
        <v>0</v>
      </c>
      <c r="P143" s="12">
        <f t="shared" si="7"/>
        <v>1</v>
      </c>
      <c r="R143" s="17">
        <v>-0.86216493245391179</v>
      </c>
      <c r="S143" s="17">
        <v>0.86592397083683859</v>
      </c>
      <c r="T143" s="17">
        <v>1.1492407566427856</v>
      </c>
      <c r="U143" s="17">
        <v>0.30971288832147947</v>
      </c>
      <c r="V143" s="17">
        <v>1.322038261257461</v>
      </c>
      <c r="W143" s="17">
        <v>-0.54000870393571332</v>
      </c>
      <c r="X143" s="17">
        <v>-0.93446499101467595</v>
      </c>
      <c r="Y143" s="17">
        <v>1.3623707400649003</v>
      </c>
      <c r="Z143" s="17">
        <v>0.73556995189170193</v>
      </c>
      <c r="AA143" s="17">
        <v>1.6983871669386827</v>
      </c>
      <c r="AB143" s="17">
        <v>-1.2113068807979621</v>
      </c>
      <c r="AC143" s="17">
        <v>1.5906603286575782</v>
      </c>
      <c r="AD143" s="17">
        <v>-0.8593627097567913</v>
      </c>
      <c r="AE143" s="17">
        <v>1.3374666300864129</v>
      </c>
      <c r="AF143" s="17">
        <v>1.6049118769290147</v>
      </c>
      <c r="AG143" s="17">
        <v>1.3481853892245086</v>
      </c>
      <c r="AH143" s="17">
        <v>0.33128292594394448</v>
      </c>
      <c r="AI143" s="17">
        <v>-1.6572512841003593</v>
      </c>
      <c r="AJ143" s="17">
        <v>-0.4315878441673433</v>
      </c>
      <c r="AK143" s="17">
        <v>0.3687278058723148</v>
      </c>
      <c r="AM143" s="17">
        <v>-0.6843539185581351</v>
      </c>
      <c r="AN143" s="17">
        <v>0.69268388413923443</v>
      </c>
      <c r="AO143" s="17">
        <v>0.82356675603110097</v>
      </c>
      <c r="AP143" s="17">
        <v>0.2932565483728814</v>
      </c>
      <c r="AQ143" s="17">
        <v>0.86290167414735275</v>
      </c>
      <c r="AR143" s="17">
        <v>-0.47374508546250949</v>
      </c>
      <c r="AS143" s="17">
        <v>-0.72154804832917774</v>
      </c>
      <c r="AT143" s="17">
        <v>0.87715281750364027</v>
      </c>
      <c r="AU143" s="17">
        <v>0.60461211603562492</v>
      </c>
      <c r="AV143" s="17">
        <v>0.9349184896066538</v>
      </c>
      <c r="AW143" s="17">
        <v>-0.84138741094147851</v>
      </c>
      <c r="AX143" s="17">
        <v>0.92023881295127974</v>
      </c>
      <c r="AY143" s="17">
        <v>-0.69241658562054242</v>
      </c>
      <c r="AZ143" s="17">
        <v>0.86557257335902893</v>
      </c>
      <c r="BA143" s="17">
        <v>0.92577156518436843</v>
      </c>
      <c r="BB143" s="17">
        <v>0.87761633519893689</v>
      </c>
      <c r="BC143" s="17">
        <v>0.31119176279535099</v>
      </c>
      <c r="BD143" s="17">
        <v>-0.92793627141376123</v>
      </c>
      <c r="BE143" s="17">
        <v>-0.40034257512586807</v>
      </c>
      <c r="BF143" s="17">
        <v>-9.7754094196360455E-2</v>
      </c>
      <c r="BK143" s="20">
        <v>0.99714900789301786</v>
      </c>
      <c r="BL143" s="20">
        <v>2.9061637796816576E-3</v>
      </c>
      <c r="BN143" s="21">
        <f t="shared" si="5"/>
        <v>0</v>
      </c>
    </row>
    <row r="144" spans="1:66">
      <c r="A144" s="14">
        <v>11.43</v>
      </c>
      <c r="B144" s="14">
        <v>17.309999999999999</v>
      </c>
      <c r="C144" s="14">
        <v>73.66</v>
      </c>
      <c r="D144" s="14">
        <v>398</v>
      </c>
      <c r="E144" s="14">
        <v>9.486E-2</v>
      </c>
      <c r="F144" s="14">
        <v>2.0310000000000002E-2</v>
      </c>
      <c r="G144" s="14">
        <v>1.8610000000000002E-2</v>
      </c>
      <c r="H144" s="14">
        <v>12.78</v>
      </c>
      <c r="I144" s="14">
        <v>503</v>
      </c>
      <c r="J144" s="14">
        <v>6.4019999999999994E-2</v>
      </c>
      <c r="M144" s="16">
        <v>0</v>
      </c>
      <c r="O144" s="12">
        <f t="shared" si="6"/>
        <v>1</v>
      </c>
      <c r="P144" s="12">
        <f t="shared" si="7"/>
        <v>0</v>
      </c>
      <c r="R144" s="17">
        <v>-0.86216493245391179</v>
      </c>
      <c r="S144" s="17">
        <v>0.86592397083683859</v>
      </c>
      <c r="T144" s="17">
        <v>1.1492407566427856</v>
      </c>
      <c r="U144" s="17">
        <v>0.30971288832147947</v>
      </c>
      <c r="V144" s="17">
        <v>1.322038261257461</v>
      </c>
      <c r="W144" s="17">
        <v>-0.54000870393571332</v>
      </c>
      <c r="X144" s="17">
        <v>-0.93446499101467595</v>
      </c>
      <c r="Y144" s="17">
        <v>1.3623707400649003</v>
      </c>
      <c r="Z144" s="17">
        <v>0.73556995189170193</v>
      </c>
      <c r="AA144" s="17">
        <v>1.6983871669386827</v>
      </c>
      <c r="AB144" s="17">
        <v>-1.2113068807979621</v>
      </c>
      <c r="AC144" s="17">
        <v>1.5906603286575782</v>
      </c>
      <c r="AD144" s="17">
        <v>-0.8593627097567913</v>
      </c>
      <c r="AE144" s="17">
        <v>1.3374666300864129</v>
      </c>
      <c r="AF144" s="17">
        <v>1.6049118769290147</v>
      </c>
      <c r="AG144" s="17">
        <v>1.3481853892245086</v>
      </c>
      <c r="AH144" s="17">
        <v>0.33128292594394448</v>
      </c>
      <c r="AI144" s="17">
        <v>-1.6572512841003593</v>
      </c>
      <c r="AJ144" s="17">
        <v>-0.4315878441673433</v>
      </c>
      <c r="AK144" s="17">
        <v>-1.4631272329225233</v>
      </c>
      <c r="AM144" s="17">
        <v>-0.66580261332978952</v>
      </c>
      <c r="AN144" s="17">
        <v>0.62776350034407336</v>
      </c>
      <c r="AO144" s="17">
        <v>0.67952127690178166</v>
      </c>
      <c r="AP144" s="17">
        <v>0.2736689771909786</v>
      </c>
      <c r="AQ144" s="17">
        <v>0.80553668054592742</v>
      </c>
      <c r="AR144" s="17">
        <v>-0.50568168670380798</v>
      </c>
      <c r="AS144" s="17">
        <v>-0.69174674945779169</v>
      </c>
      <c r="AT144" s="17">
        <v>0.77840991251300495</v>
      </c>
      <c r="AU144" s="17">
        <v>0.64346455314057127</v>
      </c>
      <c r="AV144" s="17">
        <v>0.86618569640970744</v>
      </c>
      <c r="AW144" s="17">
        <v>-0.68995803022845414</v>
      </c>
      <c r="AX144" s="17">
        <v>0.84032749278841334</v>
      </c>
      <c r="AY144" s="17">
        <v>-0.60339266986939832</v>
      </c>
      <c r="AZ144" s="17">
        <v>0.81894786733136793</v>
      </c>
      <c r="BA144" s="17">
        <v>0.80135126731183626</v>
      </c>
      <c r="BB144" s="17">
        <v>0.73466542068114116</v>
      </c>
      <c r="BC144" s="17">
        <v>0.29839172024546157</v>
      </c>
      <c r="BD144" s="17">
        <v>-0.87447139199215129</v>
      </c>
      <c r="BE144" s="17">
        <v>-0.35759382581088101</v>
      </c>
      <c r="BF144" s="17">
        <v>2.3237809568434568E-2</v>
      </c>
      <c r="BK144" s="20">
        <v>4.4623881156231969E-2</v>
      </c>
      <c r="BL144" s="20">
        <v>0.95543376411094438</v>
      </c>
      <c r="BN144" s="21">
        <f t="shared" si="5"/>
        <v>1</v>
      </c>
    </row>
    <row r="145" spans="1:66">
      <c r="A145" s="14">
        <v>12.9</v>
      </c>
      <c r="B145" s="14">
        <v>15.92</v>
      </c>
      <c r="C145" s="14">
        <v>83.74</v>
      </c>
      <c r="D145" s="14">
        <v>512.20000000000005</v>
      </c>
      <c r="E145" s="14">
        <v>9.5089999999999994E-2</v>
      </c>
      <c r="F145" s="14">
        <v>4.8939999999999997E-2</v>
      </c>
      <c r="G145" s="14">
        <v>3.0880000000000001E-2</v>
      </c>
      <c r="H145" s="14">
        <v>14.48</v>
      </c>
      <c r="I145" s="14">
        <v>643.79999999999995</v>
      </c>
      <c r="J145" s="14">
        <v>0.1012</v>
      </c>
      <c r="M145" s="16">
        <v>0</v>
      </c>
      <c r="O145" s="12">
        <f t="shared" si="6"/>
        <v>1</v>
      </c>
      <c r="P145" s="12">
        <f t="shared" si="7"/>
        <v>0</v>
      </c>
      <c r="R145" s="17">
        <v>-0.86216493245391179</v>
      </c>
      <c r="S145" s="17">
        <v>0.86592397083683859</v>
      </c>
      <c r="T145" s="17">
        <v>1.1492407566427856</v>
      </c>
      <c r="U145" s="17">
        <v>0.30971288832147947</v>
      </c>
      <c r="V145" s="17">
        <v>1.322038261257461</v>
      </c>
      <c r="W145" s="17">
        <v>-0.54000870393571332</v>
      </c>
      <c r="X145" s="17">
        <v>-0.93446499101467595</v>
      </c>
      <c r="Y145" s="17">
        <v>1.3623707400649003</v>
      </c>
      <c r="Z145" s="17">
        <v>0.73556995189170193</v>
      </c>
      <c r="AA145" s="17">
        <v>1.6983871669386827</v>
      </c>
      <c r="AB145" s="17">
        <v>-1.2113068807979621</v>
      </c>
      <c r="AC145" s="17">
        <v>1.5906603286575782</v>
      </c>
      <c r="AD145" s="17">
        <v>-0.8593627097567913</v>
      </c>
      <c r="AE145" s="17">
        <v>1.3374666300864129</v>
      </c>
      <c r="AF145" s="17">
        <v>1.6049118769290147</v>
      </c>
      <c r="AG145" s="17">
        <v>1.3481853892245086</v>
      </c>
      <c r="AH145" s="17">
        <v>0.33128292594394448</v>
      </c>
      <c r="AI145" s="17">
        <v>-1.6572512841003593</v>
      </c>
      <c r="AJ145" s="17">
        <v>-0.4315878441673433</v>
      </c>
      <c r="AK145" s="17">
        <v>0.36873422441298942</v>
      </c>
      <c r="AM145" s="17">
        <v>-0.75995699678229911</v>
      </c>
      <c r="AN145" s="17">
        <v>0.71746566590581873</v>
      </c>
      <c r="AO145" s="17">
        <v>0.74014810998957481</v>
      </c>
      <c r="AP145" s="17">
        <v>0.33361503101437812</v>
      </c>
      <c r="AQ145" s="17">
        <v>0.87650986949394216</v>
      </c>
      <c r="AR145" s="17">
        <v>-0.60468105452194398</v>
      </c>
      <c r="AS145" s="17">
        <v>-0.78270413321853416</v>
      </c>
      <c r="AT145" s="17">
        <v>0.8482990818963615</v>
      </c>
      <c r="AU145" s="17">
        <v>0.74514729608800645</v>
      </c>
      <c r="AV145" s="17">
        <v>0.91953693489697219</v>
      </c>
      <c r="AW145" s="17">
        <v>-0.76182407666341745</v>
      </c>
      <c r="AX145" s="17">
        <v>0.8993344671975334</v>
      </c>
      <c r="AY145" s="17">
        <v>-0.68986352526957428</v>
      </c>
      <c r="AZ145" s="17">
        <v>0.88833258259220871</v>
      </c>
      <c r="BA145" s="17">
        <v>0.86063569428422615</v>
      </c>
      <c r="BB145" s="17">
        <v>0.80287368357661959</v>
      </c>
      <c r="BC145" s="17">
        <v>0.36403532307067255</v>
      </c>
      <c r="BD145" s="17">
        <v>-0.92769433563527015</v>
      </c>
      <c r="BE145" s="17">
        <v>-0.42920578897059503</v>
      </c>
      <c r="BF145" s="17">
        <v>3.1656115008726046E-2</v>
      </c>
      <c r="BK145" s="20">
        <v>0.1038926295272482</v>
      </c>
      <c r="BL145" s="20">
        <v>0.89618479062549006</v>
      </c>
      <c r="BN145" s="21">
        <f t="shared" si="5"/>
        <v>1</v>
      </c>
    </row>
    <row r="146" spans="1:66">
      <c r="A146" s="14">
        <v>10.75</v>
      </c>
      <c r="B146" s="14">
        <v>14.97</v>
      </c>
      <c r="C146" s="14">
        <v>68.260000000000005</v>
      </c>
      <c r="D146" s="14">
        <v>355.3</v>
      </c>
      <c r="E146" s="14">
        <v>5.1389999999999998E-2</v>
      </c>
      <c r="F146" s="14">
        <v>2.2509999999999999E-2</v>
      </c>
      <c r="G146" s="14">
        <v>7.8750000000000001E-3</v>
      </c>
      <c r="H146" s="14">
        <v>11.95</v>
      </c>
      <c r="I146" s="14">
        <v>441.2</v>
      </c>
      <c r="J146" s="14">
        <v>3.4130000000000001E-2</v>
      </c>
      <c r="M146" s="16">
        <v>0</v>
      </c>
      <c r="O146" s="12">
        <f t="shared" si="6"/>
        <v>1</v>
      </c>
      <c r="P146" s="12">
        <f t="shared" si="7"/>
        <v>0</v>
      </c>
      <c r="R146" s="17">
        <v>-0.86216493245391179</v>
      </c>
      <c r="S146" s="17">
        <v>0.86592397083683859</v>
      </c>
      <c r="T146" s="17">
        <v>1.1492407566427856</v>
      </c>
      <c r="U146" s="17">
        <v>0.30971288832147947</v>
      </c>
      <c r="V146" s="17">
        <v>1.322038261257461</v>
      </c>
      <c r="W146" s="17">
        <v>-0.54000870393571332</v>
      </c>
      <c r="X146" s="17">
        <v>-0.93446499101467595</v>
      </c>
      <c r="Y146" s="17">
        <v>1.3623707400649003</v>
      </c>
      <c r="Z146" s="17">
        <v>0.73556995189170193</v>
      </c>
      <c r="AA146" s="17">
        <v>1.6983871669386827</v>
      </c>
      <c r="AB146" s="17">
        <v>-1.2113068807979621</v>
      </c>
      <c r="AC146" s="17">
        <v>1.5906603286575782</v>
      </c>
      <c r="AD146" s="17">
        <v>-0.8593627097567913</v>
      </c>
      <c r="AE146" s="17">
        <v>1.3374666300864129</v>
      </c>
      <c r="AF146" s="17">
        <v>1.6049118769290147</v>
      </c>
      <c r="AG146" s="17">
        <v>1.3481853892245086</v>
      </c>
      <c r="AH146" s="17">
        <v>0.33128292594394448</v>
      </c>
      <c r="AI146" s="17">
        <v>-1.6572512841003593</v>
      </c>
      <c r="AJ146" s="17">
        <v>-0.4315878441673433</v>
      </c>
      <c r="AK146" s="17">
        <v>0.36873422441298942</v>
      </c>
      <c r="AM146" s="17">
        <v>-0.5899269057993265</v>
      </c>
      <c r="AN146" s="17">
        <v>0.64197603530481673</v>
      </c>
      <c r="AO146" s="17">
        <v>0.81099830978033616</v>
      </c>
      <c r="AP146" s="17">
        <v>0.24720652090711354</v>
      </c>
      <c r="AQ146" s="17">
        <v>0.826467673038766</v>
      </c>
      <c r="AR146" s="17">
        <v>-0.34617957450387354</v>
      </c>
      <c r="AS146" s="17">
        <v>-0.63928117703940668</v>
      </c>
      <c r="AT146" s="17">
        <v>0.8712750793344225</v>
      </c>
      <c r="AU146" s="17">
        <v>0.45058726088574214</v>
      </c>
      <c r="AV146" s="17">
        <v>0.92825043765651227</v>
      </c>
      <c r="AW146" s="17">
        <v>-0.8569055065523622</v>
      </c>
      <c r="AX146" s="17">
        <v>0.91460808771944391</v>
      </c>
      <c r="AY146" s="17">
        <v>-0.66140730386948154</v>
      </c>
      <c r="AZ146" s="17">
        <v>0.82089954930090325</v>
      </c>
      <c r="BA146" s="17">
        <v>0.93818821761071081</v>
      </c>
      <c r="BB146" s="17">
        <v>0.89210727099693188</v>
      </c>
      <c r="BC146" s="17">
        <v>0.25556415967542645</v>
      </c>
      <c r="BD146" s="17">
        <v>-0.91009551882604611</v>
      </c>
      <c r="BE146" s="17">
        <v>-0.35573297077644456</v>
      </c>
      <c r="BF146" s="17">
        <v>-0.28697629311447209</v>
      </c>
      <c r="BK146" s="20">
        <v>0.631503080848972</v>
      </c>
      <c r="BL146" s="20">
        <v>0.36876297224002169</v>
      </c>
      <c r="BN146" s="21">
        <f t="shared" si="5"/>
        <v>0</v>
      </c>
    </row>
    <row r="147" spans="1:66">
      <c r="A147" s="14">
        <v>11.9</v>
      </c>
      <c r="B147" s="14">
        <v>14.65</v>
      </c>
      <c r="C147" s="14">
        <v>78.11</v>
      </c>
      <c r="D147" s="14">
        <v>432.8</v>
      </c>
      <c r="E147" s="14">
        <v>0.12959999999999999</v>
      </c>
      <c r="F147" s="14">
        <v>3.7100000000000001E-2</v>
      </c>
      <c r="G147" s="14">
        <v>3.0030000000000001E-2</v>
      </c>
      <c r="H147" s="14">
        <v>13.15</v>
      </c>
      <c r="I147" s="14">
        <v>509.6</v>
      </c>
      <c r="J147" s="14">
        <v>6.0420000000000001E-2</v>
      </c>
      <c r="M147" s="16">
        <v>0</v>
      </c>
      <c r="O147" s="12">
        <f t="shared" si="6"/>
        <v>1</v>
      </c>
      <c r="P147" s="12">
        <f t="shared" si="7"/>
        <v>0</v>
      </c>
      <c r="R147" s="17">
        <v>-0.86216493245391179</v>
      </c>
      <c r="S147" s="17">
        <v>0.86592397083683859</v>
      </c>
      <c r="T147" s="17">
        <v>1.1492407566427856</v>
      </c>
      <c r="U147" s="17">
        <v>0.30971288832147947</v>
      </c>
      <c r="V147" s="17">
        <v>1.322038261257461</v>
      </c>
      <c r="W147" s="17">
        <v>-0.54000870393571332</v>
      </c>
      <c r="X147" s="17">
        <v>-0.93446499101467595</v>
      </c>
      <c r="Y147" s="17">
        <v>1.3623707400649003</v>
      </c>
      <c r="Z147" s="17">
        <v>0.73556995189170193</v>
      </c>
      <c r="AA147" s="17">
        <v>1.6983871669386827</v>
      </c>
      <c r="AB147" s="17">
        <v>-1.2113068807979621</v>
      </c>
      <c r="AC147" s="17">
        <v>1.5906603286575782</v>
      </c>
      <c r="AD147" s="17">
        <v>-0.8593627097567913</v>
      </c>
      <c r="AE147" s="17">
        <v>1.3374666300864129</v>
      </c>
      <c r="AF147" s="17">
        <v>1.6049118769290147</v>
      </c>
      <c r="AG147" s="17">
        <v>1.3481853892245086</v>
      </c>
      <c r="AH147" s="17">
        <v>0.33128292594394448</v>
      </c>
      <c r="AI147" s="17">
        <v>-1.6572512841003593</v>
      </c>
      <c r="AJ147" s="17">
        <v>-0.4315878441673433</v>
      </c>
      <c r="AK147" s="17">
        <v>0.36873396795352498</v>
      </c>
      <c r="AM147" s="17">
        <v>-0.87741303654828084</v>
      </c>
      <c r="AN147" s="17">
        <v>0.76619952901702038</v>
      </c>
      <c r="AO147" s="17">
        <v>0.32307932175259907</v>
      </c>
      <c r="AP147" s="17">
        <v>0.42193651515680369</v>
      </c>
      <c r="AQ147" s="17">
        <v>0.90156028373762431</v>
      </c>
      <c r="AR147" s="17">
        <v>-0.81280273891261234</v>
      </c>
      <c r="AS147" s="17">
        <v>-0.88065442876280142</v>
      </c>
      <c r="AT147" s="17">
        <v>0.74819506563380922</v>
      </c>
      <c r="AU147" s="17">
        <v>0.91779576858762746</v>
      </c>
      <c r="AV147" s="17">
        <v>0.86405267312708589</v>
      </c>
      <c r="AW147" s="17">
        <v>-0.42603767723636549</v>
      </c>
      <c r="AX147" s="17">
        <v>0.8226349026927442</v>
      </c>
      <c r="AY147" s="17">
        <v>-0.67939334201546531</v>
      </c>
      <c r="AZ147" s="17">
        <v>0.92683824305767915</v>
      </c>
      <c r="BA147" s="17">
        <v>0.45693368062387635</v>
      </c>
      <c r="BB147" s="17">
        <v>0.44700195396784548</v>
      </c>
      <c r="BC147" s="17">
        <v>0.47753933810119054</v>
      </c>
      <c r="BD147" s="17">
        <v>-0.92488473743353761</v>
      </c>
      <c r="BE147" s="17">
        <v>-0.49106791083384443</v>
      </c>
      <c r="BF147" s="17">
        <v>-0.2971052282267761</v>
      </c>
      <c r="BK147" s="20">
        <v>-0.48619109749758471</v>
      </c>
      <c r="BL147" s="20">
        <v>1.4850118875331213</v>
      </c>
      <c r="BN147" s="21">
        <f t="shared" ref="BN147:BN210" si="8">IF(BK147&gt;BL147,0,1)</f>
        <v>1</v>
      </c>
    </row>
    <row r="148" spans="1:66">
      <c r="A148" s="14">
        <v>11.8</v>
      </c>
      <c r="B148" s="14">
        <v>16.579999999999998</v>
      </c>
      <c r="C148" s="14">
        <v>78.989999999999995</v>
      </c>
      <c r="D148" s="14">
        <v>432</v>
      </c>
      <c r="E148" s="14">
        <v>0.17</v>
      </c>
      <c r="F148" s="14">
        <v>0.16589999999999999</v>
      </c>
      <c r="G148" s="14">
        <v>7.4149999999999994E-2</v>
      </c>
      <c r="H148" s="14">
        <v>13.74</v>
      </c>
      <c r="I148" s="14">
        <v>591.70000000000005</v>
      </c>
      <c r="J148" s="14">
        <v>0.1865</v>
      </c>
      <c r="M148" s="16">
        <v>1</v>
      </c>
      <c r="O148" s="12">
        <f t="shared" si="6"/>
        <v>0</v>
      </c>
      <c r="P148" s="12">
        <f t="shared" si="7"/>
        <v>1</v>
      </c>
      <c r="R148" s="17">
        <v>-0.86216493245391179</v>
      </c>
      <c r="S148" s="17">
        <v>0.86592397083683859</v>
      </c>
      <c r="T148" s="17">
        <v>1.1492407566427856</v>
      </c>
      <c r="U148" s="17">
        <v>0.30971288832147947</v>
      </c>
      <c r="V148" s="17">
        <v>1.322038261257461</v>
      </c>
      <c r="W148" s="17">
        <v>-0.54000870393571332</v>
      </c>
      <c r="X148" s="17">
        <v>-0.93446499101467595</v>
      </c>
      <c r="Y148" s="17">
        <v>1.3623707400649003</v>
      </c>
      <c r="Z148" s="17">
        <v>0.73556995189170193</v>
      </c>
      <c r="AA148" s="17">
        <v>1.6983871669386827</v>
      </c>
      <c r="AB148" s="17">
        <v>-1.2113068807979621</v>
      </c>
      <c r="AC148" s="17">
        <v>1.5906603286575782</v>
      </c>
      <c r="AD148" s="17">
        <v>-0.8593627097567913</v>
      </c>
      <c r="AE148" s="17">
        <v>1.3374666300864129</v>
      </c>
      <c r="AF148" s="17">
        <v>1.6049118769290147</v>
      </c>
      <c r="AG148" s="17">
        <v>1.3481853892245086</v>
      </c>
      <c r="AH148" s="17">
        <v>0.33128292594394448</v>
      </c>
      <c r="AI148" s="17">
        <v>-1.6572512841003593</v>
      </c>
      <c r="AJ148" s="17">
        <v>-0.4315878441673433</v>
      </c>
      <c r="AK148" s="17">
        <v>-1.6306329638930568</v>
      </c>
      <c r="AM148" s="17">
        <v>-0.89957218863697019</v>
      </c>
      <c r="AN148" s="17">
        <v>0.78103870780223605</v>
      </c>
      <c r="AO148" s="17">
        <v>0.18354949678198387</v>
      </c>
      <c r="AP148" s="17">
        <v>0.44645251101483358</v>
      </c>
      <c r="AQ148" s="17">
        <v>0.90953133053826074</v>
      </c>
      <c r="AR148" s="17">
        <v>-0.84975767894287568</v>
      </c>
      <c r="AS148" s="17">
        <v>-0.90030712742725172</v>
      </c>
      <c r="AT148" s="17">
        <v>0.71993100502126162</v>
      </c>
      <c r="AU148" s="17">
        <v>0.94067300003461107</v>
      </c>
      <c r="AV148" s="17">
        <v>0.84887760818447822</v>
      </c>
      <c r="AW148" s="17">
        <v>-0.31168845974905024</v>
      </c>
      <c r="AX148" s="17">
        <v>0.8004185097537585</v>
      </c>
      <c r="AY148" s="17">
        <v>-0.68099500749160946</v>
      </c>
      <c r="AZ148" s="17">
        <v>0.93625061480918159</v>
      </c>
      <c r="BA148" s="17">
        <v>0.28825426746522825</v>
      </c>
      <c r="BB148" s="17">
        <v>0.31710463002252937</v>
      </c>
      <c r="BC148" s="17">
        <v>0.5075999124828614</v>
      </c>
      <c r="BD148" s="17">
        <v>-0.92639722543713465</v>
      </c>
      <c r="BE148" s="17">
        <v>-0.50971056869091491</v>
      </c>
      <c r="BF148" s="17">
        <v>-0.30368719355478319</v>
      </c>
      <c r="BK148" s="20">
        <v>1.0441762636303731</v>
      </c>
      <c r="BL148" s="20">
        <v>-4.4221359095522106E-2</v>
      </c>
      <c r="BN148" s="21">
        <f t="shared" si="8"/>
        <v>0</v>
      </c>
    </row>
    <row r="149" spans="1:66">
      <c r="A149" s="14">
        <v>14.95</v>
      </c>
      <c r="B149" s="14">
        <v>18.77</v>
      </c>
      <c r="C149" s="14">
        <v>97.84</v>
      </c>
      <c r="D149" s="14">
        <v>689.5</v>
      </c>
      <c r="E149" s="14">
        <v>0.1167</v>
      </c>
      <c r="F149" s="14">
        <v>9.0499999999999997E-2</v>
      </c>
      <c r="G149" s="14">
        <v>3.5619999999999999E-2</v>
      </c>
      <c r="H149" s="14">
        <v>16.25</v>
      </c>
      <c r="I149" s="14">
        <v>809.7</v>
      </c>
      <c r="J149" s="14">
        <v>8.405E-2</v>
      </c>
      <c r="M149" s="16">
        <v>0</v>
      </c>
      <c r="O149" s="12">
        <f t="shared" si="6"/>
        <v>1</v>
      </c>
      <c r="P149" s="12">
        <f t="shared" si="7"/>
        <v>0</v>
      </c>
      <c r="R149" s="17">
        <v>-0.86216493245391179</v>
      </c>
      <c r="S149" s="17">
        <v>0.86592397083683859</v>
      </c>
      <c r="T149" s="17">
        <v>1.1492407566427856</v>
      </c>
      <c r="U149" s="17">
        <v>0.30971288832147947</v>
      </c>
      <c r="V149" s="17">
        <v>1.322038261257461</v>
      </c>
      <c r="W149" s="17">
        <v>-0.54000870393571332</v>
      </c>
      <c r="X149" s="17">
        <v>-0.93446499101467595</v>
      </c>
      <c r="Y149" s="17">
        <v>1.3623707400649003</v>
      </c>
      <c r="Z149" s="17">
        <v>0.73556995189170193</v>
      </c>
      <c r="AA149" s="17">
        <v>1.6983871669386827</v>
      </c>
      <c r="AB149" s="17">
        <v>-1.2113068807979621</v>
      </c>
      <c r="AC149" s="17">
        <v>1.5906603286575782</v>
      </c>
      <c r="AD149" s="17">
        <v>-0.8593627097567913</v>
      </c>
      <c r="AE149" s="17">
        <v>1.3374666300864129</v>
      </c>
      <c r="AF149" s="17">
        <v>1.6049118769290147</v>
      </c>
      <c r="AG149" s="17">
        <v>1.3481853892245086</v>
      </c>
      <c r="AH149" s="17">
        <v>0.33128292594394448</v>
      </c>
      <c r="AI149" s="17">
        <v>-1.6572512841003593</v>
      </c>
      <c r="AJ149" s="17">
        <v>-0.4315878441673433</v>
      </c>
      <c r="AK149" s="17">
        <v>0.36873376442309147</v>
      </c>
      <c r="AM149" s="17">
        <v>-0.86002967152105092</v>
      </c>
      <c r="AN149" s="17">
        <v>0.78483735033291524</v>
      </c>
      <c r="AO149" s="17">
        <v>0.74003158055484175</v>
      </c>
      <c r="AP149" s="17">
        <v>0.41175913583938556</v>
      </c>
      <c r="AQ149" s="17">
        <v>0.91744830388480914</v>
      </c>
      <c r="AR149" s="17">
        <v>-0.7609986487518714</v>
      </c>
      <c r="AS149" s="17">
        <v>-0.87038765553914277</v>
      </c>
      <c r="AT149" s="17">
        <v>0.84737500367910956</v>
      </c>
      <c r="AU149" s="17">
        <v>0.88080756329964016</v>
      </c>
      <c r="AV149" s="17">
        <v>0.92495789489850899</v>
      </c>
      <c r="AW149" s="17">
        <v>-0.68350797083369141</v>
      </c>
      <c r="AX149" s="17">
        <v>0.90115490779197904</v>
      </c>
      <c r="AY149" s="17">
        <v>-0.7315479907325384</v>
      </c>
      <c r="AZ149" s="17">
        <v>0.93331190616327986</v>
      </c>
      <c r="BA149" s="17">
        <v>0.77538900386217358</v>
      </c>
      <c r="BB149" s="17">
        <v>0.72255234998266582</v>
      </c>
      <c r="BC149" s="17">
        <v>0.45738433713150922</v>
      </c>
      <c r="BD149" s="17">
        <v>-0.94826183897023975</v>
      </c>
      <c r="BE149" s="17">
        <v>-0.50034397025270216</v>
      </c>
      <c r="BF149" s="17">
        <v>0.15861910835654539</v>
      </c>
      <c r="BK149" s="20">
        <v>-7.6900331594663904E-3</v>
      </c>
      <c r="BL149" s="20">
        <v>1.007747575437258</v>
      </c>
      <c r="BN149" s="21">
        <f t="shared" si="8"/>
        <v>1</v>
      </c>
    </row>
    <row r="150" spans="1:66">
      <c r="A150" s="14">
        <v>14.44</v>
      </c>
      <c r="B150" s="14">
        <v>15.18</v>
      </c>
      <c r="C150" s="14">
        <v>93.97</v>
      </c>
      <c r="D150" s="14">
        <v>640.1</v>
      </c>
      <c r="E150" s="14">
        <v>0.1021</v>
      </c>
      <c r="F150" s="14">
        <v>8.4870000000000001E-2</v>
      </c>
      <c r="G150" s="14">
        <v>5.5320000000000001E-2</v>
      </c>
      <c r="H150" s="14">
        <v>15.85</v>
      </c>
      <c r="I150" s="14">
        <v>766.9</v>
      </c>
      <c r="J150" s="14">
        <v>0.15989999999999999</v>
      </c>
      <c r="M150" s="16">
        <v>0</v>
      </c>
      <c r="O150" s="12">
        <f t="shared" si="6"/>
        <v>1</v>
      </c>
      <c r="P150" s="12">
        <f t="shared" si="7"/>
        <v>0</v>
      </c>
      <c r="R150" s="17">
        <v>-0.86216493245391179</v>
      </c>
      <c r="S150" s="17">
        <v>0.86592397083683859</v>
      </c>
      <c r="T150" s="17">
        <v>1.1492407566427856</v>
      </c>
      <c r="U150" s="17">
        <v>0.30971288832147947</v>
      </c>
      <c r="V150" s="17">
        <v>1.322038261257461</v>
      </c>
      <c r="W150" s="17">
        <v>-0.54000870393571332</v>
      </c>
      <c r="X150" s="17">
        <v>-0.93446499101467595</v>
      </c>
      <c r="Y150" s="17">
        <v>1.3623707400649003</v>
      </c>
      <c r="Z150" s="17">
        <v>0.73556995189170193</v>
      </c>
      <c r="AA150" s="17">
        <v>1.6983871669386827</v>
      </c>
      <c r="AB150" s="17">
        <v>-1.2113068807979621</v>
      </c>
      <c r="AC150" s="17">
        <v>1.5906603286575782</v>
      </c>
      <c r="AD150" s="17">
        <v>-0.8593627097567913</v>
      </c>
      <c r="AE150" s="17">
        <v>1.3374666300864129</v>
      </c>
      <c r="AF150" s="17">
        <v>1.6049118769290147</v>
      </c>
      <c r="AG150" s="17">
        <v>1.3481853892245086</v>
      </c>
      <c r="AH150" s="17">
        <v>0.33128292594394448</v>
      </c>
      <c r="AI150" s="17">
        <v>-1.6572512841003593</v>
      </c>
      <c r="AJ150" s="17">
        <v>-0.4315878441673433</v>
      </c>
      <c r="AK150" s="17">
        <v>-1.0024644050731102</v>
      </c>
      <c r="AM150" s="17">
        <v>-0.69749234538872973</v>
      </c>
      <c r="AN150" s="17">
        <v>0.67057203847738178</v>
      </c>
      <c r="AO150" s="17">
        <v>0.72294430459591996</v>
      </c>
      <c r="AP150" s="17">
        <v>0.29472258690112046</v>
      </c>
      <c r="AQ150" s="17">
        <v>0.84252810467729211</v>
      </c>
      <c r="AR150" s="17">
        <v>-0.52457442960652179</v>
      </c>
      <c r="AS150" s="17">
        <v>-0.72569017044576134</v>
      </c>
      <c r="AT150" s="17">
        <v>0.82841774902371823</v>
      </c>
      <c r="AU150" s="17">
        <v>0.66288432705040667</v>
      </c>
      <c r="AV150" s="17">
        <v>0.90336156813159052</v>
      </c>
      <c r="AW150" s="17">
        <v>-0.75752760795888885</v>
      </c>
      <c r="AX150" s="17">
        <v>0.88238090874116437</v>
      </c>
      <c r="AY150" s="17">
        <v>-0.65218028927659111</v>
      </c>
      <c r="AZ150" s="17">
        <v>0.85244145638753044</v>
      </c>
      <c r="BA150" s="17">
        <v>0.86059588883935301</v>
      </c>
      <c r="BB150" s="17">
        <v>0.79993800958798056</v>
      </c>
      <c r="BC150" s="17">
        <v>0.31914570247908997</v>
      </c>
      <c r="BD150" s="17">
        <v>-0.90626726849414119</v>
      </c>
      <c r="BE150" s="17">
        <v>-0.38820012345755917</v>
      </c>
      <c r="BF150" s="17">
        <v>0.25447985081385488</v>
      </c>
      <c r="BK150" s="20">
        <v>0.14056300837730862</v>
      </c>
      <c r="BL150" s="20">
        <v>0.85950532820070513</v>
      </c>
      <c r="BN150" s="21">
        <f t="shared" si="8"/>
        <v>1</v>
      </c>
    </row>
    <row r="151" spans="1:66">
      <c r="A151" s="14">
        <v>13.74</v>
      </c>
      <c r="B151" s="14">
        <v>17.91</v>
      </c>
      <c r="C151" s="14">
        <v>88.12</v>
      </c>
      <c r="D151" s="14">
        <v>585</v>
      </c>
      <c r="E151" s="14">
        <v>6.3759999999999997E-2</v>
      </c>
      <c r="F151" s="14">
        <v>2.8809999999999999E-2</v>
      </c>
      <c r="G151" s="14">
        <v>1.329E-2</v>
      </c>
      <c r="H151" s="14">
        <v>15.34</v>
      </c>
      <c r="I151" s="14">
        <v>725.9</v>
      </c>
      <c r="J151" s="14">
        <v>6.019E-2</v>
      </c>
      <c r="M151" s="16">
        <v>0</v>
      </c>
      <c r="O151" s="12">
        <f t="shared" si="6"/>
        <v>1</v>
      </c>
      <c r="P151" s="12">
        <f t="shared" si="7"/>
        <v>0</v>
      </c>
      <c r="R151" s="17">
        <v>-1.4643074708783446</v>
      </c>
      <c r="S151" s="17">
        <v>1.0359333700219733</v>
      </c>
      <c r="T151" s="17">
        <v>0.4503249130137873</v>
      </c>
      <c r="U151" s="17">
        <v>0.47751119115197871</v>
      </c>
      <c r="V151" s="17">
        <v>1.5052132201123889</v>
      </c>
      <c r="W151" s="17">
        <v>-1.2567352733816861</v>
      </c>
      <c r="X151" s="17">
        <v>-1.4659127711484521</v>
      </c>
      <c r="Y151" s="17">
        <v>0.877385815472147</v>
      </c>
      <c r="Z151" s="17">
        <v>1.7463530467411736</v>
      </c>
      <c r="AA151" s="17">
        <v>1.2163845753889837</v>
      </c>
      <c r="AB151" s="17">
        <v>-0.28839333793737798</v>
      </c>
      <c r="AC151" s="17">
        <v>1.0652147513376473</v>
      </c>
      <c r="AD151" s="17">
        <v>-0.81583654438301023</v>
      </c>
      <c r="AE151" s="17">
        <v>1.6894094608623824</v>
      </c>
      <c r="AF151" s="17">
        <v>0.2496334827590041</v>
      </c>
      <c r="AG151" s="17">
        <v>0.29010426800531797</v>
      </c>
      <c r="AH151" s="17">
        <v>0.55723475600471262</v>
      </c>
      <c r="AI151" s="17">
        <v>-1.603629768829455</v>
      </c>
      <c r="AJ151" s="17">
        <v>-0.55690825498325469</v>
      </c>
      <c r="AK151" s="17">
        <v>-1.5873064015214755</v>
      </c>
      <c r="AM151" s="17">
        <v>-0.86922803536006721</v>
      </c>
      <c r="AN151" s="17">
        <v>0.77415751297051005</v>
      </c>
      <c r="AO151" s="17">
        <v>0.48422611659573256</v>
      </c>
      <c r="AP151" s="17">
        <v>0.41670718243472321</v>
      </c>
      <c r="AQ151" s="17">
        <v>0.90867772095133414</v>
      </c>
      <c r="AR151" s="17">
        <v>-0.78994186601202576</v>
      </c>
      <c r="AS151" s="17">
        <v>-0.87555392032987112</v>
      </c>
      <c r="AT151" s="17">
        <v>0.79813548055525585</v>
      </c>
      <c r="AU151" s="17">
        <v>0.90211105008477344</v>
      </c>
      <c r="AV151" s="17">
        <v>0.89553034325856207</v>
      </c>
      <c r="AW151" s="17">
        <v>-0.5560914690339106</v>
      </c>
      <c r="AX151" s="17">
        <v>0.86308606631216278</v>
      </c>
      <c r="AY151" s="17">
        <v>-0.70333443042984389</v>
      </c>
      <c r="AZ151" s="17">
        <v>0.9294800139341467</v>
      </c>
      <c r="BA151" s="17">
        <v>0.62792676607319153</v>
      </c>
      <c r="BB151" s="17">
        <v>0.58914651930982187</v>
      </c>
      <c r="BC151" s="17">
        <v>0.46776882417232513</v>
      </c>
      <c r="BD151" s="17">
        <v>-0.93621679760225263</v>
      </c>
      <c r="BE151" s="17">
        <v>-0.49461822066264821</v>
      </c>
      <c r="BF151" s="17">
        <v>0.13726011059965521</v>
      </c>
      <c r="BK151" s="20">
        <v>0.52517548141608705</v>
      </c>
      <c r="BL151" s="20">
        <v>0.47485230681775964</v>
      </c>
      <c r="BN151" s="21">
        <f t="shared" si="8"/>
        <v>0</v>
      </c>
    </row>
    <row r="152" spans="1:66">
      <c r="A152" s="14">
        <v>13</v>
      </c>
      <c r="B152" s="14">
        <v>20.78</v>
      </c>
      <c r="C152" s="14">
        <v>83.51</v>
      </c>
      <c r="D152" s="14">
        <v>519.4</v>
      </c>
      <c r="E152" s="14">
        <v>7.5889999999999999E-2</v>
      </c>
      <c r="F152" s="14">
        <v>3.1359999999999999E-2</v>
      </c>
      <c r="G152" s="14">
        <v>2.6450000000000001E-2</v>
      </c>
      <c r="H152" s="14">
        <v>14.16</v>
      </c>
      <c r="I152" s="14">
        <v>616.70000000000005</v>
      </c>
      <c r="J152" s="14">
        <v>6.2960000000000002E-2</v>
      </c>
      <c r="M152" s="16">
        <v>0</v>
      </c>
      <c r="O152" s="12">
        <f t="shared" si="6"/>
        <v>1</v>
      </c>
      <c r="P152" s="12">
        <f t="shared" si="7"/>
        <v>0</v>
      </c>
      <c r="R152" s="17">
        <v>-1.4643074708783446</v>
      </c>
      <c r="S152" s="17">
        <v>1.0359333700219733</v>
      </c>
      <c r="T152" s="17">
        <v>0.4503249130137873</v>
      </c>
      <c r="U152" s="17">
        <v>0.47751119115197871</v>
      </c>
      <c r="V152" s="17">
        <v>1.5052132201123889</v>
      </c>
      <c r="W152" s="17">
        <v>-1.2567352733816861</v>
      </c>
      <c r="X152" s="17">
        <v>-1.4659127711484521</v>
      </c>
      <c r="Y152" s="17">
        <v>0.877385815472147</v>
      </c>
      <c r="Z152" s="17">
        <v>1.7463530467411736</v>
      </c>
      <c r="AA152" s="17">
        <v>1.2163845753889837</v>
      </c>
      <c r="AB152" s="17">
        <v>-0.28839333793737798</v>
      </c>
      <c r="AC152" s="17">
        <v>1.0652147513376473</v>
      </c>
      <c r="AD152" s="17">
        <v>-0.81583654438301023</v>
      </c>
      <c r="AE152" s="17">
        <v>1.6894094608623824</v>
      </c>
      <c r="AF152" s="17">
        <v>0.2496334827590041</v>
      </c>
      <c r="AG152" s="17">
        <v>0.29010426800531797</v>
      </c>
      <c r="AH152" s="17">
        <v>0.55723475600471262</v>
      </c>
      <c r="AI152" s="17">
        <v>-1.603629768829455</v>
      </c>
      <c r="AJ152" s="17">
        <v>-0.55690825498325469</v>
      </c>
      <c r="AK152" s="17">
        <v>0.18480789599003866</v>
      </c>
      <c r="AM152" s="17">
        <v>-0.90499878105247389</v>
      </c>
      <c r="AN152" s="17">
        <v>0.7762583082587009</v>
      </c>
      <c r="AO152" s="17">
        <v>0.59073529171273831</v>
      </c>
      <c r="AP152" s="17">
        <v>0.45113439968968394</v>
      </c>
      <c r="AQ152" s="17">
        <v>0.90496380153515288</v>
      </c>
      <c r="AR152" s="17">
        <v>-0.86325011388334838</v>
      </c>
      <c r="AS152" s="17">
        <v>-0.90404496462267558</v>
      </c>
      <c r="AT152" s="17">
        <v>0.67322693864014915</v>
      </c>
      <c r="AU152" s="17">
        <v>0.94845710674896211</v>
      </c>
      <c r="AV152" s="17">
        <v>0.81792685550967281</v>
      </c>
      <c r="AW152" s="17">
        <v>-0.19228479327844333</v>
      </c>
      <c r="AX152" s="17">
        <v>0.7605674386036525</v>
      </c>
      <c r="AY152" s="17">
        <v>-0.66329304747586182</v>
      </c>
      <c r="AZ152" s="17">
        <v>0.93497553923443766</v>
      </c>
      <c r="BA152" s="17">
        <v>0.1143202274975863</v>
      </c>
      <c r="BB152" s="17">
        <v>0.18131558883811932</v>
      </c>
      <c r="BC152" s="17">
        <v>0.51550233412350166</v>
      </c>
      <c r="BD152" s="17">
        <v>-0.91749714121397929</v>
      </c>
      <c r="BE152" s="17">
        <v>-0.50809471912043025</v>
      </c>
      <c r="BF152" s="17">
        <v>0.68378465355659357</v>
      </c>
      <c r="BK152" s="20">
        <v>-3.0059671442404463E-2</v>
      </c>
      <c r="BL152" s="20">
        <v>1.0300992062824545</v>
      </c>
      <c r="BN152" s="21">
        <f t="shared" si="8"/>
        <v>1</v>
      </c>
    </row>
    <row r="153" spans="1:66">
      <c r="A153" s="14">
        <v>8.2189999999999994</v>
      </c>
      <c r="B153" s="14">
        <v>20.7</v>
      </c>
      <c r="C153" s="14">
        <v>53.27</v>
      </c>
      <c r="D153" s="14">
        <v>203.9</v>
      </c>
      <c r="E153" s="14">
        <v>0.1305</v>
      </c>
      <c r="F153" s="14">
        <v>0.1321</v>
      </c>
      <c r="G153" s="14">
        <v>2.1680000000000001E-2</v>
      </c>
      <c r="H153" s="14">
        <v>9.0920000000000005</v>
      </c>
      <c r="I153" s="14">
        <v>249.8</v>
      </c>
      <c r="J153" s="14">
        <v>7.8789999999999999E-2</v>
      </c>
      <c r="M153" s="16">
        <v>0</v>
      </c>
      <c r="O153" s="12">
        <f t="shared" si="6"/>
        <v>1</v>
      </c>
      <c r="P153" s="12">
        <f t="shared" si="7"/>
        <v>0</v>
      </c>
      <c r="R153" s="17">
        <v>-1.4643074708783446</v>
      </c>
      <c r="S153" s="17">
        <v>1.0359333700219733</v>
      </c>
      <c r="T153" s="17">
        <v>0.4503249130137873</v>
      </c>
      <c r="U153" s="17">
        <v>0.47751119115197871</v>
      </c>
      <c r="V153" s="17">
        <v>1.5052132201123889</v>
      </c>
      <c r="W153" s="17">
        <v>-1.2567352733816861</v>
      </c>
      <c r="X153" s="17">
        <v>-1.4659127711484521</v>
      </c>
      <c r="Y153" s="17">
        <v>0.877385815472147</v>
      </c>
      <c r="Z153" s="17">
        <v>1.7463530467411736</v>
      </c>
      <c r="AA153" s="17">
        <v>1.2163845753889837</v>
      </c>
      <c r="AB153" s="17">
        <v>-0.28839333793737798</v>
      </c>
      <c r="AC153" s="17">
        <v>1.0652147513376473</v>
      </c>
      <c r="AD153" s="17">
        <v>-0.81583654438301023</v>
      </c>
      <c r="AE153" s="17">
        <v>1.6894094608623824</v>
      </c>
      <c r="AF153" s="17">
        <v>0.2496334827590041</v>
      </c>
      <c r="AG153" s="17">
        <v>0.29010426800531797</v>
      </c>
      <c r="AH153" s="17">
        <v>0.55723475600471262</v>
      </c>
      <c r="AI153" s="17">
        <v>-1.603629768829455</v>
      </c>
      <c r="AJ153" s="17">
        <v>-0.55690825498325469</v>
      </c>
      <c r="AK153" s="17">
        <v>0.41256201738018505</v>
      </c>
      <c r="AM153" s="17">
        <v>-0.76247844297804535</v>
      </c>
      <c r="AN153" s="17">
        <v>0.72821179822429172</v>
      </c>
      <c r="AO153" s="17">
        <v>0.80009231665757619</v>
      </c>
      <c r="AP153" s="17">
        <v>0.33715900212252869</v>
      </c>
      <c r="AQ153" s="17">
        <v>0.88486712258102485</v>
      </c>
      <c r="AR153" s="17">
        <v>-0.5988630812305179</v>
      </c>
      <c r="AS153" s="17">
        <v>-0.78696441917431337</v>
      </c>
      <c r="AT153" s="17">
        <v>0.86528361667993958</v>
      </c>
      <c r="AU153" s="17">
        <v>0.73897702144871691</v>
      </c>
      <c r="AV153" s="17">
        <v>0.93036331599743805</v>
      </c>
      <c r="AW153" s="17">
        <v>-0.79172802020687882</v>
      </c>
      <c r="AX153" s="17">
        <v>0.91242877669201683</v>
      </c>
      <c r="AY153" s="17">
        <v>-0.70545620450008428</v>
      </c>
      <c r="AZ153" s="17">
        <v>0.89476712319432861</v>
      </c>
      <c r="BA153" s="17">
        <v>0.88553402835322703</v>
      </c>
      <c r="BB153" s="17">
        <v>0.83115055772565483</v>
      </c>
      <c r="BC153" s="17">
        <v>0.36621007741524841</v>
      </c>
      <c r="BD153" s="17">
        <v>-0.93528835070675154</v>
      </c>
      <c r="BE153" s="17">
        <v>-0.43706879976590646</v>
      </c>
      <c r="BF153" s="17">
        <v>0.36986118602482476</v>
      </c>
      <c r="BK153" s="20">
        <v>0.7118939608974244</v>
      </c>
      <c r="BL153" s="20">
        <v>0.28805287728841061</v>
      </c>
      <c r="BN153" s="21">
        <f t="shared" si="8"/>
        <v>0</v>
      </c>
    </row>
    <row r="154" spans="1:66">
      <c r="A154" s="14">
        <v>9.7309999999999999</v>
      </c>
      <c r="B154" s="14">
        <v>15.34</v>
      </c>
      <c r="C154" s="14">
        <v>63.78</v>
      </c>
      <c r="D154" s="14">
        <v>300.2</v>
      </c>
      <c r="E154" s="14">
        <v>0.15989999999999999</v>
      </c>
      <c r="F154" s="14">
        <v>0.4108</v>
      </c>
      <c r="G154" s="14">
        <v>7.8570000000000001E-2</v>
      </c>
      <c r="H154" s="14">
        <v>11.02</v>
      </c>
      <c r="I154" s="14">
        <v>380.5</v>
      </c>
      <c r="J154" s="14">
        <v>0.15709999999999999</v>
      </c>
      <c r="M154" s="16">
        <v>0</v>
      </c>
      <c r="O154" s="12">
        <f t="shared" si="6"/>
        <v>1</v>
      </c>
      <c r="P154" s="12">
        <f t="shared" si="7"/>
        <v>0</v>
      </c>
      <c r="R154" s="17">
        <v>-0.86216493245391179</v>
      </c>
      <c r="S154" s="17">
        <v>0.86592397083683859</v>
      </c>
      <c r="T154" s="17">
        <v>1.1492407566427856</v>
      </c>
      <c r="U154" s="17">
        <v>0.30971288832147947</v>
      </c>
      <c r="V154" s="17">
        <v>1.322038261257461</v>
      </c>
      <c r="W154" s="17">
        <v>-0.54000870393571332</v>
      </c>
      <c r="X154" s="17">
        <v>-0.93446499101467595</v>
      </c>
      <c r="Y154" s="17">
        <v>1.3623707400649003</v>
      </c>
      <c r="Z154" s="17">
        <v>0.73556995189170193</v>
      </c>
      <c r="AA154" s="17">
        <v>1.6983871669386827</v>
      </c>
      <c r="AB154" s="17">
        <v>-1.2113068807979621</v>
      </c>
      <c r="AC154" s="17">
        <v>1.5906603286575782</v>
      </c>
      <c r="AD154" s="17">
        <v>-0.8593627097567913</v>
      </c>
      <c r="AE154" s="17">
        <v>1.3374666300864129</v>
      </c>
      <c r="AF154" s="17">
        <v>1.6049118769290147</v>
      </c>
      <c r="AG154" s="17">
        <v>1.3481853892245086</v>
      </c>
      <c r="AH154" s="17">
        <v>0.33128292594394448</v>
      </c>
      <c r="AI154" s="17">
        <v>-1.6572512841003593</v>
      </c>
      <c r="AJ154" s="17">
        <v>-0.4315878441673433</v>
      </c>
      <c r="AK154" s="17">
        <v>0.35023070848216797</v>
      </c>
      <c r="AM154" s="17">
        <v>-0.73491231968701076</v>
      </c>
      <c r="AN154" s="17">
        <v>0.7179105155440153</v>
      </c>
      <c r="AO154" s="17">
        <v>0.81449041116773568</v>
      </c>
      <c r="AP154" s="17">
        <v>0.32117516201645518</v>
      </c>
      <c r="AQ154" s="17">
        <v>0.87916679572182144</v>
      </c>
      <c r="AR154" s="17">
        <v>-0.5508912279066398</v>
      </c>
      <c r="AS154" s="17">
        <v>-0.76448430537176781</v>
      </c>
      <c r="AT154" s="17">
        <v>0.87447754124601151</v>
      </c>
      <c r="AU154" s="17">
        <v>0.68962929003535167</v>
      </c>
      <c r="AV154" s="17">
        <v>0.93497236108924153</v>
      </c>
      <c r="AW154" s="17">
        <v>-0.81991381886695447</v>
      </c>
      <c r="AX154" s="17">
        <v>0.91892651041167572</v>
      </c>
      <c r="AY154" s="17">
        <v>-0.70486184042062694</v>
      </c>
      <c r="AZ154" s="17">
        <v>0.88609906285030948</v>
      </c>
      <c r="BA154" s="17">
        <v>0.90872364807297912</v>
      </c>
      <c r="BB154" s="17">
        <v>0.85765223059038842</v>
      </c>
      <c r="BC154" s="17">
        <v>0.34559432695359232</v>
      </c>
      <c r="BD154" s="17">
        <v>-0.93463754989638514</v>
      </c>
      <c r="BE154" s="17">
        <v>-0.42515685219297245</v>
      </c>
      <c r="BF154" s="17">
        <v>0.36586741216643892</v>
      </c>
      <c r="BK154" s="20">
        <v>1.0092233003439723</v>
      </c>
      <c r="BL154" s="20">
        <v>-9.3743404049507692E-3</v>
      </c>
      <c r="BN154" s="21">
        <f t="shared" si="8"/>
        <v>0</v>
      </c>
    </row>
    <row r="155" spans="1:66">
      <c r="A155" s="14">
        <v>11.15</v>
      </c>
      <c r="B155" s="14">
        <v>13.08</v>
      </c>
      <c r="C155" s="14">
        <v>70.87</v>
      </c>
      <c r="D155" s="14">
        <v>381.9</v>
      </c>
      <c r="E155" s="14">
        <v>5.1130000000000002E-2</v>
      </c>
      <c r="F155" s="14">
        <v>1.9820000000000001E-2</v>
      </c>
      <c r="G155" s="14">
        <v>1.7860000000000001E-2</v>
      </c>
      <c r="H155" s="14">
        <v>11.99</v>
      </c>
      <c r="I155" s="14">
        <v>440.8</v>
      </c>
      <c r="J155" s="14">
        <v>5.5059999999999998E-2</v>
      </c>
      <c r="M155" s="16">
        <v>0</v>
      </c>
      <c r="O155" s="12">
        <f t="shared" si="6"/>
        <v>1</v>
      </c>
      <c r="P155" s="12">
        <f t="shared" si="7"/>
        <v>0</v>
      </c>
      <c r="R155" s="17">
        <v>-1.4643074708783446</v>
      </c>
      <c r="S155" s="17">
        <v>1.0359333700219733</v>
      </c>
      <c r="T155" s="17">
        <v>0.4503249130137873</v>
      </c>
      <c r="U155" s="17">
        <v>0.47751119115197871</v>
      </c>
      <c r="V155" s="17">
        <v>1.5052132201123889</v>
      </c>
      <c r="W155" s="17">
        <v>-1.2567352733816861</v>
      </c>
      <c r="X155" s="17">
        <v>-1.4659127711484521</v>
      </c>
      <c r="Y155" s="17">
        <v>0.877385815472147</v>
      </c>
      <c r="Z155" s="17">
        <v>1.7463530467411736</v>
      </c>
      <c r="AA155" s="17">
        <v>1.2163845753889837</v>
      </c>
      <c r="AB155" s="17">
        <v>-0.28839333793737798</v>
      </c>
      <c r="AC155" s="17">
        <v>1.0652147513376473</v>
      </c>
      <c r="AD155" s="17">
        <v>-0.81583654438301023</v>
      </c>
      <c r="AE155" s="17">
        <v>1.6894094608623824</v>
      </c>
      <c r="AF155" s="17">
        <v>0.2496334827590041</v>
      </c>
      <c r="AG155" s="17">
        <v>0.29010426800531797</v>
      </c>
      <c r="AH155" s="17">
        <v>0.55723475600471262</v>
      </c>
      <c r="AI155" s="17">
        <v>-1.603629768829455</v>
      </c>
      <c r="AJ155" s="17">
        <v>-0.55690825498325469</v>
      </c>
      <c r="AK155" s="17">
        <v>0.41256201738018505</v>
      </c>
      <c r="AM155" s="17">
        <v>-0.74140441907481835</v>
      </c>
      <c r="AN155" s="17">
        <v>0.72816395227687325</v>
      </c>
      <c r="AO155" s="17">
        <v>0.8202180159222392</v>
      </c>
      <c r="AP155" s="17">
        <v>0.32647736578912467</v>
      </c>
      <c r="AQ155" s="17">
        <v>0.8866739765682885</v>
      </c>
      <c r="AR155" s="17">
        <v>-0.55321457155479625</v>
      </c>
      <c r="AS155" s="17">
        <v>-0.77164273013552576</v>
      </c>
      <c r="AT155" s="17">
        <v>0.88491881292833385</v>
      </c>
      <c r="AU155" s="17">
        <v>0.69171271874749207</v>
      </c>
      <c r="AV155" s="17">
        <v>0.94161345038540079</v>
      </c>
      <c r="AW155" s="17">
        <v>-0.8353943385143453</v>
      </c>
      <c r="AX155" s="17">
        <v>0.92682014215406883</v>
      </c>
      <c r="AY155" s="17">
        <v>-0.71713379789348874</v>
      </c>
      <c r="AZ155" s="17">
        <v>0.89272449914970742</v>
      </c>
      <c r="BA155" s="17">
        <v>0.9197631452015681</v>
      </c>
      <c r="BB155" s="17">
        <v>0.87158572026206216</v>
      </c>
      <c r="BC155" s="17">
        <v>0.3504900967405708</v>
      </c>
      <c r="BD155" s="17">
        <v>-0.9403692140579436</v>
      </c>
      <c r="BE155" s="17">
        <v>-0.43334797942582987</v>
      </c>
      <c r="BF155" s="17">
        <v>0.21933036245329479</v>
      </c>
      <c r="BK155" s="20">
        <v>1.0445775400117776</v>
      </c>
      <c r="BL155" s="20">
        <v>-4.4647449452773234E-2</v>
      </c>
      <c r="BN155" s="21">
        <f t="shared" si="8"/>
        <v>0</v>
      </c>
    </row>
    <row r="156" spans="1:66">
      <c r="A156" s="14">
        <v>13.15</v>
      </c>
      <c r="B156" s="14">
        <v>15.34</v>
      </c>
      <c r="C156" s="14">
        <v>85.31</v>
      </c>
      <c r="D156" s="14">
        <v>538.9</v>
      </c>
      <c r="E156" s="14">
        <v>8.498E-2</v>
      </c>
      <c r="F156" s="14">
        <v>9.2929999999999999E-2</v>
      </c>
      <c r="G156" s="14">
        <v>3.483E-2</v>
      </c>
      <c r="H156" s="14">
        <v>14.77</v>
      </c>
      <c r="I156" s="14">
        <v>677.3</v>
      </c>
      <c r="J156" s="14">
        <v>9.7220000000000001E-2</v>
      </c>
      <c r="M156" s="16">
        <v>0</v>
      </c>
      <c r="O156" s="12">
        <f t="shared" si="6"/>
        <v>1</v>
      </c>
      <c r="P156" s="12">
        <f t="shared" si="7"/>
        <v>0</v>
      </c>
      <c r="R156" s="17">
        <v>-1.4643074708783446</v>
      </c>
      <c r="S156" s="17">
        <v>1.0359333700219733</v>
      </c>
      <c r="T156" s="17">
        <v>0.4503249130137873</v>
      </c>
      <c r="U156" s="17">
        <v>0.47751119115197871</v>
      </c>
      <c r="V156" s="17">
        <v>1.5052132201123889</v>
      </c>
      <c r="W156" s="17">
        <v>-1.2567352733816861</v>
      </c>
      <c r="X156" s="17">
        <v>-1.4659127711484521</v>
      </c>
      <c r="Y156" s="17">
        <v>0.877385815472147</v>
      </c>
      <c r="Z156" s="17">
        <v>1.7463530467411736</v>
      </c>
      <c r="AA156" s="17">
        <v>1.2163845753889837</v>
      </c>
      <c r="AB156" s="17">
        <v>-0.28839333793737798</v>
      </c>
      <c r="AC156" s="17">
        <v>1.0652147513376473</v>
      </c>
      <c r="AD156" s="17">
        <v>-0.81583654438301023</v>
      </c>
      <c r="AE156" s="17">
        <v>1.6894094608623824</v>
      </c>
      <c r="AF156" s="17">
        <v>0.2496334827590041</v>
      </c>
      <c r="AG156" s="17">
        <v>0.29010426800531797</v>
      </c>
      <c r="AH156" s="17">
        <v>0.55723475600471262</v>
      </c>
      <c r="AI156" s="17">
        <v>-1.603629768829455</v>
      </c>
      <c r="AJ156" s="17">
        <v>-0.55690825498325469</v>
      </c>
      <c r="AK156" s="17">
        <v>0.41256201738018505</v>
      </c>
      <c r="AM156" s="17">
        <v>-0.86108820150112886</v>
      </c>
      <c r="AN156" s="17">
        <v>0.75441132072050743</v>
      </c>
      <c r="AO156" s="17">
        <v>0.5125414308277576</v>
      </c>
      <c r="AP156" s="17">
        <v>0.40565417328142961</v>
      </c>
      <c r="AQ156" s="17">
        <v>0.89464431111409604</v>
      </c>
      <c r="AR156" s="17">
        <v>-0.78669846827457146</v>
      </c>
      <c r="AS156" s="17">
        <v>-0.86606733249466961</v>
      </c>
      <c r="AT156" s="17">
        <v>0.75853935592932997</v>
      </c>
      <c r="AU156" s="17">
        <v>0.90014089826624732</v>
      </c>
      <c r="AV156" s="17">
        <v>0.86873120841005924</v>
      </c>
      <c r="AW156" s="17">
        <v>-0.47822371327402335</v>
      </c>
      <c r="AX156" s="17">
        <v>0.83031980902312064</v>
      </c>
      <c r="AY156" s="17">
        <v>-0.67474529227002045</v>
      </c>
      <c r="AZ156" s="17">
        <v>0.91926455224711023</v>
      </c>
      <c r="BA156" s="17">
        <v>0.53157694383054777</v>
      </c>
      <c r="BB156" s="17">
        <v>0.50558652393823322</v>
      </c>
      <c r="BC156" s="17">
        <v>0.45784706045760459</v>
      </c>
      <c r="BD156" s="17">
        <v>-0.92204586382110199</v>
      </c>
      <c r="BE156" s="17">
        <v>-0.47760557353002653</v>
      </c>
      <c r="BF156" s="17">
        <v>-5.5396368418113209E-4</v>
      </c>
      <c r="BK156" s="20">
        <v>-9.1757866201015142E-2</v>
      </c>
      <c r="BL156" s="20">
        <v>1.0916298816517234</v>
      </c>
      <c r="BN156" s="21">
        <f t="shared" si="8"/>
        <v>1</v>
      </c>
    </row>
    <row r="157" spans="1:66">
      <c r="A157" s="14">
        <v>12.25</v>
      </c>
      <c r="B157" s="14">
        <v>17.940000000000001</v>
      </c>
      <c r="C157" s="14">
        <v>78.27</v>
      </c>
      <c r="D157" s="14">
        <v>460.3</v>
      </c>
      <c r="E157" s="14">
        <v>6.6790000000000002E-2</v>
      </c>
      <c r="F157" s="14">
        <v>3.8850000000000003E-2</v>
      </c>
      <c r="G157" s="14">
        <v>2.3310000000000001E-2</v>
      </c>
      <c r="H157" s="14">
        <v>13.59</v>
      </c>
      <c r="I157" s="14">
        <v>564.20000000000005</v>
      </c>
      <c r="J157" s="14">
        <v>8.2110000000000002E-2</v>
      </c>
      <c r="M157" s="16">
        <v>0</v>
      </c>
      <c r="O157" s="12">
        <f t="shared" si="6"/>
        <v>1</v>
      </c>
      <c r="P157" s="12">
        <f t="shared" si="7"/>
        <v>0</v>
      </c>
      <c r="R157" s="17">
        <v>-0.86216493245391179</v>
      </c>
      <c r="S157" s="17">
        <v>0.86592397083683859</v>
      </c>
      <c r="T157" s="17">
        <v>1.1492407566427856</v>
      </c>
      <c r="U157" s="17">
        <v>0.30971288832147947</v>
      </c>
      <c r="V157" s="17">
        <v>1.322038261257461</v>
      </c>
      <c r="W157" s="17">
        <v>-0.54000870393571332</v>
      </c>
      <c r="X157" s="17">
        <v>-0.93446499101467595</v>
      </c>
      <c r="Y157" s="17">
        <v>1.3623707400649003</v>
      </c>
      <c r="Z157" s="17">
        <v>0.73556995189170193</v>
      </c>
      <c r="AA157" s="17">
        <v>1.6983871669386827</v>
      </c>
      <c r="AB157" s="17">
        <v>-1.2113068807979621</v>
      </c>
      <c r="AC157" s="17">
        <v>1.5906603286575782</v>
      </c>
      <c r="AD157" s="17">
        <v>-0.8593627097567913</v>
      </c>
      <c r="AE157" s="17">
        <v>1.3374666300864129</v>
      </c>
      <c r="AF157" s="17">
        <v>1.6049118769290147</v>
      </c>
      <c r="AG157" s="17">
        <v>1.3481853892245086</v>
      </c>
      <c r="AH157" s="17">
        <v>0.33128292594394448</v>
      </c>
      <c r="AI157" s="17">
        <v>-1.6572512841003593</v>
      </c>
      <c r="AJ157" s="17">
        <v>-0.4315878441673433</v>
      </c>
      <c r="AK157" s="17">
        <v>0.36873422441298942</v>
      </c>
      <c r="AM157" s="17">
        <v>-0.85281028216951349</v>
      </c>
      <c r="AN157" s="17">
        <v>0.75708557189371806</v>
      </c>
      <c r="AO157" s="17">
        <v>0.58490002905929595</v>
      </c>
      <c r="AP157" s="17">
        <v>0.39978232559283206</v>
      </c>
      <c r="AQ157" s="17">
        <v>0.89781539969788615</v>
      </c>
      <c r="AR157" s="17">
        <v>-0.76735469565303493</v>
      </c>
      <c r="AS157" s="17">
        <v>-0.86012014379254143</v>
      </c>
      <c r="AT157" s="17">
        <v>0.78853801732948059</v>
      </c>
      <c r="AU157" s="17">
        <v>0.88609425518587448</v>
      </c>
      <c r="AV157" s="17">
        <v>0.8876068713292008</v>
      </c>
      <c r="AW157" s="17">
        <v>-0.55780016431746771</v>
      </c>
      <c r="AX157" s="17">
        <v>0.85459833132298724</v>
      </c>
      <c r="AY157" s="17">
        <v>-0.68788013898546407</v>
      </c>
      <c r="AZ157" s="17">
        <v>0.91956090641294475</v>
      </c>
      <c r="BA157" s="17">
        <v>0.63403756904869923</v>
      </c>
      <c r="BB157" s="17">
        <v>0.59198498171828096</v>
      </c>
      <c r="BC157" s="17">
        <v>0.44870268069810737</v>
      </c>
      <c r="BD157" s="17">
        <v>-0.92846884187499523</v>
      </c>
      <c r="BE157" s="17">
        <v>-0.47729942500880973</v>
      </c>
      <c r="BF157" s="17">
        <v>0.40255618869781468</v>
      </c>
      <c r="BK157" s="20">
        <v>1.0326667115668662</v>
      </c>
      <c r="BL157" s="20">
        <v>-3.2659304360107819E-2</v>
      </c>
      <c r="BN157" s="21">
        <f t="shared" si="8"/>
        <v>0</v>
      </c>
    </row>
    <row r="158" spans="1:66">
      <c r="A158" s="14">
        <v>17.68</v>
      </c>
      <c r="B158" s="14">
        <v>20.74</v>
      </c>
      <c r="C158" s="14">
        <v>117.4</v>
      </c>
      <c r="D158" s="14">
        <v>963.7</v>
      </c>
      <c r="E158" s="14">
        <v>0.16650000000000001</v>
      </c>
      <c r="F158" s="14">
        <v>0.1855</v>
      </c>
      <c r="G158" s="14">
        <v>0.10539999999999999</v>
      </c>
      <c r="H158" s="14">
        <v>20.47</v>
      </c>
      <c r="I158" s="14">
        <v>1302</v>
      </c>
      <c r="J158" s="14">
        <v>0.1515</v>
      </c>
      <c r="M158" s="16">
        <v>1</v>
      </c>
      <c r="O158" s="12">
        <f t="shared" si="6"/>
        <v>0</v>
      </c>
      <c r="P158" s="12">
        <f t="shared" si="7"/>
        <v>1</v>
      </c>
      <c r="R158" s="17">
        <v>-0.86216493245391179</v>
      </c>
      <c r="S158" s="17">
        <v>0.86592397083683859</v>
      </c>
      <c r="T158" s="17">
        <v>1.1492407566427856</v>
      </c>
      <c r="U158" s="17">
        <v>0.30971288832147947</v>
      </c>
      <c r="V158" s="17">
        <v>1.322038261257461</v>
      </c>
      <c r="W158" s="17">
        <v>-0.54000870393571332</v>
      </c>
      <c r="X158" s="17">
        <v>-0.93446499101467595</v>
      </c>
      <c r="Y158" s="17">
        <v>1.3623707400649003</v>
      </c>
      <c r="Z158" s="17">
        <v>0.73556995189170193</v>
      </c>
      <c r="AA158" s="17">
        <v>1.6983871669386827</v>
      </c>
      <c r="AB158" s="17">
        <v>-1.2113068807979621</v>
      </c>
      <c r="AC158" s="17">
        <v>1.5906603286575782</v>
      </c>
      <c r="AD158" s="17">
        <v>-0.8593627097567913</v>
      </c>
      <c r="AE158" s="17">
        <v>1.3374666300864129</v>
      </c>
      <c r="AF158" s="17">
        <v>1.6049118769290147</v>
      </c>
      <c r="AG158" s="17">
        <v>1.3481853892245086</v>
      </c>
      <c r="AH158" s="17">
        <v>0.33128292594394448</v>
      </c>
      <c r="AI158" s="17">
        <v>-1.6572512841003593</v>
      </c>
      <c r="AJ158" s="17">
        <v>-0.4315878441673433</v>
      </c>
      <c r="AK158" s="17">
        <v>0.36873422441298942</v>
      </c>
      <c r="AM158" s="17">
        <v>-0.80575603204276258</v>
      </c>
      <c r="AN158" s="17">
        <v>0.76387831088041613</v>
      </c>
      <c r="AO158" s="17">
        <v>0.83531126256574817</v>
      </c>
      <c r="AP158" s="17">
        <v>0.36939909421017991</v>
      </c>
      <c r="AQ158" s="17">
        <v>0.90782400826258469</v>
      </c>
      <c r="AR158" s="17">
        <v>-0.65696575828441928</v>
      </c>
      <c r="AS158" s="17">
        <v>-0.826332233662191</v>
      </c>
      <c r="AT158" s="17">
        <v>0.88189687749024137</v>
      </c>
      <c r="AU158" s="17">
        <v>0.79382574934109384</v>
      </c>
      <c r="AV158" s="17">
        <v>0.94226294418351053</v>
      </c>
      <c r="AW158" s="17">
        <v>-0.80106636244929941</v>
      </c>
      <c r="AX158" s="17">
        <v>0.92562063141725559</v>
      </c>
      <c r="AY158" s="17">
        <v>-0.73617944649332678</v>
      </c>
      <c r="AZ158" s="17">
        <v>0.91804768279087656</v>
      </c>
      <c r="BA158" s="17">
        <v>0.89058204008209574</v>
      </c>
      <c r="BB158" s="17">
        <v>0.83904827052002218</v>
      </c>
      <c r="BC158" s="17">
        <v>0.40275843884718743</v>
      </c>
      <c r="BD158" s="17">
        <v>-0.94930945572859171</v>
      </c>
      <c r="BE158" s="17">
        <v>-0.47134397742853823</v>
      </c>
      <c r="BF158" s="17">
        <v>0.22001826142760922</v>
      </c>
      <c r="BK158" s="20">
        <v>1.1272970892806</v>
      </c>
      <c r="BL158" s="20">
        <v>-0.12731547627748618</v>
      </c>
      <c r="BN158" s="21">
        <f t="shared" si="8"/>
        <v>0</v>
      </c>
    </row>
    <row r="159" spans="1:66">
      <c r="A159" s="14">
        <v>16.84</v>
      </c>
      <c r="B159" s="14">
        <v>19.46</v>
      </c>
      <c r="C159" s="14">
        <v>108.4</v>
      </c>
      <c r="D159" s="14">
        <v>880.2</v>
      </c>
      <c r="E159" s="14">
        <v>7.2230000000000003E-2</v>
      </c>
      <c r="F159" s="14">
        <v>5.1499999999999997E-2</v>
      </c>
      <c r="G159" s="14">
        <v>2.7709999999999999E-2</v>
      </c>
      <c r="H159" s="14">
        <v>18.22</v>
      </c>
      <c r="I159" s="14">
        <v>1032</v>
      </c>
      <c r="J159" s="14">
        <v>8.4360000000000004E-2</v>
      </c>
      <c r="M159" s="16">
        <v>0</v>
      </c>
      <c r="O159" s="12">
        <f t="shared" si="6"/>
        <v>1</v>
      </c>
      <c r="P159" s="12">
        <f t="shared" si="7"/>
        <v>0</v>
      </c>
      <c r="R159" s="17">
        <v>-0.86216493245391179</v>
      </c>
      <c r="S159" s="17">
        <v>0.86592397083683859</v>
      </c>
      <c r="T159" s="17">
        <v>1.1492407566427856</v>
      </c>
      <c r="U159" s="17">
        <v>0.30971288832147947</v>
      </c>
      <c r="V159" s="17">
        <v>1.322038261257461</v>
      </c>
      <c r="W159" s="17">
        <v>-0.54000870393571332</v>
      </c>
      <c r="X159" s="17">
        <v>-0.93446499101467595</v>
      </c>
      <c r="Y159" s="17">
        <v>1.3623707400649003</v>
      </c>
      <c r="Z159" s="17">
        <v>0.73556995189170193</v>
      </c>
      <c r="AA159" s="17">
        <v>1.6983871669386827</v>
      </c>
      <c r="AB159" s="17">
        <v>-1.2113068807979621</v>
      </c>
      <c r="AC159" s="17">
        <v>1.5906603286575782</v>
      </c>
      <c r="AD159" s="17">
        <v>-0.8593627097567913</v>
      </c>
      <c r="AE159" s="17">
        <v>1.3374666300864129</v>
      </c>
      <c r="AF159" s="17">
        <v>1.6049118769290147</v>
      </c>
      <c r="AG159" s="17">
        <v>1.3481853892245086</v>
      </c>
      <c r="AH159" s="17">
        <v>0.33128292594394448</v>
      </c>
      <c r="AI159" s="17">
        <v>-1.6572512841003593</v>
      </c>
      <c r="AJ159" s="17">
        <v>-0.4315878441673433</v>
      </c>
      <c r="AK159" s="17">
        <v>0.36873422441298942</v>
      </c>
      <c r="AM159" s="17">
        <v>-0.89570427222242377</v>
      </c>
      <c r="AN159" s="17">
        <v>0.80497095825802334</v>
      </c>
      <c r="AO159" s="17">
        <v>0.59918022778971336</v>
      </c>
      <c r="AP159" s="17">
        <v>0.44827578685616032</v>
      </c>
      <c r="AQ159" s="17">
        <v>0.92722135772566683</v>
      </c>
      <c r="AR159" s="17">
        <v>-0.82642964796639284</v>
      </c>
      <c r="AS159" s="17">
        <v>-0.90068219093470858</v>
      </c>
      <c r="AT159" s="17">
        <v>0.8195312563052658</v>
      </c>
      <c r="AU159" s="17">
        <v>0.92609125747270893</v>
      </c>
      <c r="AV159" s="17">
        <v>0.91166644158186327</v>
      </c>
      <c r="AW159" s="17">
        <v>-0.56383500308809242</v>
      </c>
      <c r="AX159" s="17">
        <v>0.88123408099232825</v>
      </c>
      <c r="AY159" s="17">
        <v>-0.73351839974024369</v>
      </c>
      <c r="AZ159" s="17">
        <v>0.94566488712316843</v>
      </c>
      <c r="BA159" s="17">
        <v>0.62983112077350412</v>
      </c>
      <c r="BB159" s="17">
        <v>0.59551198627563118</v>
      </c>
      <c r="BC159" s="17">
        <v>0.50268527656139372</v>
      </c>
      <c r="BD159" s="17">
        <v>-0.94978691860394693</v>
      </c>
      <c r="BE159" s="17">
        <v>-0.52745817717813293</v>
      </c>
      <c r="BF159" s="17">
        <v>7.6314982138475151E-2</v>
      </c>
      <c r="BK159" s="20">
        <v>0.17058771213647708</v>
      </c>
      <c r="BL159" s="20">
        <v>0.82949824963002528</v>
      </c>
      <c r="BN159" s="21">
        <f t="shared" si="8"/>
        <v>1</v>
      </c>
    </row>
    <row r="160" spans="1:66">
      <c r="A160" s="14">
        <v>12.06</v>
      </c>
      <c r="B160" s="14">
        <v>12.74</v>
      </c>
      <c r="C160" s="14">
        <v>76.84</v>
      </c>
      <c r="D160" s="14">
        <v>448.6</v>
      </c>
      <c r="E160" s="14">
        <v>5.2409999999999998E-2</v>
      </c>
      <c r="F160" s="14">
        <v>1.9720000000000001E-2</v>
      </c>
      <c r="G160" s="14">
        <v>1.9630000000000002E-2</v>
      </c>
      <c r="H160" s="14">
        <v>13.14</v>
      </c>
      <c r="I160" s="14">
        <v>532.79999999999995</v>
      </c>
      <c r="J160" s="14">
        <v>7.0250000000000007E-2</v>
      </c>
      <c r="M160" s="16">
        <v>0</v>
      </c>
      <c r="O160" s="12">
        <f t="shared" si="6"/>
        <v>1</v>
      </c>
      <c r="P160" s="12">
        <f t="shared" si="7"/>
        <v>0</v>
      </c>
      <c r="R160" s="17">
        <v>-1.4643074708783446</v>
      </c>
      <c r="S160" s="17">
        <v>1.0359333700219733</v>
      </c>
      <c r="T160" s="17">
        <v>0.4503249130137873</v>
      </c>
      <c r="U160" s="17">
        <v>0.47751119115197871</v>
      </c>
      <c r="V160" s="17">
        <v>1.5052132201123889</v>
      </c>
      <c r="W160" s="17">
        <v>-1.2567352733816861</v>
      </c>
      <c r="X160" s="17">
        <v>-1.4659127711484521</v>
      </c>
      <c r="Y160" s="17">
        <v>0.877385815472147</v>
      </c>
      <c r="Z160" s="17">
        <v>1.7463530467411736</v>
      </c>
      <c r="AA160" s="17">
        <v>1.2163845753889837</v>
      </c>
      <c r="AB160" s="17">
        <v>-0.28839333793737798</v>
      </c>
      <c r="AC160" s="17">
        <v>1.0652147513376473</v>
      </c>
      <c r="AD160" s="17">
        <v>-0.81583654438301023</v>
      </c>
      <c r="AE160" s="17">
        <v>1.6894094608623824</v>
      </c>
      <c r="AF160" s="17">
        <v>0.2496334827590041</v>
      </c>
      <c r="AG160" s="17">
        <v>0.29010426800531797</v>
      </c>
      <c r="AH160" s="17">
        <v>0.55723475600471262</v>
      </c>
      <c r="AI160" s="17">
        <v>-1.603629768829455</v>
      </c>
      <c r="AJ160" s="17">
        <v>-0.55690825498325469</v>
      </c>
      <c r="AK160" s="17">
        <v>0.41256123463151428</v>
      </c>
      <c r="AM160" s="17">
        <v>-0.70045637243347303</v>
      </c>
      <c r="AN160" s="17">
        <v>0.69050642275952712</v>
      </c>
      <c r="AO160" s="17">
        <v>0.79056217337498724</v>
      </c>
      <c r="AP160" s="17">
        <v>0.29980624478128676</v>
      </c>
      <c r="AQ160" s="17">
        <v>0.85965756048690378</v>
      </c>
      <c r="AR160" s="17">
        <v>-0.50930910588721934</v>
      </c>
      <c r="AS160" s="17">
        <v>-0.73271943142168816</v>
      </c>
      <c r="AT160" s="17">
        <v>0.86061588264287769</v>
      </c>
      <c r="AU160" s="17">
        <v>0.64522695156783716</v>
      </c>
      <c r="AV160" s="17">
        <v>0.92488393240510003</v>
      </c>
      <c r="AW160" s="17">
        <v>-0.80963318195849765</v>
      </c>
      <c r="AX160" s="17">
        <v>0.90782218637217826</v>
      </c>
      <c r="AY160" s="17">
        <v>-0.68113786807625243</v>
      </c>
      <c r="AZ160" s="17">
        <v>0.86577241569944563</v>
      </c>
      <c r="BA160" s="17">
        <v>0.90236540013584976</v>
      </c>
      <c r="BB160" s="17">
        <v>0.84872058509235082</v>
      </c>
      <c r="BC160" s="17">
        <v>0.32149443579540082</v>
      </c>
      <c r="BD160" s="17">
        <v>-0.92236003848222348</v>
      </c>
      <c r="BE160" s="17">
        <v>-0.40135820269430234</v>
      </c>
      <c r="BF160" s="17">
        <v>0.30281040533294035</v>
      </c>
      <c r="BK160" s="20">
        <v>1.0597567453546277</v>
      </c>
      <c r="BL160" s="20">
        <v>-5.9812691254142188E-2</v>
      </c>
      <c r="BN160" s="21">
        <f t="shared" si="8"/>
        <v>0</v>
      </c>
    </row>
    <row r="161" spans="1:66">
      <c r="A161" s="14">
        <v>10.9</v>
      </c>
      <c r="B161" s="14">
        <v>12.96</v>
      </c>
      <c r="C161" s="14">
        <v>68.69</v>
      </c>
      <c r="D161" s="14">
        <v>366.8</v>
      </c>
      <c r="E161" s="14">
        <v>3.7179999999999998E-2</v>
      </c>
      <c r="F161" s="14">
        <v>3.0899999999999999E-3</v>
      </c>
      <c r="G161" s="14">
        <v>6.5880000000000001E-3</v>
      </c>
      <c r="H161" s="14">
        <v>12.36</v>
      </c>
      <c r="I161" s="14">
        <v>470</v>
      </c>
      <c r="J161" s="14">
        <v>3.9530000000000003E-2</v>
      </c>
      <c r="M161" s="16">
        <v>0</v>
      </c>
      <c r="O161" s="12">
        <f t="shared" si="6"/>
        <v>1</v>
      </c>
      <c r="P161" s="12">
        <f t="shared" si="7"/>
        <v>0</v>
      </c>
      <c r="R161" s="17">
        <v>-1.4643074708783446</v>
      </c>
      <c r="S161" s="17">
        <v>1.0359333700219733</v>
      </c>
      <c r="T161" s="17">
        <v>0.4503249130137873</v>
      </c>
      <c r="U161" s="17">
        <v>0.47751119115197871</v>
      </c>
      <c r="V161" s="17">
        <v>1.5052132201123889</v>
      </c>
      <c r="W161" s="17">
        <v>-1.2567352733816861</v>
      </c>
      <c r="X161" s="17">
        <v>-1.4659127711484521</v>
      </c>
      <c r="Y161" s="17">
        <v>0.877385815472147</v>
      </c>
      <c r="Z161" s="17">
        <v>1.7463530467411736</v>
      </c>
      <c r="AA161" s="17">
        <v>1.2163845753889837</v>
      </c>
      <c r="AB161" s="17">
        <v>-0.28839333793737798</v>
      </c>
      <c r="AC161" s="17">
        <v>1.0652147513376473</v>
      </c>
      <c r="AD161" s="17">
        <v>-0.81583654438301023</v>
      </c>
      <c r="AE161" s="17">
        <v>1.6894094608623824</v>
      </c>
      <c r="AF161" s="17">
        <v>0.2496334827590041</v>
      </c>
      <c r="AG161" s="17">
        <v>0.29010426800531797</v>
      </c>
      <c r="AH161" s="17">
        <v>0.55723475600471262</v>
      </c>
      <c r="AI161" s="17">
        <v>-1.603629768829455</v>
      </c>
      <c r="AJ161" s="17">
        <v>-0.55690825498325469</v>
      </c>
      <c r="AK161" s="17">
        <v>0.41256201738018505</v>
      </c>
      <c r="AM161" s="17">
        <v>-0.87238104507264713</v>
      </c>
      <c r="AN161" s="17">
        <v>0.76732176164179333</v>
      </c>
      <c r="AO161" s="17">
        <v>0.38456886626170339</v>
      </c>
      <c r="AP161" s="17">
        <v>0.41781853000558922</v>
      </c>
      <c r="AQ161" s="17">
        <v>0.90312496005237075</v>
      </c>
      <c r="AR161" s="17">
        <v>-0.80151518004413735</v>
      </c>
      <c r="AS161" s="17">
        <v>-0.87689927476093221</v>
      </c>
      <c r="AT161" s="17">
        <v>0.7678786260152759</v>
      </c>
      <c r="AU161" s="17">
        <v>0.91022002335315899</v>
      </c>
      <c r="AV161" s="17">
        <v>0.87639057521522123</v>
      </c>
      <c r="AW161" s="17">
        <v>-0.48051985555353854</v>
      </c>
      <c r="AX161" s="17">
        <v>0.83867471130487647</v>
      </c>
      <c r="AY161" s="17">
        <v>-0.68715160994322666</v>
      </c>
      <c r="AZ161" s="17">
        <v>0.92672787454149352</v>
      </c>
      <c r="BA161" s="17">
        <v>0.5311422642297039</v>
      </c>
      <c r="BB161" s="17">
        <v>0.50726410271723377</v>
      </c>
      <c r="BC161" s="17">
        <v>0.47138536051546132</v>
      </c>
      <c r="BD161" s="17">
        <v>-0.92860614430239674</v>
      </c>
      <c r="BE161" s="17">
        <v>-0.49037813323183971</v>
      </c>
      <c r="BF161" s="17">
        <v>-0.11726374206112439</v>
      </c>
      <c r="BK161" s="20">
        <v>0.97606295696986067</v>
      </c>
      <c r="BL161" s="20">
        <v>2.3801736359659285E-2</v>
      </c>
      <c r="BN161" s="21">
        <f t="shared" si="8"/>
        <v>0</v>
      </c>
    </row>
    <row r="162" spans="1:66">
      <c r="A162" s="14">
        <v>11.75</v>
      </c>
      <c r="B162" s="14">
        <v>20.18</v>
      </c>
      <c r="C162" s="14">
        <v>76.099999999999994</v>
      </c>
      <c r="D162" s="14">
        <v>419.8</v>
      </c>
      <c r="E162" s="14">
        <v>0.11409999999999999</v>
      </c>
      <c r="F162" s="14">
        <v>6.8430000000000005E-2</v>
      </c>
      <c r="G162" s="14">
        <v>3.7379999999999997E-2</v>
      </c>
      <c r="H162" s="14">
        <v>13.32</v>
      </c>
      <c r="I162" s="14">
        <v>543.9</v>
      </c>
      <c r="J162" s="14">
        <v>7.9089999999999994E-2</v>
      </c>
      <c r="M162" s="16">
        <v>0</v>
      </c>
      <c r="O162" s="12">
        <f t="shared" si="6"/>
        <v>1</v>
      </c>
      <c r="P162" s="12">
        <f t="shared" si="7"/>
        <v>0</v>
      </c>
      <c r="R162" s="17">
        <v>-0.86216493245391179</v>
      </c>
      <c r="S162" s="17">
        <v>0.86592397083683859</v>
      </c>
      <c r="T162" s="17">
        <v>1.1492407566427856</v>
      </c>
      <c r="U162" s="17">
        <v>0.30971288832147947</v>
      </c>
      <c r="V162" s="17">
        <v>1.322038261257461</v>
      </c>
      <c r="W162" s="17">
        <v>-0.54000870393571332</v>
      </c>
      <c r="X162" s="17">
        <v>-0.93446499101467595</v>
      </c>
      <c r="Y162" s="17">
        <v>1.3623707400649003</v>
      </c>
      <c r="Z162" s="17">
        <v>0.73556995189170193</v>
      </c>
      <c r="AA162" s="17">
        <v>1.6983871669386827</v>
      </c>
      <c r="AB162" s="17">
        <v>-1.2113068807979621</v>
      </c>
      <c r="AC162" s="17">
        <v>1.5906603286575782</v>
      </c>
      <c r="AD162" s="17">
        <v>-0.8593627097567913</v>
      </c>
      <c r="AE162" s="17">
        <v>1.3374666300864129</v>
      </c>
      <c r="AF162" s="17">
        <v>1.6049118769290147</v>
      </c>
      <c r="AG162" s="17">
        <v>1.3481853892245086</v>
      </c>
      <c r="AH162" s="17">
        <v>0.33128292594394448</v>
      </c>
      <c r="AI162" s="17">
        <v>-1.6572512841003593</v>
      </c>
      <c r="AJ162" s="17">
        <v>-0.4315878441673433</v>
      </c>
      <c r="AK162" s="17">
        <v>0.36873422441298942</v>
      </c>
      <c r="AM162" s="17">
        <v>-0.85122672791375376</v>
      </c>
      <c r="AN162" s="17">
        <v>0.7667145501139514</v>
      </c>
      <c r="AO162" s="17">
        <v>0.57604867185072561</v>
      </c>
      <c r="AP162" s="17">
        <v>0.40073389877067872</v>
      </c>
      <c r="AQ162" s="17">
        <v>0.90531781201027572</v>
      </c>
      <c r="AR162" s="17">
        <v>-0.75641410817289934</v>
      </c>
      <c r="AS162" s="17">
        <v>-0.86057583632997225</v>
      </c>
      <c r="AT162" s="17">
        <v>0.81889245053343318</v>
      </c>
      <c r="AU162" s="17">
        <v>0.87769391479016123</v>
      </c>
      <c r="AV162" s="17">
        <v>0.90684981405245091</v>
      </c>
      <c r="AW162" s="17">
        <v>-0.62825490040938836</v>
      </c>
      <c r="AX162" s="17">
        <v>0.87881672887043938</v>
      </c>
      <c r="AY162" s="17">
        <v>-0.70679113683176864</v>
      </c>
      <c r="AZ162" s="17">
        <v>0.92400106616134325</v>
      </c>
      <c r="BA162" s="17">
        <v>0.7168720613597237</v>
      </c>
      <c r="BB162" s="17">
        <v>0.66624365422219689</v>
      </c>
      <c r="BC162" s="17">
        <v>0.44721451477614332</v>
      </c>
      <c r="BD162" s="17">
        <v>-0.93740122298268036</v>
      </c>
      <c r="BE162" s="17">
        <v>-0.48403294114052797</v>
      </c>
      <c r="BF162" s="17">
        <v>5.2624909888378847E-2</v>
      </c>
      <c r="BK162" s="20">
        <v>0.99453821137124754</v>
      </c>
      <c r="BL162" s="20">
        <v>5.6127344080815081E-3</v>
      </c>
      <c r="BN162" s="21">
        <f t="shared" si="8"/>
        <v>0</v>
      </c>
    </row>
    <row r="163" spans="1:66">
      <c r="A163" s="14">
        <v>19.190000000000001</v>
      </c>
      <c r="B163" s="14">
        <v>15.94</v>
      </c>
      <c r="C163" s="14">
        <v>126.3</v>
      </c>
      <c r="D163" s="14">
        <v>1157</v>
      </c>
      <c r="E163" s="14">
        <v>0.11849999999999999</v>
      </c>
      <c r="F163" s="14">
        <v>0.1193</v>
      </c>
      <c r="G163" s="14">
        <v>9.6670000000000006E-2</v>
      </c>
      <c r="H163" s="14">
        <v>22.03</v>
      </c>
      <c r="I163" s="14">
        <v>1495</v>
      </c>
      <c r="J163" s="14">
        <v>0.1777</v>
      </c>
      <c r="M163" s="16">
        <v>1</v>
      </c>
      <c r="O163" s="12">
        <f t="shared" si="6"/>
        <v>0</v>
      </c>
      <c r="P163" s="12">
        <f t="shared" si="7"/>
        <v>1</v>
      </c>
      <c r="R163" s="17">
        <v>-1.4643074708783446</v>
      </c>
      <c r="S163" s="17">
        <v>1.0359333700219733</v>
      </c>
      <c r="T163" s="17">
        <v>0.4503249130137873</v>
      </c>
      <c r="U163" s="17">
        <v>0.47751119115197871</v>
      </c>
      <c r="V163" s="17">
        <v>1.5052132201123889</v>
      </c>
      <c r="W163" s="17">
        <v>-1.2567352733816861</v>
      </c>
      <c r="X163" s="17">
        <v>-1.4659127711484521</v>
      </c>
      <c r="Y163" s="17">
        <v>0.877385815472147</v>
      </c>
      <c r="Z163" s="17">
        <v>1.7463530467411736</v>
      </c>
      <c r="AA163" s="17">
        <v>1.2163845753889837</v>
      </c>
      <c r="AB163" s="17">
        <v>-0.28839333793737798</v>
      </c>
      <c r="AC163" s="17">
        <v>1.0652147513376473</v>
      </c>
      <c r="AD163" s="17">
        <v>-0.81583654438301023</v>
      </c>
      <c r="AE163" s="17">
        <v>1.6894094608623824</v>
      </c>
      <c r="AF163" s="17">
        <v>0.2496334827590041</v>
      </c>
      <c r="AG163" s="17">
        <v>0.29010426800531797</v>
      </c>
      <c r="AH163" s="17">
        <v>0.55723475600471262</v>
      </c>
      <c r="AI163" s="17">
        <v>-1.603629768829455</v>
      </c>
      <c r="AJ163" s="17">
        <v>-0.55690825498325469</v>
      </c>
      <c r="AK163" s="17">
        <v>0.41256201738018505</v>
      </c>
      <c r="AM163" s="17">
        <v>-0.81257643736003926</v>
      </c>
      <c r="AN163" s="17">
        <v>0.7397943585104525</v>
      </c>
      <c r="AO163" s="17">
        <v>0.73431340213525687</v>
      </c>
      <c r="AP163" s="17">
        <v>0.3682742224887392</v>
      </c>
      <c r="AQ163" s="17">
        <v>0.88900208887208554</v>
      </c>
      <c r="AR163" s="17">
        <v>-0.69555127666685346</v>
      </c>
      <c r="AS163" s="17">
        <v>-0.82646837187644184</v>
      </c>
      <c r="AT163" s="17">
        <v>0.82322065985662241</v>
      </c>
      <c r="AU163" s="17">
        <v>0.82890109788456634</v>
      </c>
      <c r="AV163" s="17">
        <v>0.90657040192724647</v>
      </c>
      <c r="AW163" s="17">
        <v>-0.67672635764859668</v>
      </c>
      <c r="AX163" s="17">
        <v>0.88095592075133733</v>
      </c>
      <c r="AY163" s="17">
        <v>-0.69123605852110614</v>
      </c>
      <c r="AZ163" s="17">
        <v>0.90628201625096894</v>
      </c>
      <c r="BA163" s="17">
        <v>0.77501142880052698</v>
      </c>
      <c r="BB163" s="17">
        <v>0.71756000127233377</v>
      </c>
      <c r="BC163" s="17">
        <v>0.4083174431831772</v>
      </c>
      <c r="BD163" s="17">
        <v>-0.92927147326539405</v>
      </c>
      <c r="BE163" s="17">
        <v>-0.45516356688262516</v>
      </c>
      <c r="BF163" s="17">
        <v>0.50832118096857171</v>
      </c>
      <c r="BK163" s="20">
        <v>1.0465035275646133</v>
      </c>
      <c r="BL163" s="20">
        <v>-4.6536719165973899E-2</v>
      </c>
      <c r="BN163" s="21">
        <f t="shared" si="8"/>
        <v>0</v>
      </c>
    </row>
    <row r="164" spans="1:66">
      <c r="A164" s="14">
        <v>19.59</v>
      </c>
      <c r="B164" s="14">
        <v>18.149999999999999</v>
      </c>
      <c r="C164" s="14">
        <v>130.69999999999999</v>
      </c>
      <c r="D164" s="14">
        <v>1214</v>
      </c>
      <c r="E164" s="14">
        <v>0.1666</v>
      </c>
      <c r="F164" s="14">
        <v>0.25080000000000002</v>
      </c>
      <c r="G164" s="14">
        <v>0.12859999999999999</v>
      </c>
      <c r="H164" s="14">
        <v>26.73</v>
      </c>
      <c r="I164" s="14">
        <v>2232</v>
      </c>
      <c r="J164" s="14">
        <v>0.22470000000000001</v>
      </c>
      <c r="M164" s="16">
        <v>1</v>
      </c>
      <c r="O164" s="12">
        <f t="shared" si="6"/>
        <v>0</v>
      </c>
      <c r="P164" s="12">
        <f t="shared" si="7"/>
        <v>1</v>
      </c>
      <c r="R164" s="17">
        <v>-0.86216493245391179</v>
      </c>
      <c r="S164" s="17">
        <v>0.86592397083683859</v>
      </c>
      <c r="T164" s="17">
        <v>1.1492407566427856</v>
      </c>
      <c r="U164" s="17">
        <v>0.30971288832147947</v>
      </c>
      <c r="V164" s="17">
        <v>1.322038261257461</v>
      </c>
      <c r="W164" s="17">
        <v>-0.54000870393571332</v>
      </c>
      <c r="X164" s="17">
        <v>-0.93446499101467595</v>
      </c>
      <c r="Y164" s="17">
        <v>1.3623707400649003</v>
      </c>
      <c r="Z164" s="17">
        <v>0.73556995189170193</v>
      </c>
      <c r="AA164" s="17">
        <v>1.6983871669386827</v>
      </c>
      <c r="AB164" s="17">
        <v>-1.2113068807979621</v>
      </c>
      <c r="AC164" s="17">
        <v>1.5906603286575782</v>
      </c>
      <c r="AD164" s="17">
        <v>-0.8593627097567913</v>
      </c>
      <c r="AE164" s="17">
        <v>1.3374666300864129</v>
      </c>
      <c r="AF164" s="17">
        <v>1.6049118769290147</v>
      </c>
      <c r="AG164" s="17">
        <v>1.3481853892245086</v>
      </c>
      <c r="AH164" s="17">
        <v>0.33128292594394448</v>
      </c>
      <c r="AI164" s="17">
        <v>-1.6572512841003593</v>
      </c>
      <c r="AJ164" s="17">
        <v>-0.4315878441673433</v>
      </c>
      <c r="AK164" s="17">
        <v>0.36873422326638383</v>
      </c>
      <c r="AM164" s="17">
        <v>-0.87316310051235657</v>
      </c>
      <c r="AN164" s="17">
        <v>0.77134242526988828</v>
      </c>
      <c r="AO164" s="17">
        <v>0.41423291466812573</v>
      </c>
      <c r="AP164" s="17">
        <v>0.41939421003767668</v>
      </c>
      <c r="AQ164" s="17">
        <v>0.90606704088884438</v>
      </c>
      <c r="AR164" s="17">
        <v>-0.80041678445997999</v>
      </c>
      <c r="AS164" s="17">
        <v>-0.87813754946352185</v>
      </c>
      <c r="AT164" s="17">
        <v>0.77866984275451678</v>
      </c>
      <c r="AU164" s="17">
        <v>0.90941153479115067</v>
      </c>
      <c r="AV164" s="17">
        <v>0.88352395483671975</v>
      </c>
      <c r="AW164" s="17">
        <v>-0.50421516181579062</v>
      </c>
      <c r="AX164" s="17">
        <v>0.84755776523727333</v>
      </c>
      <c r="AY164" s="17">
        <v>-0.69394037185809787</v>
      </c>
      <c r="AZ164" s="17">
        <v>0.92866090001607327</v>
      </c>
      <c r="BA164" s="17">
        <v>0.56160841132527228</v>
      </c>
      <c r="BB164" s="17">
        <v>0.53299677720772032</v>
      </c>
      <c r="BC164" s="17">
        <v>0.47242919330617383</v>
      </c>
      <c r="BD164" s="17">
        <v>-0.93191296116823596</v>
      </c>
      <c r="BE164" s="17">
        <v>-0.49363591590006989</v>
      </c>
      <c r="BF164" s="17">
        <v>0.12408664619143844</v>
      </c>
      <c r="BK164" s="20">
        <v>0.38544285401311856</v>
      </c>
      <c r="BL164" s="20">
        <v>0.61460237476174673</v>
      </c>
      <c r="BN164" s="21">
        <f t="shared" si="8"/>
        <v>1</v>
      </c>
    </row>
    <row r="165" spans="1:66">
      <c r="A165" s="14">
        <v>12.34</v>
      </c>
      <c r="B165" s="14">
        <v>22.22</v>
      </c>
      <c r="C165" s="14">
        <v>79.849999999999994</v>
      </c>
      <c r="D165" s="14">
        <v>464.5</v>
      </c>
      <c r="E165" s="14">
        <v>0.10150000000000001</v>
      </c>
      <c r="F165" s="14">
        <v>5.3699999999999998E-2</v>
      </c>
      <c r="G165" s="14">
        <v>2.8219999999999999E-2</v>
      </c>
      <c r="H165" s="14">
        <v>13.58</v>
      </c>
      <c r="I165" s="14">
        <v>553</v>
      </c>
      <c r="J165" s="14">
        <v>8.1939999999999999E-2</v>
      </c>
      <c r="M165" s="16">
        <v>0</v>
      </c>
      <c r="O165" s="12">
        <f t="shared" si="6"/>
        <v>1</v>
      </c>
      <c r="P165" s="12">
        <f t="shared" si="7"/>
        <v>0</v>
      </c>
      <c r="R165" s="17">
        <v>-1.4643074708783446</v>
      </c>
      <c r="S165" s="17">
        <v>1.0359333700219733</v>
      </c>
      <c r="T165" s="17">
        <v>0.4503249130137873</v>
      </c>
      <c r="U165" s="17">
        <v>0.47751119115197871</v>
      </c>
      <c r="V165" s="17">
        <v>1.5052132201123889</v>
      </c>
      <c r="W165" s="17">
        <v>-1.2567352733816861</v>
      </c>
      <c r="X165" s="17">
        <v>-1.4659127711484521</v>
      </c>
      <c r="Y165" s="17">
        <v>0.877385815472147</v>
      </c>
      <c r="Z165" s="17">
        <v>1.7463530467411736</v>
      </c>
      <c r="AA165" s="17">
        <v>1.2163845753889837</v>
      </c>
      <c r="AB165" s="17">
        <v>-0.28839333793737798</v>
      </c>
      <c r="AC165" s="17">
        <v>1.0652147513376473</v>
      </c>
      <c r="AD165" s="17">
        <v>-0.81583654438301023</v>
      </c>
      <c r="AE165" s="17">
        <v>1.6894094608623824</v>
      </c>
      <c r="AF165" s="17">
        <v>0.2496334827590041</v>
      </c>
      <c r="AG165" s="17">
        <v>0.29010426800531797</v>
      </c>
      <c r="AH165" s="17">
        <v>0.55723475600471262</v>
      </c>
      <c r="AI165" s="17">
        <v>-1.603629768829455</v>
      </c>
      <c r="AJ165" s="17">
        <v>-0.55690825498325469</v>
      </c>
      <c r="AK165" s="17">
        <v>0.41256069634546211</v>
      </c>
      <c r="AM165" s="17">
        <v>-0.79223053976794255</v>
      </c>
      <c r="AN165" s="17">
        <v>0.72801059597469819</v>
      </c>
      <c r="AO165" s="17">
        <v>0.70839403621929442</v>
      </c>
      <c r="AP165" s="17">
        <v>0.3535050871484941</v>
      </c>
      <c r="AQ165" s="17">
        <v>0.88178800783650324</v>
      </c>
      <c r="AR165" s="17">
        <v>-0.66287258130861459</v>
      </c>
      <c r="AS165" s="17">
        <v>-0.80888956974171411</v>
      </c>
      <c r="AT165" s="17">
        <v>0.82799183426391365</v>
      </c>
      <c r="AU165" s="17">
        <v>0.80027954340001173</v>
      </c>
      <c r="AV165" s="17">
        <v>0.90828202958504978</v>
      </c>
      <c r="AW165" s="17">
        <v>-0.70260635920984671</v>
      </c>
      <c r="AX165" s="17">
        <v>0.88416285203925904</v>
      </c>
      <c r="AY165" s="17">
        <v>-0.68609083727896958</v>
      </c>
      <c r="AZ165" s="17">
        <v>0.89771176319335033</v>
      </c>
      <c r="BA165" s="17">
        <v>0.80331707611144376</v>
      </c>
      <c r="BB165" s="17">
        <v>0.74419688019595664</v>
      </c>
      <c r="BC165" s="17">
        <v>0.39018577332365989</v>
      </c>
      <c r="BD165" s="17">
        <v>-0.92633564504477528</v>
      </c>
      <c r="BE165" s="17">
        <v>-0.44262188006275222</v>
      </c>
      <c r="BF165" s="17">
        <v>0.27323996867323957</v>
      </c>
      <c r="BK165" s="20">
        <v>0.91103540758299184</v>
      </c>
      <c r="BL165" s="20">
        <v>8.91486073871601E-2</v>
      </c>
      <c r="BN165" s="21">
        <f t="shared" si="8"/>
        <v>0</v>
      </c>
    </row>
    <row r="166" spans="1:66">
      <c r="A166" s="14">
        <v>23.27</v>
      </c>
      <c r="B166" s="14">
        <v>22.04</v>
      </c>
      <c r="C166" s="14">
        <v>152.1</v>
      </c>
      <c r="D166" s="14">
        <v>1686</v>
      </c>
      <c r="E166" s="14">
        <v>0.1145</v>
      </c>
      <c r="F166" s="14">
        <v>0.13239999999999999</v>
      </c>
      <c r="G166" s="14">
        <v>9.7019999999999995E-2</v>
      </c>
      <c r="H166" s="14">
        <v>28.01</v>
      </c>
      <c r="I166" s="14">
        <v>2403</v>
      </c>
      <c r="J166" s="14">
        <v>0.2346</v>
      </c>
      <c r="M166" s="16">
        <v>1</v>
      </c>
      <c r="O166" s="12">
        <f t="shared" si="6"/>
        <v>0</v>
      </c>
      <c r="P166" s="12">
        <f t="shared" si="7"/>
        <v>1</v>
      </c>
      <c r="R166" s="17">
        <v>-1.4643074708783446</v>
      </c>
      <c r="S166" s="17">
        <v>1.0359333700219733</v>
      </c>
      <c r="T166" s="17">
        <v>0.4503249130137873</v>
      </c>
      <c r="U166" s="17">
        <v>0.47751119115197871</v>
      </c>
      <c r="V166" s="17">
        <v>1.5052132201123889</v>
      </c>
      <c r="W166" s="17">
        <v>-1.2567352733816861</v>
      </c>
      <c r="X166" s="17">
        <v>-1.4659127711484521</v>
      </c>
      <c r="Y166" s="17">
        <v>0.877385815472147</v>
      </c>
      <c r="Z166" s="17">
        <v>1.7463530467411736</v>
      </c>
      <c r="AA166" s="17">
        <v>1.2163845753889837</v>
      </c>
      <c r="AB166" s="17">
        <v>-0.28839333793737798</v>
      </c>
      <c r="AC166" s="17">
        <v>1.0652147513376473</v>
      </c>
      <c r="AD166" s="17">
        <v>-0.81583654438301023</v>
      </c>
      <c r="AE166" s="17">
        <v>1.6894094608623824</v>
      </c>
      <c r="AF166" s="17">
        <v>0.2496334827590041</v>
      </c>
      <c r="AG166" s="17">
        <v>0.29010426800531797</v>
      </c>
      <c r="AH166" s="17">
        <v>0.55723475600471262</v>
      </c>
      <c r="AI166" s="17">
        <v>-1.603629768829455</v>
      </c>
      <c r="AJ166" s="17">
        <v>-0.55690825498325469</v>
      </c>
      <c r="AK166" s="17">
        <v>0.41256201738018505</v>
      </c>
      <c r="AM166" s="17">
        <v>-0.74010295199076281</v>
      </c>
      <c r="AN166" s="17">
        <v>0.70185204289661152</v>
      </c>
      <c r="AO166" s="17">
        <v>0.73461489130304913</v>
      </c>
      <c r="AP166" s="17">
        <v>0.32045792432786946</v>
      </c>
      <c r="AQ166" s="17">
        <v>0.86552397623783406</v>
      </c>
      <c r="AR166" s="17">
        <v>-0.57903322903912491</v>
      </c>
      <c r="AS166" s="17">
        <v>-0.7645357021099819</v>
      </c>
      <c r="AT166" s="17">
        <v>0.84113311354462628</v>
      </c>
      <c r="AU166" s="17">
        <v>0.7197111714470229</v>
      </c>
      <c r="AV166" s="17">
        <v>0.91392415885507561</v>
      </c>
      <c r="AW166" s="17">
        <v>-0.75918879633898906</v>
      </c>
      <c r="AX166" s="17">
        <v>0.89333226185240733</v>
      </c>
      <c r="AY166" s="17">
        <v>-0.67690374975392853</v>
      </c>
      <c r="AZ166" s="17">
        <v>0.87696284602970698</v>
      </c>
      <c r="BA166" s="17">
        <v>0.85960223791780144</v>
      </c>
      <c r="BB166" s="17">
        <v>0.80074821722809175</v>
      </c>
      <c r="BC166" s="17">
        <v>0.3489599201947769</v>
      </c>
      <c r="BD166" s="17">
        <v>-0.92071555594985244</v>
      </c>
      <c r="BE166" s="17">
        <v>-0.41523611234690216</v>
      </c>
      <c r="BF166" s="17">
        <v>9.2459981801473162E-2</v>
      </c>
      <c r="BK166" s="20">
        <v>0.59513538643491781</v>
      </c>
      <c r="BL166" s="20">
        <v>0.40482966119785407</v>
      </c>
      <c r="BN166" s="21">
        <f t="shared" si="8"/>
        <v>0</v>
      </c>
    </row>
    <row r="167" spans="1:66">
      <c r="A167" s="14">
        <v>14.97</v>
      </c>
      <c r="B167" s="14">
        <v>19.760000000000002</v>
      </c>
      <c r="C167" s="14">
        <v>95.5</v>
      </c>
      <c r="D167" s="14">
        <v>690.2</v>
      </c>
      <c r="E167" s="14">
        <v>5.3519999999999998E-2</v>
      </c>
      <c r="F167" s="14">
        <v>1.9470000000000001E-2</v>
      </c>
      <c r="G167" s="14">
        <v>1.9390000000000001E-2</v>
      </c>
      <c r="H167" s="14">
        <v>15.98</v>
      </c>
      <c r="I167" s="14">
        <v>782.1</v>
      </c>
      <c r="J167" s="14">
        <v>5.7540000000000001E-2</v>
      </c>
      <c r="M167" s="16">
        <v>0</v>
      </c>
      <c r="O167" s="12">
        <f t="shared" si="6"/>
        <v>1</v>
      </c>
      <c r="P167" s="12">
        <f t="shared" si="7"/>
        <v>0</v>
      </c>
      <c r="R167" s="17">
        <v>-0.86216493245391179</v>
      </c>
      <c r="S167" s="17">
        <v>0.86592397083683859</v>
      </c>
      <c r="T167" s="17">
        <v>1.1492407566427856</v>
      </c>
      <c r="U167" s="17">
        <v>0.30971288832147947</v>
      </c>
      <c r="V167" s="17">
        <v>1.322038261257461</v>
      </c>
      <c r="W167" s="17">
        <v>-0.54000870393571332</v>
      </c>
      <c r="X167" s="17">
        <v>-0.93446499101467595</v>
      </c>
      <c r="Y167" s="17">
        <v>1.3623707400649003</v>
      </c>
      <c r="Z167" s="17">
        <v>0.73556995189170193</v>
      </c>
      <c r="AA167" s="17">
        <v>1.6983871669386827</v>
      </c>
      <c r="AB167" s="17">
        <v>-1.2113068807979621</v>
      </c>
      <c r="AC167" s="17">
        <v>1.5906603286575782</v>
      </c>
      <c r="AD167" s="17">
        <v>-0.8593627097567913</v>
      </c>
      <c r="AE167" s="17">
        <v>1.3374666300864129</v>
      </c>
      <c r="AF167" s="17">
        <v>1.6049118769290147</v>
      </c>
      <c r="AG167" s="17">
        <v>1.3481853892245086</v>
      </c>
      <c r="AH167" s="17">
        <v>0.33128292594394448</v>
      </c>
      <c r="AI167" s="17">
        <v>-1.6572512841003593</v>
      </c>
      <c r="AJ167" s="17">
        <v>-0.4315878441673433</v>
      </c>
      <c r="AK167" s="17">
        <v>0.36873422441298942</v>
      </c>
      <c r="AM167" s="17">
        <v>-0.70766225009895345</v>
      </c>
      <c r="AN167" s="17">
        <v>0.68767512366975425</v>
      </c>
      <c r="AO167" s="17">
        <v>0.77853050370832666</v>
      </c>
      <c r="AP167" s="17">
        <v>0.3024708512634402</v>
      </c>
      <c r="AQ167" s="17">
        <v>0.85657310260597819</v>
      </c>
      <c r="AR167" s="17">
        <v>-0.5271336160755592</v>
      </c>
      <c r="AS167" s="17">
        <v>-0.73730965735241605</v>
      </c>
      <c r="AT167" s="17">
        <v>0.84913992001906813</v>
      </c>
      <c r="AU167" s="17">
        <v>0.66506480868955986</v>
      </c>
      <c r="AV167" s="17">
        <v>0.9176893079802575</v>
      </c>
      <c r="AW167" s="17">
        <v>-0.78783967000071509</v>
      </c>
      <c r="AX167" s="17">
        <v>0.89901357098956969</v>
      </c>
      <c r="AY167" s="17">
        <v>-0.67302068502558698</v>
      </c>
      <c r="AZ167" s="17">
        <v>0.86469918855213856</v>
      </c>
      <c r="BA167" s="17">
        <v>0.8851273929315514</v>
      </c>
      <c r="BB167" s="17">
        <v>0.82842556243285059</v>
      </c>
      <c r="BC167" s="17">
        <v>0.32618899175260369</v>
      </c>
      <c r="BD167" s="17">
        <v>-0.9181452999032893</v>
      </c>
      <c r="BE167" s="17">
        <v>-0.40064985056683949</v>
      </c>
      <c r="BF167" s="17">
        <v>0.28445006617193136</v>
      </c>
      <c r="BK167" s="20">
        <v>1.0205385100567999</v>
      </c>
      <c r="BL167" s="20">
        <v>-2.0537803253819799E-2</v>
      </c>
      <c r="BN167" s="21">
        <f t="shared" si="8"/>
        <v>0</v>
      </c>
    </row>
    <row r="168" spans="1:66">
      <c r="A168" s="14">
        <v>10.8</v>
      </c>
      <c r="B168" s="14">
        <v>9.7100000000000009</v>
      </c>
      <c r="C168" s="14">
        <v>68.77</v>
      </c>
      <c r="D168" s="14">
        <v>357.6</v>
      </c>
      <c r="E168" s="14">
        <v>5.7360000000000001E-2</v>
      </c>
      <c r="F168" s="14">
        <v>2.5309999999999999E-2</v>
      </c>
      <c r="G168" s="14">
        <v>1.6979999999999999E-2</v>
      </c>
      <c r="H168" s="14">
        <v>11.6</v>
      </c>
      <c r="I168" s="14">
        <v>414</v>
      </c>
      <c r="J168" s="14">
        <v>4.6030000000000001E-2</v>
      </c>
      <c r="M168" s="16">
        <v>0</v>
      </c>
      <c r="O168" s="12">
        <f t="shared" si="6"/>
        <v>1</v>
      </c>
      <c r="P168" s="12">
        <f t="shared" si="7"/>
        <v>0</v>
      </c>
      <c r="R168" s="17">
        <v>-1.4643074708783446</v>
      </c>
      <c r="S168" s="17">
        <v>1.0359333700219733</v>
      </c>
      <c r="T168" s="17">
        <v>0.4503249130137873</v>
      </c>
      <c r="U168" s="17">
        <v>0.47751119115197871</v>
      </c>
      <c r="V168" s="17">
        <v>1.5052132201123889</v>
      </c>
      <c r="W168" s="17">
        <v>-1.2567352733816861</v>
      </c>
      <c r="X168" s="17">
        <v>-1.4659127711484521</v>
      </c>
      <c r="Y168" s="17">
        <v>0.877385815472147</v>
      </c>
      <c r="Z168" s="17">
        <v>1.7463530467411736</v>
      </c>
      <c r="AA168" s="17">
        <v>1.2163845753889837</v>
      </c>
      <c r="AB168" s="17">
        <v>-0.28839333793737798</v>
      </c>
      <c r="AC168" s="17">
        <v>1.0652147513376473</v>
      </c>
      <c r="AD168" s="17">
        <v>-0.81583654438301023</v>
      </c>
      <c r="AE168" s="17">
        <v>1.6894094608623824</v>
      </c>
      <c r="AF168" s="17">
        <v>0.2496334827590041</v>
      </c>
      <c r="AG168" s="17">
        <v>0.29010426800531797</v>
      </c>
      <c r="AH168" s="17">
        <v>0.55723475600471262</v>
      </c>
      <c r="AI168" s="17">
        <v>-1.603629768829455</v>
      </c>
      <c r="AJ168" s="17">
        <v>-0.55690825498325469</v>
      </c>
      <c r="AK168" s="17">
        <v>0.41256201738018505</v>
      </c>
      <c r="AM168" s="17">
        <v>-0.8907439743006641</v>
      </c>
      <c r="AN168" s="17">
        <v>0.78773158184613534</v>
      </c>
      <c r="AO168" s="17">
        <v>0.52442092522936734</v>
      </c>
      <c r="AP168" s="17">
        <v>0.43917946732899071</v>
      </c>
      <c r="AQ168" s="17">
        <v>0.91578695195040816</v>
      </c>
      <c r="AR168" s="17">
        <v>-0.82712697897601406</v>
      </c>
      <c r="AS168" s="17">
        <v>-0.89428991482567044</v>
      </c>
      <c r="AT168" s="17">
        <v>0.77877981794195406</v>
      </c>
      <c r="AU168" s="17">
        <v>0.92676972772297261</v>
      </c>
      <c r="AV168" s="17">
        <v>0.88591727259362107</v>
      </c>
      <c r="AW168" s="17">
        <v>-0.47181852068616437</v>
      </c>
      <c r="AX168" s="17">
        <v>0.84864609894854237</v>
      </c>
      <c r="AY168" s="17">
        <v>-0.70567901725616888</v>
      </c>
      <c r="AZ168" s="17">
        <v>0.93797046744013157</v>
      </c>
      <c r="BA168" s="17">
        <v>0.51337096938123417</v>
      </c>
      <c r="BB168" s="17">
        <v>0.49623101329943053</v>
      </c>
      <c r="BC168" s="17">
        <v>0.49539316227883934</v>
      </c>
      <c r="BD168" s="17">
        <v>-0.9378325026566714</v>
      </c>
      <c r="BE168" s="17">
        <v>-0.51183823348495083</v>
      </c>
      <c r="BF168" s="17">
        <v>-0.47726470962967127</v>
      </c>
      <c r="BK168" s="20">
        <v>1.0127459852804321</v>
      </c>
      <c r="BL168" s="20">
        <v>-1.2739553804575986E-2</v>
      </c>
      <c r="BN168" s="21">
        <f t="shared" si="8"/>
        <v>0</v>
      </c>
    </row>
    <row r="169" spans="1:66">
      <c r="A169" s="14">
        <v>16.78</v>
      </c>
      <c r="B169" s="14">
        <v>18.8</v>
      </c>
      <c r="C169" s="14">
        <v>109.3</v>
      </c>
      <c r="D169" s="14">
        <v>886.3</v>
      </c>
      <c r="E169" s="14">
        <v>9.1819999999999999E-2</v>
      </c>
      <c r="F169" s="14">
        <v>8.4220000000000003E-2</v>
      </c>
      <c r="G169" s="14">
        <v>6.5759999999999999E-2</v>
      </c>
      <c r="H169" s="14">
        <v>20.05</v>
      </c>
      <c r="I169" s="14">
        <v>1260</v>
      </c>
      <c r="J169" s="14">
        <v>0.1474</v>
      </c>
      <c r="M169" s="16">
        <v>1</v>
      </c>
      <c r="O169" s="12">
        <f t="shared" si="6"/>
        <v>0</v>
      </c>
      <c r="P169" s="12">
        <f t="shared" si="7"/>
        <v>1</v>
      </c>
      <c r="R169" s="17">
        <v>-1.4643074708783446</v>
      </c>
      <c r="S169" s="17">
        <v>1.0359333700219733</v>
      </c>
      <c r="T169" s="17">
        <v>0.4503249130137873</v>
      </c>
      <c r="U169" s="17">
        <v>0.47751119115197871</v>
      </c>
      <c r="V169" s="17">
        <v>1.5052132201123889</v>
      </c>
      <c r="W169" s="17">
        <v>-1.2567352733816861</v>
      </c>
      <c r="X169" s="17">
        <v>-1.4659127711484521</v>
      </c>
      <c r="Y169" s="17">
        <v>0.877385815472147</v>
      </c>
      <c r="Z169" s="17">
        <v>1.7463530467411736</v>
      </c>
      <c r="AA169" s="17">
        <v>1.2163845753889837</v>
      </c>
      <c r="AB169" s="17">
        <v>-0.28839333793737798</v>
      </c>
      <c r="AC169" s="17">
        <v>1.0652147513376473</v>
      </c>
      <c r="AD169" s="17">
        <v>-0.81583654438301023</v>
      </c>
      <c r="AE169" s="17">
        <v>1.6894094608623824</v>
      </c>
      <c r="AF169" s="17">
        <v>0.2496334827590041</v>
      </c>
      <c r="AG169" s="17">
        <v>0.29010426800531797</v>
      </c>
      <c r="AH169" s="17">
        <v>0.55723475600471262</v>
      </c>
      <c r="AI169" s="17">
        <v>-1.603629768829455</v>
      </c>
      <c r="AJ169" s="17">
        <v>-0.55690825498325469</v>
      </c>
      <c r="AK169" s="17">
        <v>0.41256201738013953</v>
      </c>
      <c r="AM169" s="17">
        <v>-0.68600938207147322</v>
      </c>
      <c r="AN169" s="17">
        <v>0.68839002115312398</v>
      </c>
      <c r="AO169" s="17">
        <v>0.81118118135511685</v>
      </c>
      <c r="AP169" s="17">
        <v>0.29312447498366595</v>
      </c>
      <c r="AQ169" s="17">
        <v>0.85914551289951435</v>
      </c>
      <c r="AR169" s="17">
        <v>-0.48208837674142069</v>
      </c>
      <c r="AS169" s="17">
        <v>-0.72165376933605585</v>
      </c>
      <c r="AT169" s="17">
        <v>0.8694305831059661</v>
      </c>
      <c r="AU169" s="17">
        <v>0.61443430543663669</v>
      </c>
      <c r="AV169" s="17">
        <v>0.93004440092079521</v>
      </c>
      <c r="AW169" s="17">
        <v>-0.82875354468579043</v>
      </c>
      <c r="AX169" s="17">
        <v>0.91438608627219431</v>
      </c>
      <c r="AY169" s="17">
        <v>-0.68522637620725257</v>
      </c>
      <c r="AZ169" s="17">
        <v>0.86295455882474437</v>
      </c>
      <c r="BA169" s="17">
        <v>0.91689513614224449</v>
      </c>
      <c r="BB169" s="17">
        <v>0.86628873364459102</v>
      </c>
      <c r="BC169" s="17">
        <v>0.31214667464048862</v>
      </c>
      <c r="BD169" s="17">
        <v>-0.92429451020884035</v>
      </c>
      <c r="BE169" s="17">
        <v>-0.397793399998429</v>
      </c>
      <c r="BF169" s="17">
        <v>0.14841564219897399</v>
      </c>
      <c r="BK169" s="20">
        <v>1.0528609072923865</v>
      </c>
      <c r="BL169" s="20">
        <v>-5.2659837244200328E-2</v>
      </c>
      <c r="BN169" s="21">
        <f t="shared" si="8"/>
        <v>0</v>
      </c>
    </row>
    <row r="170" spans="1:66">
      <c r="A170" s="14">
        <v>17.47</v>
      </c>
      <c r="B170" s="14">
        <v>24.68</v>
      </c>
      <c r="C170" s="14">
        <v>116.1</v>
      </c>
      <c r="D170" s="14">
        <v>984.6</v>
      </c>
      <c r="E170" s="14">
        <v>0.1603</v>
      </c>
      <c r="F170" s="14">
        <v>0.21590000000000001</v>
      </c>
      <c r="G170" s="14">
        <v>0.1043</v>
      </c>
      <c r="H170" s="14">
        <v>23.14</v>
      </c>
      <c r="I170" s="14">
        <v>1660</v>
      </c>
      <c r="J170" s="14">
        <v>0.1721</v>
      </c>
      <c r="M170" s="16">
        <v>1</v>
      </c>
      <c r="O170" s="12">
        <f t="shared" si="6"/>
        <v>0</v>
      </c>
      <c r="P170" s="12">
        <f t="shared" si="7"/>
        <v>1</v>
      </c>
      <c r="R170" s="17">
        <v>-0.86216493245391179</v>
      </c>
      <c r="S170" s="17">
        <v>0.86592397083683859</v>
      </c>
      <c r="T170" s="17">
        <v>1.1492407566427856</v>
      </c>
      <c r="U170" s="17">
        <v>0.30971288832147947</v>
      </c>
      <c r="V170" s="17">
        <v>1.322038261257461</v>
      </c>
      <c r="W170" s="17">
        <v>-0.54000870393571332</v>
      </c>
      <c r="X170" s="17">
        <v>-0.93446499101467595</v>
      </c>
      <c r="Y170" s="17">
        <v>1.3623707400649003</v>
      </c>
      <c r="Z170" s="17">
        <v>0.73556995189170193</v>
      </c>
      <c r="AA170" s="17">
        <v>1.6983871669386827</v>
      </c>
      <c r="AB170" s="17">
        <v>-1.2113068807979621</v>
      </c>
      <c r="AC170" s="17">
        <v>1.5906603286575782</v>
      </c>
      <c r="AD170" s="17">
        <v>-0.8593627097567913</v>
      </c>
      <c r="AE170" s="17">
        <v>1.3374666300864129</v>
      </c>
      <c r="AF170" s="17">
        <v>1.6049118769290147</v>
      </c>
      <c r="AG170" s="17">
        <v>1.3481853892245086</v>
      </c>
      <c r="AH170" s="17">
        <v>0.33128292594394448</v>
      </c>
      <c r="AI170" s="17">
        <v>-1.6572512841003593</v>
      </c>
      <c r="AJ170" s="17">
        <v>-0.4315878441673433</v>
      </c>
      <c r="AK170" s="17">
        <v>0.36872849628186877</v>
      </c>
      <c r="AM170" s="17">
        <v>-0.57414064664552766</v>
      </c>
      <c r="AN170" s="17">
        <v>0.64045857427985842</v>
      </c>
      <c r="AO170" s="17">
        <v>0.81794187460565226</v>
      </c>
      <c r="AP170" s="17">
        <v>0.24138698367568182</v>
      </c>
      <c r="AQ170" s="17">
        <v>0.82641250531935961</v>
      </c>
      <c r="AR170" s="17">
        <v>-0.31800351632905771</v>
      </c>
      <c r="AS170" s="17">
        <v>-0.62735650035418289</v>
      </c>
      <c r="AT170" s="17">
        <v>0.87899679537923436</v>
      </c>
      <c r="AU170" s="17">
        <v>0.41413877491887335</v>
      </c>
      <c r="AV170" s="17">
        <v>0.9329502032572996</v>
      </c>
      <c r="AW170" s="17">
        <v>-0.87049484098410812</v>
      </c>
      <c r="AX170" s="17">
        <v>0.92038156433021956</v>
      </c>
      <c r="AY170" s="17">
        <v>-0.66582341832081171</v>
      </c>
      <c r="AZ170" s="17">
        <v>0.8181480033846803</v>
      </c>
      <c r="BA170" s="17">
        <v>0.94682297863639275</v>
      </c>
      <c r="BB170" s="17">
        <v>0.90392328783846709</v>
      </c>
      <c r="BC170" s="17">
        <v>0.24721963193212679</v>
      </c>
      <c r="BD170" s="17">
        <v>-0.91242338227751407</v>
      </c>
      <c r="BE170" s="17">
        <v>-0.35286255518152126</v>
      </c>
      <c r="BF170" s="17">
        <v>-3.7931659500880413E-2</v>
      </c>
      <c r="BK170" s="20">
        <v>0.84115032380149002</v>
      </c>
      <c r="BL170" s="20">
        <v>0.15885616409194678</v>
      </c>
      <c r="BN170" s="21">
        <f t="shared" si="8"/>
        <v>0</v>
      </c>
    </row>
    <row r="171" spans="1:66">
      <c r="A171" s="14">
        <v>14.97</v>
      </c>
      <c r="B171" s="14">
        <v>16.95</v>
      </c>
      <c r="C171" s="14">
        <v>96.22</v>
      </c>
      <c r="D171" s="14">
        <v>685.9</v>
      </c>
      <c r="E171" s="14">
        <v>7.8850000000000003E-2</v>
      </c>
      <c r="F171" s="14">
        <v>2.6020000000000001E-2</v>
      </c>
      <c r="G171" s="14">
        <v>3.7810000000000003E-2</v>
      </c>
      <c r="H171" s="14">
        <v>16.11</v>
      </c>
      <c r="I171" s="14">
        <v>793.7</v>
      </c>
      <c r="J171" s="14">
        <v>8.4849999999999995E-2</v>
      </c>
      <c r="M171" s="16">
        <v>0</v>
      </c>
      <c r="O171" s="12">
        <f t="shared" si="6"/>
        <v>1</v>
      </c>
      <c r="P171" s="12">
        <f t="shared" si="7"/>
        <v>0</v>
      </c>
      <c r="R171" s="17">
        <v>-0.86216493245391179</v>
      </c>
      <c r="S171" s="17">
        <v>0.86592397083683859</v>
      </c>
      <c r="T171" s="17">
        <v>1.1492407566427856</v>
      </c>
      <c r="U171" s="17">
        <v>0.30971288832147947</v>
      </c>
      <c r="V171" s="17">
        <v>1.322038261257461</v>
      </c>
      <c r="W171" s="17">
        <v>-0.54000870393571332</v>
      </c>
      <c r="X171" s="17">
        <v>-0.93446499101467595</v>
      </c>
      <c r="Y171" s="17">
        <v>1.3623707400649003</v>
      </c>
      <c r="Z171" s="17">
        <v>0.73556995189170193</v>
      </c>
      <c r="AA171" s="17">
        <v>1.6983871669386827</v>
      </c>
      <c r="AB171" s="17">
        <v>-1.2113068807979621</v>
      </c>
      <c r="AC171" s="17">
        <v>1.5906603286575782</v>
      </c>
      <c r="AD171" s="17">
        <v>-0.8593627097567913</v>
      </c>
      <c r="AE171" s="17">
        <v>1.3374666300864129</v>
      </c>
      <c r="AF171" s="17">
        <v>1.6049118769290147</v>
      </c>
      <c r="AG171" s="17">
        <v>1.3481853892245086</v>
      </c>
      <c r="AH171" s="17">
        <v>0.33128292594394448</v>
      </c>
      <c r="AI171" s="17">
        <v>-1.6572512841003593</v>
      </c>
      <c r="AJ171" s="17">
        <v>-0.4315878441673433</v>
      </c>
      <c r="AK171" s="17">
        <v>0.36873422282910795</v>
      </c>
      <c r="AM171" s="17">
        <v>-0.84894839862845373</v>
      </c>
      <c r="AN171" s="17">
        <v>0.76321675219830887</v>
      </c>
      <c r="AO171" s="17">
        <v>0.51615619232174081</v>
      </c>
      <c r="AP171" s="17">
        <v>0.39823686232436695</v>
      </c>
      <c r="AQ171" s="17">
        <v>0.90296228422627833</v>
      </c>
      <c r="AR171" s="17">
        <v>-0.75426532524628953</v>
      </c>
      <c r="AS171" s="17">
        <v>-0.85823505348565687</v>
      </c>
      <c r="AT171" s="17">
        <v>0.81436881882766388</v>
      </c>
      <c r="AU171" s="17">
        <v>0.87612267978526448</v>
      </c>
      <c r="AV171" s="17">
        <v>0.90380544335629431</v>
      </c>
      <c r="AW171" s="17">
        <v>-0.62076453062338965</v>
      </c>
      <c r="AX171" s="17">
        <v>0.87515987956244856</v>
      </c>
      <c r="AY171" s="17">
        <v>-0.70253362173754719</v>
      </c>
      <c r="AZ171" s="17">
        <v>0.92207920231518004</v>
      </c>
      <c r="BA171" s="17">
        <v>0.70884310536972794</v>
      </c>
      <c r="BB171" s="17">
        <v>0.65856621900206835</v>
      </c>
      <c r="BC171" s="17">
        <v>0.44468395761427953</v>
      </c>
      <c r="BD171" s="17">
        <v>-0.9353943866040676</v>
      </c>
      <c r="BE171" s="17">
        <v>-0.48082140416368524</v>
      </c>
      <c r="BF171" s="17">
        <v>-0.13739502371549742</v>
      </c>
      <c r="BK171" s="20">
        <v>0.98264335607224318</v>
      </c>
      <c r="BL171" s="20">
        <v>1.7521834417989907E-2</v>
      </c>
      <c r="BN171" s="21">
        <f t="shared" si="8"/>
        <v>0</v>
      </c>
    </row>
    <row r="172" spans="1:66">
      <c r="A172" s="14">
        <v>12.32</v>
      </c>
      <c r="B172" s="14">
        <v>12.39</v>
      </c>
      <c r="C172" s="14">
        <v>78.849999999999994</v>
      </c>
      <c r="D172" s="14">
        <v>464.1</v>
      </c>
      <c r="E172" s="14">
        <v>6.9809999999999997E-2</v>
      </c>
      <c r="F172" s="14">
        <v>3.9870000000000003E-2</v>
      </c>
      <c r="G172" s="14">
        <v>3.6999999999999998E-2</v>
      </c>
      <c r="H172" s="14">
        <v>13.5</v>
      </c>
      <c r="I172" s="14">
        <v>549.1</v>
      </c>
      <c r="J172" s="14">
        <v>9.3909999999999993E-2</v>
      </c>
      <c r="M172" s="16">
        <v>0</v>
      </c>
      <c r="O172" s="12">
        <f t="shared" si="6"/>
        <v>1</v>
      </c>
      <c r="P172" s="12">
        <f t="shared" si="7"/>
        <v>0</v>
      </c>
      <c r="R172" s="17">
        <v>-1.4643074708783446</v>
      </c>
      <c r="S172" s="17">
        <v>1.0359333700219733</v>
      </c>
      <c r="T172" s="17">
        <v>0.4503249130137873</v>
      </c>
      <c r="U172" s="17">
        <v>0.47751119115197871</v>
      </c>
      <c r="V172" s="17">
        <v>1.5052132201123889</v>
      </c>
      <c r="W172" s="17">
        <v>-1.2567352733816861</v>
      </c>
      <c r="X172" s="17">
        <v>-1.4659127711484521</v>
      </c>
      <c r="Y172" s="17">
        <v>0.877385815472147</v>
      </c>
      <c r="Z172" s="17">
        <v>1.7463530467411736</v>
      </c>
      <c r="AA172" s="17">
        <v>1.2163845753889837</v>
      </c>
      <c r="AB172" s="17">
        <v>-0.28839333793737798</v>
      </c>
      <c r="AC172" s="17">
        <v>1.0652147513376473</v>
      </c>
      <c r="AD172" s="17">
        <v>-0.81583654438301023</v>
      </c>
      <c r="AE172" s="17">
        <v>1.6894094608623824</v>
      </c>
      <c r="AF172" s="17">
        <v>0.2496334827590041</v>
      </c>
      <c r="AG172" s="17">
        <v>0.29010426800531797</v>
      </c>
      <c r="AH172" s="17">
        <v>0.55723475600471262</v>
      </c>
      <c r="AI172" s="17">
        <v>-1.603629768829455</v>
      </c>
      <c r="AJ172" s="17">
        <v>-0.55690825498325469</v>
      </c>
      <c r="AK172" s="17">
        <v>0.41256201734661646</v>
      </c>
      <c r="AM172" s="17">
        <v>-0.70484369568129113</v>
      </c>
      <c r="AN172" s="17">
        <v>0.69596325658709468</v>
      </c>
      <c r="AO172" s="17">
        <v>0.78794033538931785</v>
      </c>
      <c r="AP172" s="17">
        <v>0.30281944281827888</v>
      </c>
      <c r="AQ172" s="17">
        <v>0.86386677180955107</v>
      </c>
      <c r="AR172" s="17">
        <v>-0.51228040392557428</v>
      </c>
      <c r="AS172" s="17">
        <v>-0.73726886188145302</v>
      </c>
      <c r="AT172" s="17">
        <v>0.86562599534996787</v>
      </c>
      <c r="AU172" s="17">
        <v>0.64832910480617723</v>
      </c>
      <c r="AV172" s="17">
        <v>0.9282761033310083</v>
      </c>
      <c r="AW172" s="17">
        <v>-0.81624803572753346</v>
      </c>
      <c r="AX172" s="17">
        <v>0.91174490558885635</v>
      </c>
      <c r="AY172" s="17">
        <v>-0.68715185103913157</v>
      </c>
      <c r="AZ172" s="17">
        <v>0.86968934653886021</v>
      </c>
      <c r="BA172" s="17">
        <v>0.9071528195041535</v>
      </c>
      <c r="BB172" s="17">
        <v>0.85471647035648157</v>
      </c>
      <c r="BC172" s="17">
        <v>0.3244969889587847</v>
      </c>
      <c r="BD172" s="17">
        <v>-0.92553152591521226</v>
      </c>
      <c r="BE172" s="17">
        <v>-0.40560112136287368</v>
      </c>
      <c r="BF172" s="17">
        <v>3.5789197593835247E-2</v>
      </c>
      <c r="BK172" s="20">
        <v>0.96147083079426521</v>
      </c>
      <c r="BL172" s="20">
        <v>3.842081068876918E-2</v>
      </c>
      <c r="BN172" s="21">
        <f t="shared" si="8"/>
        <v>0</v>
      </c>
    </row>
    <row r="173" spans="1:66">
      <c r="A173" s="14">
        <v>13.43</v>
      </c>
      <c r="B173" s="14">
        <v>19.63</v>
      </c>
      <c r="C173" s="14">
        <v>85.84</v>
      </c>
      <c r="D173" s="14">
        <v>565.4</v>
      </c>
      <c r="E173" s="14">
        <v>6.2880000000000005E-2</v>
      </c>
      <c r="F173" s="14">
        <v>5.858E-2</v>
      </c>
      <c r="G173" s="14">
        <v>3.4380000000000001E-2</v>
      </c>
      <c r="H173" s="14">
        <v>17.98</v>
      </c>
      <c r="I173" s="14">
        <v>993.6</v>
      </c>
      <c r="J173" s="14">
        <v>0.11600000000000001</v>
      </c>
      <c r="M173" s="16">
        <v>1</v>
      </c>
      <c r="O173" s="12">
        <f t="shared" si="6"/>
        <v>0</v>
      </c>
      <c r="P173" s="12">
        <f t="shared" si="7"/>
        <v>1</v>
      </c>
      <c r="R173" s="17">
        <v>-0.86216493245391179</v>
      </c>
      <c r="S173" s="17">
        <v>0.86592397083683859</v>
      </c>
      <c r="T173" s="17">
        <v>1.1492407566427856</v>
      </c>
      <c r="U173" s="17">
        <v>0.30971288832147947</v>
      </c>
      <c r="V173" s="17">
        <v>1.322038261257461</v>
      </c>
      <c r="W173" s="17">
        <v>-0.54000870393571332</v>
      </c>
      <c r="X173" s="17">
        <v>-0.93446499101467595</v>
      </c>
      <c r="Y173" s="17">
        <v>1.3623707400649003</v>
      </c>
      <c r="Z173" s="17">
        <v>0.73556995189170193</v>
      </c>
      <c r="AA173" s="17">
        <v>1.6983871669386827</v>
      </c>
      <c r="AB173" s="17">
        <v>-1.2113068807979621</v>
      </c>
      <c r="AC173" s="17">
        <v>1.5906603286575782</v>
      </c>
      <c r="AD173" s="17">
        <v>-0.8593627097567913</v>
      </c>
      <c r="AE173" s="17">
        <v>1.3374666300864129</v>
      </c>
      <c r="AF173" s="17">
        <v>1.6049118769290147</v>
      </c>
      <c r="AG173" s="17">
        <v>1.3481853892245086</v>
      </c>
      <c r="AH173" s="17">
        <v>0.33128292594394448</v>
      </c>
      <c r="AI173" s="17">
        <v>-1.6572512841003593</v>
      </c>
      <c r="AJ173" s="17">
        <v>-0.4315878441673433</v>
      </c>
      <c r="AK173" s="17">
        <v>0.36873405850468155</v>
      </c>
      <c r="AM173" s="17">
        <v>-0.75296158540224623</v>
      </c>
      <c r="AN173" s="17">
        <v>0.7119756348467664</v>
      </c>
      <c r="AO173" s="17">
        <v>0.75057559801601448</v>
      </c>
      <c r="AP173" s="17">
        <v>0.32890156402484455</v>
      </c>
      <c r="AQ173" s="17">
        <v>0.8726970670350942</v>
      </c>
      <c r="AR173" s="17">
        <v>-0.59552693166661474</v>
      </c>
      <c r="AS173" s="17">
        <v>-0.77631862278684782</v>
      </c>
      <c r="AT173" s="17">
        <v>0.84585467404888026</v>
      </c>
      <c r="AU173" s="17">
        <v>0.73616443449533997</v>
      </c>
      <c r="AV173" s="17">
        <v>0.9176225579042292</v>
      </c>
      <c r="AW173" s="17">
        <v>-0.76106310268637001</v>
      </c>
      <c r="AX173" s="17">
        <v>0.89728978942558868</v>
      </c>
      <c r="AY173" s="17">
        <v>-0.68533030426108876</v>
      </c>
      <c r="AZ173" s="17">
        <v>0.88438771458531618</v>
      </c>
      <c r="BA173" s="17">
        <v>0.86042438767897278</v>
      </c>
      <c r="BB173" s="17">
        <v>0.80228788396716111</v>
      </c>
      <c r="BC173" s="17">
        <v>0.3586281325820318</v>
      </c>
      <c r="BD173" s="17">
        <v>-0.92529500985739299</v>
      </c>
      <c r="BE173" s="17">
        <v>-0.42423332737779729</v>
      </c>
      <c r="BF173" s="17">
        <v>0.26754418149882797</v>
      </c>
      <c r="BK173" s="20">
        <v>1.0193828862455308</v>
      </c>
      <c r="BL173" s="20">
        <v>-1.9503023943639654E-2</v>
      </c>
      <c r="BN173" s="21">
        <f t="shared" si="8"/>
        <v>0</v>
      </c>
    </row>
    <row r="174" spans="1:66">
      <c r="A174" s="14">
        <v>15.46</v>
      </c>
      <c r="B174" s="14">
        <v>11.89</v>
      </c>
      <c r="C174" s="14">
        <v>102.5</v>
      </c>
      <c r="D174" s="14">
        <v>736.9</v>
      </c>
      <c r="E174" s="14">
        <v>0.1555</v>
      </c>
      <c r="F174" s="14">
        <v>0.20319999999999999</v>
      </c>
      <c r="G174" s="14">
        <v>0.10970000000000001</v>
      </c>
      <c r="H174" s="14">
        <v>18.79</v>
      </c>
      <c r="I174" s="14">
        <v>1102</v>
      </c>
      <c r="J174" s="14">
        <v>0.1827</v>
      </c>
      <c r="M174" s="16">
        <v>1</v>
      </c>
      <c r="O174" s="12">
        <f t="shared" si="6"/>
        <v>0</v>
      </c>
      <c r="P174" s="12">
        <f t="shared" si="7"/>
        <v>1</v>
      </c>
      <c r="R174" s="17">
        <v>-0.86216493245391179</v>
      </c>
      <c r="S174" s="17">
        <v>0.86592397083683859</v>
      </c>
      <c r="T174" s="17">
        <v>1.1492407566427856</v>
      </c>
      <c r="U174" s="17">
        <v>0.30971288832147947</v>
      </c>
      <c r="V174" s="17">
        <v>1.322038261257461</v>
      </c>
      <c r="W174" s="17">
        <v>-0.54000870393571332</v>
      </c>
      <c r="X174" s="17">
        <v>-0.93446499101467595</v>
      </c>
      <c r="Y174" s="17">
        <v>1.3623707400649003</v>
      </c>
      <c r="Z174" s="17">
        <v>0.73556995189170193</v>
      </c>
      <c r="AA174" s="17">
        <v>1.6983871669386827</v>
      </c>
      <c r="AB174" s="17">
        <v>-1.2113068807979621</v>
      </c>
      <c r="AC174" s="17">
        <v>1.5906603286575782</v>
      </c>
      <c r="AD174" s="17">
        <v>-0.8593627097567913</v>
      </c>
      <c r="AE174" s="17">
        <v>1.3374666300864129</v>
      </c>
      <c r="AF174" s="17">
        <v>1.6049118769290147</v>
      </c>
      <c r="AG174" s="17">
        <v>1.3481853892245086</v>
      </c>
      <c r="AH174" s="17">
        <v>0.33128292594394448</v>
      </c>
      <c r="AI174" s="17">
        <v>-1.6572512841003593</v>
      </c>
      <c r="AJ174" s="17">
        <v>-0.4315878441673433</v>
      </c>
      <c r="AK174" s="17">
        <v>-1.1101952788343548</v>
      </c>
      <c r="AM174" s="17">
        <v>-0.66079668536544278</v>
      </c>
      <c r="AN174" s="17">
        <v>0.67330221923398226</v>
      </c>
      <c r="AO174" s="17">
        <v>0.78759679396854354</v>
      </c>
      <c r="AP174" s="17">
        <v>0.2797725492531043</v>
      </c>
      <c r="AQ174" s="17">
        <v>0.84837542120195675</v>
      </c>
      <c r="AR174" s="17">
        <v>-0.44829221625163973</v>
      </c>
      <c r="AS174" s="17">
        <v>-0.69941028187395593</v>
      </c>
      <c r="AT174" s="17">
        <v>0.8662919684815279</v>
      </c>
      <c r="AU174" s="17">
        <v>0.57556458801172616</v>
      </c>
      <c r="AV174" s="17">
        <v>0.92715406962056557</v>
      </c>
      <c r="AW174" s="17">
        <v>-0.83164467930555008</v>
      </c>
      <c r="AX174" s="17">
        <v>0.91163073864710165</v>
      </c>
      <c r="AY174" s="17">
        <v>-0.67500488239385614</v>
      </c>
      <c r="AZ174" s="17">
        <v>0.85040383924813667</v>
      </c>
      <c r="BA174" s="17">
        <v>0.919697094116666</v>
      </c>
      <c r="BB174" s="17">
        <v>0.86916647538416036</v>
      </c>
      <c r="BC174" s="17">
        <v>0.29626075645660854</v>
      </c>
      <c r="BD174" s="17">
        <v>-0.91856777510062904</v>
      </c>
      <c r="BE174" s="17">
        <v>-0.38447755000901862</v>
      </c>
      <c r="BF174" s="17">
        <v>4.0363290725475537E-2</v>
      </c>
      <c r="BK174" s="20">
        <v>-9.4204461680681709E-2</v>
      </c>
      <c r="BL174" s="20">
        <v>1.0940383544152941</v>
      </c>
      <c r="BN174" s="21">
        <f t="shared" si="8"/>
        <v>1</v>
      </c>
    </row>
    <row r="175" spans="1:66">
      <c r="A175" s="14">
        <v>11.08</v>
      </c>
      <c r="B175" s="14">
        <v>14.71</v>
      </c>
      <c r="C175" s="14">
        <v>70.209999999999994</v>
      </c>
      <c r="D175" s="14">
        <v>372.7</v>
      </c>
      <c r="E175" s="14">
        <v>5.7430000000000002E-2</v>
      </c>
      <c r="F175" s="14">
        <v>2.3630000000000002E-2</v>
      </c>
      <c r="G175" s="14">
        <v>2.5829999999999999E-2</v>
      </c>
      <c r="H175" s="14">
        <v>11.35</v>
      </c>
      <c r="I175" s="14">
        <v>396.5</v>
      </c>
      <c r="J175" s="14">
        <v>4.3060000000000001E-2</v>
      </c>
      <c r="M175" s="16">
        <v>0</v>
      </c>
      <c r="O175" s="12">
        <f t="shared" si="6"/>
        <v>1</v>
      </c>
      <c r="P175" s="12">
        <f t="shared" si="7"/>
        <v>0</v>
      </c>
      <c r="R175" s="17">
        <v>-1.4643074708783446</v>
      </c>
      <c r="S175" s="17">
        <v>1.0359333700219733</v>
      </c>
      <c r="T175" s="17">
        <v>0.4503249130137873</v>
      </c>
      <c r="U175" s="17">
        <v>0.47751119115197871</v>
      </c>
      <c r="V175" s="17">
        <v>1.5052132201123889</v>
      </c>
      <c r="W175" s="17">
        <v>-1.2567352733816861</v>
      </c>
      <c r="X175" s="17">
        <v>-1.4659127711484521</v>
      </c>
      <c r="Y175" s="17">
        <v>0.877385815472147</v>
      </c>
      <c r="Z175" s="17">
        <v>1.7463530467411736</v>
      </c>
      <c r="AA175" s="17">
        <v>1.2163845753889837</v>
      </c>
      <c r="AB175" s="17">
        <v>-0.28839333793737798</v>
      </c>
      <c r="AC175" s="17">
        <v>1.0652147513376473</v>
      </c>
      <c r="AD175" s="17">
        <v>-0.81583654438301023</v>
      </c>
      <c r="AE175" s="17">
        <v>1.6894094608623824</v>
      </c>
      <c r="AF175" s="17">
        <v>0.2496334827590041</v>
      </c>
      <c r="AG175" s="17">
        <v>0.29010426800531797</v>
      </c>
      <c r="AH175" s="17">
        <v>0.55723475600471262</v>
      </c>
      <c r="AI175" s="17">
        <v>-1.603629768829455</v>
      </c>
      <c r="AJ175" s="17">
        <v>-0.55690825498325469</v>
      </c>
      <c r="AK175" s="17">
        <v>0.41256201737556109</v>
      </c>
      <c r="AM175" s="17">
        <v>-0.69671745736627222</v>
      </c>
      <c r="AN175" s="17">
        <v>0.69706615768986246</v>
      </c>
      <c r="AO175" s="17">
        <v>0.81676886996691855</v>
      </c>
      <c r="AP175" s="17">
        <v>0.29944771638458395</v>
      </c>
      <c r="AQ175" s="17">
        <v>0.86549794806236668</v>
      </c>
      <c r="AR175" s="17">
        <v>-0.49420891834655994</v>
      </c>
      <c r="AS175" s="17">
        <v>-0.73163145144600827</v>
      </c>
      <c r="AT175" s="17">
        <v>0.87410024423647337</v>
      </c>
      <c r="AU175" s="17">
        <v>0.62793587838365306</v>
      </c>
      <c r="AV175" s="17">
        <v>0.93338908325355319</v>
      </c>
      <c r="AW175" s="17">
        <v>-0.83273920906053289</v>
      </c>
      <c r="AX175" s="17">
        <v>0.91809087925398758</v>
      </c>
      <c r="AY175" s="17">
        <v>-0.69291493057773601</v>
      </c>
      <c r="AZ175" s="17">
        <v>0.86958503474379711</v>
      </c>
      <c r="BA175" s="17">
        <v>0.91938341043483618</v>
      </c>
      <c r="BB175" s="17">
        <v>0.86974958983030637</v>
      </c>
      <c r="BC175" s="17">
        <v>0.31919976941892175</v>
      </c>
      <c r="BD175" s="17">
        <v>-0.92833973065810693</v>
      </c>
      <c r="BE175" s="17">
        <v>-0.40507501615089347</v>
      </c>
      <c r="BF175" s="17">
        <v>5.2550503835526008E-2</v>
      </c>
      <c r="BK175" s="20">
        <v>0.8204392757037281</v>
      </c>
      <c r="BL175" s="20">
        <v>0.17977426268882468</v>
      </c>
      <c r="BN175" s="21">
        <f t="shared" si="8"/>
        <v>0</v>
      </c>
    </row>
    <row r="176" spans="1:66">
      <c r="A176" s="14">
        <v>10.66</v>
      </c>
      <c r="B176" s="14">
        <v>15.15</v>
      </c>
      <c r="C176" s="14">
        <v>67.489999999999995</v>
      </c>
      <c r="D176" s="14">
        <v>349.6</v>
      </c>
      <c r="E176" s="14">
        <v>4.3020000000000003E-2</v>
      </c>
      <c r="F176" s="14">
        <v>0</v>
      </c>
      <c r="G176" s="14">
        <v>0</v>
      </c>
      <c r="H176" s="14">
        <v>11.54</v>
      </c>
      <c r="I176" s="14">
        <v>408.3</v>
      </c>
      <c r="J176" s="14">
        <v>0</v>
      </c>
      <c r="M176" s="16">
        <v>0</v>
      </c>
      <c r="O176" s="12">
        <f t="shared" si="6"/>
        <v>1</v>
      </c>
      <c r="P176" s="12">
        <f t="shared" si="7"/>
        <v>0</v>
      </c>
      <c r="R176" s="17">
        <v>-0.86216493245391179</v>
      </c>
      <c r="S176" s="17">
        <v>0.86592397083683859</v>
      </c>
      <c r="T176" s="17">
        <v>1.1492407566427856</v>
      </c>
      <c r="U176" s="17">
        <v>0.30971288832147947</v>
      </c>
      <c r="V176" s="17">
        <v>1.322038261257461</v>
      </c>
      <c r="W176" s="17">
        <v>-0.54000870393571332</v>
      </c>
      <c r="X176" s="17">
        <v>-0.93446499101467595</v>
      </c>
      <c r="Y176" s="17">
        <v>1.3623707400649003</v>
      </c>
      <c r="Z176" s="17">
        <v>0.73556995189170193</v>
      </c>
      <c r="AA176" s="17">
        <v>1.6983871669386827</v>
      </c>
      <c r="AB176" s="17">
        <v>-1.2113068807979621</v>
      </c>
      <c r="AC176" s="17">
        <v>1.5906603286575782</v>
      </c>
      <c r="AD176" s="17">
        <v>-0.8593627097567913</v>
      </c>
      <c r="AE176" s="17">
        <v>1.3374666300864129</v>
      </c>
      <c r="AF176" s="17">
        <v>1.6049118769290147</v>
      </c>
      <c r="AG176" s="17">
        <v>1.3481853892245086</v>
      </c>
      <c r="AH176" s="17">
        <v>0.33128292594394448</v>
      </c>
      <c r="AI176" s="17">
        <v>-1.6572512841003593</v>
      </c>
      <c r="AJ176" s="17">
        <v>-0.4315878441673433</v>
      </c>
      <c r="AK176" s="17">
        <v>0.3686769475593864</v>
      </c>
      <c r="AM176" s="17">
        <v>-0.81312130557738238</v>
      </c>
      <c r="AN176" s="17">
        <v>0.71743238190242253</v>
      </c>
      <c r="AO176" s="17">
        <v>0.56762296168737925</v>
      </c>
      <c r="AP176" s="17">
        <v>0.36401024332415727</v>
      </c>
      <c r="AQ176" s="17">
        <v>0.87062880611011917</v>
      </c>
      <c r="AR176" s="17">
        <v>-0.715394159408129</v>
      </c>
      <c r="AS176" s="17">
        <v>-0.82262610689574922</v>
      </c>
      <c r="AT176" s="17">
        <v>0.76425316045345548</v>
      </c>
      <c r="AU176" s="17">
        <v>0.8461254780958597</v>
      </c>
      <c r="AV176" s="17">
        <v>0.86725823148741166</v>
      </c>
      <c r="AW176" s="17">
        <v>-0.55439394617343596</v>
      </c>
      <c r="AX176" s="17">
        <v>0.83286277572601286</v>
      </c>
      <c r="AY176" s="17">
        <v>-0.65208590219020635</v>
      </c>
      <c r="AZ176" s="17">
        <v>0.89425631450744669</v>
      </c>
      <c r="BA176" s="17">
        <v>0.63808396826299529</v>
      </c>
      <c r="BB176" s="17">
        <v>0.59043592449177185</v>
      </c>
      <c r="BC176" s="17">
        <v>0.4083195913009679</v>
      </c>
      <c r="BD176" s="17">
        <v>-0.90848315952677239</v>
      </c>
      <c r="BE176" s="17">
        <v>-0.43983543016010607</v>
      </c>
      <c r="BF176" s="17">
        <v>-9.2750003789131577E-2</v>
      </c>
      <c r="BK176" s="20">
        <v>1.0314954207819895</v>
      </c>
      <c r="BL176" s="20">
        <v>-3.1499182870377979E-2</v>
      </c>
      <c r="BN176" s="21">
        <f t="shared" si="8"/>
        <v>0</v>
      </c>
    </row>
    <row r="177" spans="1:66">
      <c r="A177" s="14">
        <v>8.6709999999999994</v>
      </c>
      <c r="B177" s="14">
        <v>14.45</v>
      </c>
      <c r="C177" s="14">
        <v>54.42</v>
      </c>
      <c r="D177" s="14">
        <v>227.2</v>
      </c>
      <c r="E177" s="14">
        <v>4.2759999999999999E-2</v>
      </c>
      <c r="F177" s="14">
        <v>0</v>
      </c>
      <c r="G177" s="14">
        <v>0</v>
      </c>
      <c r="H177" s="14">
        <v>9.2620000000000005</v>
      </c>
      <c r="I177" s="14">
        <v>259.2</v>
      </c>
      <c r="J177" s="14">
        <v>0</v>
      </c>
      <c r="M177" s="16">
        <v>0</v>
      </c>
      <c r="O177" s="12">
        <f t="shared" si="6"/>
        <v>1</v>
      </c>
      <c r="P177" s="12">
        <f t="shared" si="7"/>
        <v>0</v>
      </c>
      <c r="R177" s="17">
        <v>-0.86216493245391179</v>
      </c>
      <c r="S177" s="17">
        <v>0.86592397083683859</v>
      </c>
      <c r="T177" s="17">
        <v>1.1492407566427856</v>
      </c>
      <c r="U177" s="17">
        <v>0.30971288832147947</v>
      </c>
      <c r="V177" s="17">
        <v>1.322038261257461</v>
      </c>
      <c r="W177" s="17">
        <v>-0.54000870393571332</v>
      </c>
      <c r="X177" s="17">
        <v>-0.93446499101467595</v>
      </c>
      <c r="Y177" s="17">
        <v>1.3623707400649003</v>
      </c>
      <c r="Z177" s="17">
        <v>0.73556995189170193</v>
      </c>
      <c r="AA177" s="17">
        <v>1.6983871669386827</v>
      </c>
      <c r="AB177" s="17">
        <v>-1.2113068807979621</v>
      </c>
      <c r="AC177" s="17">
        <v>1.5906603286575782</v>
      </c>
      <c r="AD177" s="17">
        <v>-0.8593627097567913</v>
      </c>
      <c r="AE177" s="17">
        <v>1.3374666300864129</v>
      </c>
      <c r="AF177" s="17">
        <v>1.6049118769290147</v>
      </c>
      <c r="AG177" s="17">
        <v>1.3481853892245086</v>
      </c>
      <c r="AH177" s="17">
        <v>0.33128292594394448</v>
      </c>
      <c r="AI177" s="17">
        <v>-1.6572512841003593</v>
      </c>
      <c r="AJ177" s="17">
        <v>-0.4315878441673433</v>
      </c>
      <c r="AK177" s="17">
        <v>0.36873422440370462</v>
      </c>
      <c r="AM177" s="17">
        <v>-0.76753427128853058</v>
      </c>
      <c r="AN177" s="17">
        <v>0.74274707911885252</v>
      </c>
      <c r="AO177" s="17">
        <v>0.82970938396704175</v>
      </c>
      <c r="AP177" s="17">
        <v>0.34294840499792478</v>
      </c>
      <c r="AQ177" s="17">
        <v>0.89559925816139652</v>
      </c>
      <c r="AR177" s="17">
        <v>-0.59400647138386231</v>
      </c>
      <c r="AS177" s="17">
        <v>-0.79395236792642798</v>
      </c>
      <c r="AT177" s="17">
        <v>0.88479843096061883</v>
      </c>
      <c r="AU177" s="17">
        <v>0.73356950778428576</v>
      </c>
      <c r="AV177" s="17">
        <v>0.94246252764879745</v>
      </c>
      <c r="AW177" s="17">
        <v>-0.82497977435213687</v>
      </c>
      <c r="AX177" s="17">
        <v>0.92711473044878878</v>
      </c>
      <c r="AY177" s="17">
        <v>-0.72542084155539577</v>
      </c>
      <c r="AZ177" s="17">
        <v>0.90337261543011826</v>
      </c>
      <c r="BA177" s="17">
        <v>0.91113680644400508</v>
      </c>
      <c r="BB177" s="17">
        <v>0.8617896898526014</v>
      </c>
      <c r="BC177" s="17">
        <v>0.37046781041792776</v>
      </c>
      <c r="BD177" s="17">
        <v>-0.94432616985823437</v>
      </c>
      <c r="BE177" s="17">
        <v>-0.44830158338909004</v>
      </c>
      <c r="BF177" s="17">
        <v>0.31206399181457783</v>
      </c>
      <c r="BK177" s="20">
        <v>1.0076634046656758</v>
      </c>
      <c r="BL177" s="20">
        <v>-7.5198219704173883E-3</v>
      </c>
      <c r="BN177" s="21">
        <f t="shared" si="8"/>
        <v>0</v>
      </c>
    </row>
    <row r="178" spans="1:66">
      <c r="A178" s="14">
        <v>9.9039999999999999</v>
      </c>
      <c r="B178" s="14">
        <v>18.059999999999999</v>
      </c>
      <c r="C178" s="14">
        <v>64.599999999999994</v>
      </c>
      <c r="D178" s="14">
        <v>302.39999999999998</v>
      </c>
      <c r="E178" s="14">
        <v>0.12939999999999999</v>
      </c>
      <c r="F178" s="14">
        <v>0.13070000000000001</v>
      </c>
      <c r="G178" s="14">
        <v>3.7159999999999999E-2</v>
      </c>
      <c r="H178" s="14">
        <v>11.26</v>
      </c>
      <c r="I178" s="14">
        <v>390.2</v>
      </c>
      <c r="J178" s="14">
        <v>9.9099999999999994E-2</v>
      </c>
      <c r="M178" s="16">
        <v>0</v>
      </c>
      <c r="O178" s="12">
        <f t="shared" si="6"/>
        <v>1</v>
      </c>
      <c r="P178" s="12">
        <f t="shared" si="7"/>
        <v>0</v>
      </c>
      <c r="R178" s="17">
        <v>-0.86216493245391179</v>
      </c>
      <c r="S178" s="17">
        <v>0.86592397083683859</v>
      </c>
      <c r="T178" s="17">
        <v>1.1492407566427856</v>
      </c>
      <c r="U178" s="17">
        <v>0.30971288832147947</v>
      </c>
      <c r="V178" s="17">
        <v>1.322038261257461</v>
      </c>
      <c r="W178" s="17">
        <v>-0.54000870393571332</v>
      </c>
      <c r="X178" s="17">
        <v>-0.93446499101467595</v>
      </c>
      <c r="Y178" s="17">
        <v>1.3623707400649003</v>
      </c>
      <c r="Z178" s="17">
        <v>0.73556995189170193</v>
      </c>
      <c r="AA178" s="17">
        <v>1.6983871669386827</v>
      </c>
      <c r="AB178" s="17">
        <v>-1.2113068807979621</v>
      </c>
      <c r="AC178" s="17">
        <v>1.5906603286575782</v>
      </c>
      <c r="AD178" s="17">
        <v>-0.8593627097567913</v>
      </c>
      <c r="AE178" s="17">
        <v>1.3374666300864129</v>
      </c>
      <c r="AF178" s="17">
        <v>1.6049118769290147</v>
      </c>
      <c r="AG178" s="17">
        <v>1.3481853892245086</v>
      </c>
      <c r="AH178" s="17">
        <v>0.33128292594394448</v>
      </c>
      <c r="AI178" s="17">
        <v>-1.6572512841003593</v>
      </c>
      <c r="AJ178" s="17">
        <v>-0.4315878441673433</v>
      </c>
      <c r="AK178" s="17">
        <v>0.36593183900798687</v>
      </c>
      <c r="AM178" s="17">
        <v>-0.80220297652617756</v>
      </c>
      <c r="AN178" s="17">
        <v>0.73045191761867356</v>
      </c>
      <c r="AO178" s="17">
        <v>0.72477963133028811</v>
      </c>
      <c r="AP178" s="17">
        <v>0.35991657353020923</v>
      </c>
      <c r="AQ178" s="17">
        <v>0.88268509096399383</v>
      </c>
      <c r="AR178" s="17">
        <v>-0.68179453629435371</v>
      </c>
      <c r="AS178" s="17">
        <v>-0.81684536003053498</v>
      </c>
      <c r="AT178" s="17">
        <v>0.81820703177801934</v>
      </c>
      <c r="AU178" s="17">
        <v>0.8171582686480382</v>
      </c>
      <c r="AV178" s="17">
        <v>0.90259895126165357</v>
      </c>
      <c r="AW178" s="17">
        <v>-0.67520945259124654</v>
      </c>
      <c r="AX178" s="17">
        <v>0.87666772433571449</v>
      </c>
      <c r="AY178" s="17">
        <v>-0.68306250251849221</v>
      </c>
      <c r="AZ178" s="17">
        <v>0.9001360300244452</v>
      </c>
      <c r="BA178" s="17">
        <v>0.77470210534545014</v>
      </c>
      <c r="BB178" s="17">
        <v>0.7163807608183772</v>
      </c>
      <c r="BC178" s="17">
        <v>0.39883069893185064</v>
      </c>
      <c r="BD178" s="17">
        <v>-0.92498464186426643</v>
      </c>
      <c r="BE178" s="17">
        <v>-0.44637561962090738</v>
      </c>
      <c r="BF178" s="17">
        <v>0.51329851928405079</v>
      </c>
      <c r="BK178" s="20">
        <v>1.0045363885834639</v>
      </c>
      <c r="BL178" s="20">
        <v>-4.5770642784477818E-3</v>
      </c>
      <c r="BN178" s="21">
        <f t="shared" si="8"/>
        <v>0</v>
      </c>
    </row>
    <row r="179" spans="1:66">
      <c r="A179" s="14">
        <v>16.46</v>
      </c>
      <c r="B179" s="14">
        <v>20.11</v>
      </c>
      <c r="C179" s="14">
        <v>109.3</v>
      </c>
      <c r="D179" s="14">
        <v>832.9</v>
      </c>
      <c r="E179" s="14">
        <v>0.15559999999999999</v>
      </c>
      <c r="F179" s="14">
        <v>0.17929999999999999</v>
      </c>
      <c r="G179" s="14">
        <v>8.8660000000000003E-2</v>
      </c>
      <c r="H179" s="14">
        <v>17.79</v>
      </c>
      <c r="I179" s="14">
        <v>981.2</v>
      </c>
      <c r="J179" s="14">
        <v>0.20349999999999999</v>
      </c>
      <c r="M179" s="16">
        <v>1</v>
      </c>
      <c r="O179" s="12">
        <f t="shared" si="6"/>
        <v>0</v>
      </c>
      <c r="P179" s="12">
        <f t="shared" si="7"/>
        <v>1</v>
      </c>
      <c r="R179" s="17">
        <v>-0.86216493245391179</v>
      </c>
      <c r="S179" s="17">
        <v>0.86592397083683859</v>
      </c>
      <c r="T179" s="17">
        <v>1.1492407566427856</v>
      </c>
      <c r="U179" s="17">
        <v>0.30971288832147947</v>
      </c>
      <c r="V179" s="17">
        <v>1.322038261257461</v>
      </c>
      <c r="W179" s="17">
        <v>-0.54000870393571332</v>
      </c>
      <c r="X179" s="17">
        <v>-0.93446499101467595</v>
      </c>
      <c r="Y179" s="17">
        <v>1.3623707400649003</v>
      </c>
      <c r="Z179" s="17">
        <v>0.73556995189170193</v>
      </c>
      <c r="AA179" s="17">
        <v>1.6983871669386827</v>
      </c>
      <c r="AB179" s="17">
        <v>-1.2113068807979621</v>
      </c>
      <c r="AC179" s="17">
        <v>1.5906603286575782</v>
      </c>
      <c r="AD179" s="17">
        <v>-0.8593627097567913</v>
      </c>
      <c r="AE179" s="17">
        <v>1.3374666300864129</v>
      </c>
      <c r="AF179" s="17">
        <v>1.6049118769290147</v>
      </c>
      <c r="AG179" s="17">
        <v>1.3481853892245086</v>
      </c>
      <c r="AH179" s="17">
        <v>0.33128292594394448</v>
      </c>
      <c r="AI179" s="17">
        <v>-1.6572512841003593</v>
      </c>
      <c r="AJ179" s="17">
        <v>-0.4315878441673433</v>
      </c>
      <c r="AK179" s="17">
        <v>0.36873421775571702</v>
      </c>
      <c r="AM179" s="17">
        <v>-0.74425192610774715</v>
      </c>
      <c r="AN179" s="17">
        <v>0.72428172972269556</v>
      </c>
      <c r="AO179" s="17">
        <v>0.80261408418609481</v>
      </c>
      <c r="AP179" s="17">
        <v>0.32706130934731154</v>
      </c>
      <c r="AQ179" s="17">
        <v>0.88340056088963126</v>
      </c>
      <c r="AR179" s="17">
        <v>-0.56379639835995798</v>
      </c>
      <c r="AS179" s="17">
        <v>-0.77278008160058753</v>
      </c>
      <c r="AT179" s="17">
        <v>0.87635021438274874</v>
      </c>
      <c r="AU179" s="17">
        <v>0.70306694995699948</v>
      </c>
      <c r="AV179" s="17">
        <v>0.93647633522628848</v>
      </c>
      <c r="AW179" s="17">
        <v>-0.81949303897154624</v>
      </c>
      <c r="AX179" s="17">
        <v>0.92047657164895269</v>
      </c>
      <c r="AY179" s="17">
        <v>-0.70963137357617678</v>
      </c>
      <c r="AZ179" s="17">
        <v>0.89074025668321732</v>
      </c>
      <c r="BA179" s="17">
        <v>0.90803041846371324</v>
      </c>
      <c r="BB179" s="17">
        <v>0.85713426349564859</v>
      </c>
      <c r="BC179" s="17">
        <v>0.35247025335474697</v>
      </c>
      <c r="BD179" s="17">
        <v>-0.93698841232709229</v>
      </c>
      <c r="BE179" s="17">
        <v>-0.43112656295899249</v>
      </c>
      <c r="BF179" s="17">
        <v>0.27190529301333738</v>
      </c>
      <c r="BK179" s="20">
        <v>-4.5505673609117267E-2</v>
      </c>
      <c r="BL179" s="20">
        <v>1.0454853702031204</v>
      </c>
      <c r="BN179" s="21">
        <f t="shared" si="8"/>
        <v>1</v>
      </c>
    </row>
    <row r="180" spans="1:66">
      <c r="A180" s="14">
        <v>13.01</v>
      </c>
      <c r="B180" s="14">
        <v>22.22</v>
      </c>
      <c r="C180" s="14">
        <v>82.01</v>
      </c>
      <c r="D180" s="14">
        <v>526.4</v>
      </c>
      <c r="E180" s="14">
        <v>1.9380000000000001E-2</v>
      </c>
      <c r="F180" s="14">
        <v>1.5950000000000001E-3</v>
      </c>
      <c r="G180" s="14">
        <v>1.8519999999999999E-3</v>
      </c>
      <c r="H180" s="14">
        <v>14</v>
      </c>
      <c r="I180" s="14">
        <v>608.79999999999995</v>
      </c>
      <c r="J180" s="14">
        <v>9.2589999999999999E-3</v>
      </c>
      <c r="M180" s="16">
        <v>0</v>
      </c>
      <c r="O180" s="12">
        <f t="shared" si="6"/>
        <v>1</v>
      </c>
      <c r="P180" s="12">
        <f t="shared" si="7"/>
        <v>0</v>
      </c>
      <c r="R180" s="17">
        <v>-1.4643074708783446</v>
      </c>
      <c r="S180" s="17">
        <v>1.0359333700219733</v>
      </c>
      <c r="T180" s="17">
        <v>0.4503249130137873</v>
      </c>
      <c r="U180" s="17">
        <v>0.47751119115197871</v>
      </c>
      <c r="V180" s="17">
        <v>1.5052132201123889</v>
      </c>
      <c r="W180" s="17">
        <v>-1.2567352733816861</v>
      </c>
      <c r="X180" s="17">
        <v>-1.4659127711484521</v>
      </c>
      <c r="Y180" s="17">
        <v>0.877385815472147</v>
      </c>
      <c r="Z180" s="17">
        <v>1.7463530467411736</v>
      </c>
      <c r="AA180" s="17">
        <v>1.2163845753889837</v>
      </c>
      <c r="AB180" s="17">
        <v>-0.28839333793737798</v>
      </c>
      <c r="AC180" s="17">
        <v>1.0652147513376473</v>
      </c>
      <c r="AD180" s="17">
        <v>-0.81583654438301023</v>
      </c>
      <c r="AE180" s="17">
        <v>1.6894094608623824</v>
      </c>
      <c r="AF180" s="17">
        <v>0.2496334827590041</v>
      </c>
      <c r="AG180" s="17">
        <v>0.29010426800531797</v>
      </c>
      <c r="AH180" s="17">
        <v>0.55723475600471262</v>
      </c>
      <c r="AI180" s="17">
        <v>-1.603629768829455</v>
      </c>
      <c r="AJ180" s="17">
        <v>-0.55690825498325469</v>
      </c>
      <c r="AK180" s="17">
        <v>-1.2810756905342982</v>
      </c>
      <c r="AM180" s="17">
        <v>-0.74920581906837513</v>
      </c>
      <c r="AN180" s="17">
        <v>0.72596762144726557</v>
      </c>
      <c r="AO180" s="17">
        <v>0.81113804218693808</v>
      </c>
      <c r="AP180" s="17">
        <v>0.32988437170343354</v>
      </c>
      <c r="AQ180" s="17">
        <v>0.88429257777457904</v>
      </c>
      <c r="AR180" s="17">
        <v>-0.57261371290895491</v>
      </c>
      <c r="AS180" s="17">
        <v>-0.77677445955476898</v>
      </c>
      <c r="AT180" s="17">
        <v>0.8745471778948728</v>
      </c>
      <c r="AU180" s="17">
        <v>0.71222618833129925</v>
      </c>
      <c r="AV180" s="17">
        <v>0.93555300784384521</v>
      </c>
      <c r="AW180" s="17">
        <v>-0.81431630361361629</v>
      </c>
      <c r="AX180" s="17">
        <v>0.91920072520216722</v>
      </c>
      <c r="AY180" s="17">
        <v>-0.70951880633982289</v>
      </c>
      <c r="AZ180" s="17">
        <v>0.89219207049831495</v>
      </c>
      <c r="BA180" s="17">
        <v>0.90391582279373339</v>
      </c>
      <c r="BB180" s="17">
        <v>0.85232054150511594</v>
      </c>
      <c r="BC180" s="17">
        <v>0.35614910431755403</v>
      </c>
      <c r="BD180" s="17">
        <v>-0.93700051249437211</v>
      </c>
      <c r="BE180" s="17">
        <v>-0.43315159887978627</v>
      </c>
      <c r="BF180" s="17">
        <v>0.29447024316679332</v>
      </c>
      <c r="BK180" s="20">
        <v>1.5712726722676169E-2</v>
      </c>
      <c r="BL180" s="20">
        <v>0.98427490162725573</v>
      </c>
      <c r="BN180" s="21">
        <f t="shared" si="8"/>
        <v>1</v>
      </c>
    </row>
    <row r="181" spans="1:66">
      <c r="A181" s="14">
        <v>12.81</v>
      </c>
      <c r="B181" s="14">
        <v>13.06</v>
      </c>
      <c r="C181" s="14">
        <v>81.290000000000006</v>
      </c>
      <c r="D181" s="14">
        <v>508.8</v>
      </c>
      <c r="E181" s="14">
        <v>3.7740000000000003E-2</v>
      </c>
      <c r="F181" s="14">
        <v>9.1929999999999998E-3</v>
      </c>
      <c r="G181" s="14">
        <v>1.3299999999999999E-2</v>
      </c>
      <c r="H181" s="14">
        <v>13.63</v>
      </c>
      <c r="I181" s="14">
        <v>570.70000000000005</v>
      </c>
      <c r="J181" s="14">
        <v>3.9899999999999998E-2</v>
      </c>
      <c r="M181" s="16">
        <v>0</v>
      </c>
      <c r="O181" s="12">
        <f t="shared" si="6"/>
        <v>1</v>
      </c>
      <c r="P181" s="12">
        <f t="shared" si="7"/>
        <v>0</v>
      </c>
      <c r="R181" s="17">
        <v>-0.86216493245391179</v>
      </c>
      <c r="S181" s="17">
        <v>0.86592397083683859</v>
      </c>
      <c r="T181" s="17">
        <v>1.1492407566427856</v>
      </c>
      <c r="U181" s="17">
        <v>0.30971288832147947</v>
      </c>
      <c r="V181" s="17">
        <v>1.322038261257461</v>
      </c>
      <c r="W181" s="17">
        <v>-0.54000870393571332</v>
      </c>
      <c r="X181" s="17">
        <v>-0.93446499101467595</v>
      </c>
      <c r="Y181" s="17">
        <v>1.3623707400649003</v>
      </c>
      <c r="Z181" s="17">
        <v>0.73556995189170193</v>
      </c>
      <c r="AA181" s="17">
        <v>1.6983871669386827</v>
      </c>
      <c r="AB181" s="17">
        <v>-1.2113068807979621</v>
      </c>
      <c r="AC181" s="17">
        <v>1.5906603286575782</v>
      </c>
      <c r="AD181" s="17">
        <v>-0.8593627097567913</v>
      </c>
      <c r="AE181" s="17">
        <v>1.3374666300864129</v>
      </c>
      <c r="AF181" s="17">
        <v>1.6049118769290147</v>
      </c>
      <c r="AG181" s="17">
        <v>1.3481853892245086</v>
      </c>
      <c r="AH181" s="17">
        <v>0.33128292594394448</v>
      </c>
      <c r="AI181" s="17">
        <v>-1.6572512841003593</v>
      </c>
      <c r="AJ181" s="17">
        <v>-0.4315878441673433</v>
      </c>
      <c r="AK181" s="17">
        <v>0.36873422441298942</v>
      </c>
      <c r="AM181" s="17">
        <v>-0.67084503839406573</v>
      </c>
      <c r="AN181" s="17">
        <v>0.65894988775658137</v>
      </c>
      <c r="AO181" s="17">
        <v>0.74747942901445874</v>
      </c>
      <c r="AP181" s="17">
        <v>0.28123071893705109</v>
      </c>
      <c r="AQ181" s="17">
        <v>0.8346318140370611</v>
      </c>
      <c r="AR181" s="17">
        <v>-0.48399131702637405</v>
      </c>
      <c r="AS181" s="17">
        <v>-0.70312968706479351</v>
      </c>
      <c r="AT181" s="17">
        <v>0.83407729329695257</v>
      </c>
      <c r="AU181" s="17">
        <v>0.6177975529830837</v>
      </c>
      <c r="AV181" s="17">
        <v>0.9059958144837803</v>
      </c>
      <c r="AW181" s="17">
        <v>-0.77790888736545205</v>
      </c>
      <c r="AX181" s="17">
        <v>0.88643516284786095</v>
      </c>
      <c r="AY181" s="17">
        <v>-0.64856825655933137</v>
      </c>
      <c r="AZ181" s="17">
        <v>0.84164388504052301</v>
      </c>
      <c r="BA181" s="17">
        <v>0.8787910255813004</v>
      </c>
      <c r="BB181" s="17">
        <v>0.81967082112102851</v>
      </c>
      <c r="BC181" s="17">
        <v>0.30207757995467616</v>
      </c>
      <c r="BD181" s="17">
        <v>-0.90370991405223533</v>
      </c>
      <c r="BE181" s="17">
        <v>-0.37698767014613849</v>
      </c>
      <c r="BF181" s="17">
        <v>-0.60364200364183163</v>
      </c>
      <c r="BK181" s="20">
        <v>0.97906821660871324</v>
      </c>
      <c r="BL181" s="20">
        <v>2.0912827176534182E-2</v>
      </c>
      <c r="BN181" s="21">
        <f t="shared" si="8"/>
        <v>0</v>
      </c>
    </row>
    <row r="182" spans="1:66">
      <c r="A182" s="14">
        <v>27.22</v>
      </c>
      <c r="B182" s="14">
        <v>21.87</v>
      </c>
      <c r="C182" s="14">
        <v>182.1</v>
      </c>
      <c r="D182" s="14">
        <v>2250</v>
      </c>
      <c r="E182" s="14">
        <v>0.19139999999999999</v>
      </c>
      <c r="F182" s="14">
        <v>0.28710000000000002</v>
      </c>
      <c r="G182" s="14">
        <v>0.18779999999999999</v>
      </c>
      <c r="H182" s="14">
        <v>33.119999999999997</v>
      </c>
      <c r="I182" s="14">
        <v>3216</v>
      </c>
      <c r="J182" s="14">
        <v>0.26879999999999998</v>
      </c>
      <c r="M182" s="16">
        <v>1</v>
      </c>
      <c r="O182" s="12">
        <f t="shared" si="6"/>
        <v>0</v>
      </c>
      <c r="P182" s="12">
        <f t="shared" si="7"/>
        <v>1</v>
      </c>
      <c r="R182" s="17">
        <v>-0.86216493245391179</v>
      </c>
      <c r="S182" s="17">
        <v>0.86592397083683859</v>
      </c>
      <c r="T182" s="17">
        <v>1.1492407566427856</v>
      </c>
      <c r="U182" s="17">
        <v>0.30971288832147947</v>
      </c>
      <c r="V182" s="17">
        <v>1.322038261257461</v>
      </c>
      <c r="W182" s="17">
        <v>-0.54000870393571332</v>
      </c>
      <c r="X182" s="17">
        <v>-0.93446499101467595</v>
      </c>
      <c r="Y182" s="17">
        <v>1.3623707400649003</v>
      </c>
      <c r="Z182" s="17">
        <v>0.73556995189170193</v>
      </c>
      <c r="AA182" s="17">
        <v>1.6983871669386827</v>
      </c>
      <c r="AB182" s="17">
        <v>-1.2113068807979621</v>
      </c>
      <c r="AC182" s="17">
        <v>1.5906603286575782</v>
      </c>
      <c r="AD182" s="17">
        <v>-0.8593627097567913</v>
      </c>
      <c r="AE182" s="17">
        <v>1.3374666300864129</v>
      </c>
      <c r="AF182" s="17">
        <v>1.6049118769290147</v>
      </c>
      <c r="AG182" s="17">
        <v>1.3481853892245086</v>
      </c>
      <c r="AH182" s="17">
        <v>0.33128292594394448</v>
      </c>
      <c r="AI182" s="17">
        <v>-1.6572512841003593</v>
      </c>
      <c r="AJ182" s="17">
        <v>-0.4315878441673433</v>
      </c>
      <c r="AK182" s="17">
        <v>0.36873422441298942</v>
      </c>
      <c r="AM182" s="17">
        <v>-0.78807807045535816</v>
      </c>
      <c r="AN182" s="17">
        <v>0.73267845224261285</v>
      </c>
      <c r="AO182" s="17">
        <v>0.67536604997800964</v>
      </c>
      <c r="AP182" s="17">
        <v>0.35209019801297514</v>
      </c>
      <c r="AQ182" s="17">
        <v>0.88594059267237912</v>
      </c>
      <c r="AR182" s="17">
        <v>-0.64954472834199417</v>
      </c>
      <c r="AS182" s="17">
        <v>-0.80677118654601621</v>
      </c>
      <c r="AT182" s="17">
        <v>0.8437316762010123</v>
      </c>
      <c r="AU182" s="17">
        <v>0.78788388716041047</v>
      </c>
      <c r="AV182" s="17">
        <v>0.91810550351314268</v>
      </c>
      <c r="AW182" s="17">
        <v>-0.73649478704976978</v>
      </c>
      <c r="AX182" s="17">
        <v>0.89639752072175183</v>
      </c>
      <c r="AY182" s="17">
        <v>-0.696651528838932</v>
      </c>
      <c r="AZ182" s="17">
        <v>0.89984777262702986</v>
      </c>
      <c r="BA182" s="17">
        <v>0.83593721901645779</v>
      </c>
      <c r="BB182" s="17">
        <v>0.77773591899835193</v>
      </c>
      <c r="BC182" s="17">
        <v>0.38680267554318015</v>
      </c>
      <c r="BD182" s="17">
        <v>-0.9314821145789034</v>
      </c>
      <c r="BE182" s="17">
        <v>-0.44504368801302457</v>
      </c>
      <c r="BF182" s="17">
        <v>-0.8904265526642795</v>
      </c>
      <c r="BK182" s="20">
        <v>-0.11079141687725819</v>
      </c>
      <c r="BL182" s="20">
        <v>1.1107147371956902</v>
      </c>
      <c r="BN182" s="21">
        <f t="shared" si="8"/>
        <v>1</v>
      </c>
    </row>
    <row r="183" spans="1:66">
      <c r="A183" s="14">
        <v>21.09</v>
      </c>
      <c r="B183" s="14">
        <v>26.57</v>
      </c>
      <c r="C183" s="14">
        <v>142.69999999999999</v>
      </c>
      <c r="D183" s="14">
        <v>1311</v>
      </c>
      <c r="E183" s="14">
        <v>0.28320000000000001</v>
      </c>
      <c r="F183" s="14">
        <v>0.2487</v>
      </c>
      <c r="G183" s="14">
        <v>0.14960000000000001</v>
      </c>
      <c r="H183" s="14">
        <v>26.68</v>
      </c>
      <c r="I183" s="14">
        <v>2089</v>
      </c>
      <c r="J183" s="14">
        <v>0.2903</v>
      </c>
      <c r="M183" s="16">
        <v>1</v>
      </c>
      <c r="O183" s="12">
        <f t="shared" si="6"/>
        <v>0</v>
      </c>
      <c r="P183" s="12">
        <f t="shared" si="7"/>
        <v>1</v>
      </c>
      <c r="R183" s="17">
        <v>-0.86216493245391179</v>
      </c>
      <c r="S183" s="17">
        <v>0.86592397083683859</v>
      </c>
      <c r="T183" s="17">
        <v>1.1492407566427856</v>
      </c>
      <c r="U183" s="17">
        <v>0.30971288832147947</v>
      </c>
      <c r="V183" s="17">
        <v>1.322038261257461</v>
      </c>
      <c r="W183" s="17">
        <v>-0.54000870393571332</v>
      </c>
      <c r="X183" s="17">
        <v>-0.93446499101467595</v>
      </c>
      <c r="Y183" s="17">
        <v>1.3623707400649003</v>
      </c>
      <c r="Z183" s="17">
        <v>0.73556995189170193</v>
      </c>
      <c r="AA183" s="17">
        <v>1.6983871669386827</v>
      </c>
      <c r="AB183" s="17">
        <v>-1.2113068807979621</v>
      </c>
      <c r="AC183" s="17">
        <v>1.5906603286575782</v>
      </c>
      <c r="AD183" s="17">
        <v>-0.8593627097567913</v>
      </c>
      <c r="AE183" s="17">
        <v>1.3374666300864129</v>
      </c>
      <c r="AF183" s="17">
        <v>1.6049118769290147</v>
      </c>
      <c r="AG183" s="17">
        <v>1.3481853892245086</v>
      </c>
      <c r="AH183" s="17">
        <v>0.33128292594394448</v>
      </c>
      <c r="AI183" s="17">
        <v>-1.6572512841003593</v>
      </c>
      <c r="AJ183" s="17">
        <v>-0.4315878441673433</v>
      </c>
      <c r="AK183" s="17">
        <v>0.36873422441298942</v>
      </c>
      <c r="AM183" s="17">
        <v>-0.660275922513472</v>
      </c>
      <c r="AN183" s="17">
        <v>0.67123544415000092</v>
      </c>
      <c r="AO183" s="17">
        <v>0.79833812679774041</v>
      </c>
      <c r="AP183" s="17">
        <v>0.27917414661046441</v>
      </c>
      <c r="AQ183" s="17">
        <v>0.8466124889095491</v>
      </c>
      <c r="AR183" s="17">
        <v>-0.44960339231509711</v>
      </c>
      <c r="AS183" s="17">
        <v>-0.69849277416635291</v>
      </c>
      <c r="AT183" s="17">
        <v>0.86355784204627462</v>
      </c>
      <c r="AU183" s="17">
        <v>0.57720897098533197</v>
      </c>
      <c r="AV183" s="17">
        <v>0.92534579824245933</v>
      </c>
      <c r="AW183" s="17">
        <v>-0.82763445224743404</v>
      </c>
      <c r="AX183" s="17">
        <v>0.90951112283086488</v>
      </c>
      <c r="AY183" s="17">
        <v>-0.67220225823832003</v>
      </c>
      <c r="AZ183" s="17">
        <v>0.84894676294836569</v>
      </c>
      <c r="BA183" s="17">
        <v>0.91688965820802393</v>
      </c>
      <c r="BB183" s="17">
        <v>0.86556995440367979</v>
      </c>
      <c r="BC183" s="17">
        <v>0.29590456269674215</v>
      </c>
      <c r="BD183" s="17">
        <v>-0.91703938286949671</v>
      </c>
      <c r="BE183" s="17">
        <v>-0.38310115211742801</v>
      </c>
      <c r="BF183" s="17">
        <v>0.27300463055802499</v>
      </c>
      <c r="BK183" s="20">
        <v>0.90772230542223886</v>
      </c>
      <c r="BL183" s="20">
        <v>9.2453139646443E-2</v>
      </c>
      <c r="BN183" s="21">
        <f t="shared" si="8"/>
        <v>0</v>
      </c>
    </row>
    <row r="184" spans="1:66">
      <c r="A184" s="14">
        <v>15.7</v>
      </c>
      <c r="B184" s="14">
        <v>20.309999999999999</v>
      </c>
      <c r="C184" s="14">
        <v>101.2</v>
      </c>
      <c r="D184" s="14">
        <v>766.6</v>
      </c>
      <c r="E184" s="14">
        <v>8.7989999999999999E-2</v>
      </c>
      <c r="F184" s="14">
        <v>6.5930000000000002E-2</v>
      </c>
      <c r="G184" s="14">
        <v>5.1889999999999999E-2</v>
      </c>
      <c r="H184" s="14">
        <v>20.11</v>
      </c>
      <c r="I184" s="14">
        <v>1269</v>
      </c>
      <c r="J184" s="14">
        <v>0.15409999999999999</v>
      </c>
      <c r="M184" s="16">
        <v>1</v>
      </c>
      <c r="O184" s="12">
        <f t="shared" si="6"/>
        <v>0</v>
      </c>
      <c r="P184" s="12">
        <f t="shared" si="7"/>
        <v>1</v>
      </c>
      <c r="R184" s="17">
        <v>-0.86216493245391179</v>
      </c>
      <c r="S184" s="17">
        <v>0.86592397083683859</v>
      </c>
      <c r="T184" s="17">
        <v>1.1492407566427856</v>
      </c>
      <c r="U184" s="17">
        <v>0.30971288832147947</v>
      </c>
      <c r="V184" s="17">
        <v>1.322038261257461</v>
      </c>
      <c r="W184" s="17">
        <v>-0.54000870393571332</v>
      </c>
      <c r="X184" s="17">
        <v>-0.93446499101467595</v>
      </c>
      <c r="Y184" s="17">
        <v>1.3623707400649003</v>
      </c>
      <c r="Z184" s="17">
        <v>0.73556995189170193</v>
      </c>
      <c r="AA184" s="17">
        <v>1.6983871669386827</v>
      </c>
      <c r="AB184" s="17">
        <v>-1.2113068807979621</v>
      </c>
      <c r="AC184" s="17">
        <v>1.5906603286575782</v>
      </c>
      <c r="AD184" s="17">
        <v>-0.8593627097567913</v>
      </c>
      <c r="AE184" s="17">
        <v>1.3374666300864129</v>
      </c>
      <c r="AF184" s="17">
        <v>1.6049118769290147</v>
      </c>
      <c r="AG184" s="17">
        <v>1.3481853892245086</v>
      </c>
      <c r="AH184" s="17">
        <v>0.33128292594394448</v>
      </c>
      <c r="AI184" s="17">
        <v>-1.6572512841003593</v>
      </c>
      <c r="AJ184" s="17">
        <v>-0.4315878441673433</v>
      </c>
      <c r="AK184" s="17">
        <v>0.36873422441298942</v>
      </c>
      <c r="AM184" s="17">
        <v>-0.75959093375057218</v>
      </c>
      <c r="AN184" s="17">
        <v>0.71742658724451014</v>
      </c>
      <c r="AO184" s="17">
        <v>0.741638994855226</v>
      </c>
      <c r="AP184" s="17">
        <v>0.33341682492477764</v>
      </c>
      <c r="AQ184" s="17">
        <v>0.87651350879789836</v>
      </c>
      <c r="AR184" s="17">
        <v>-0.60394546473025545</v>
      </c>
      <c r="AS184" s="17">
        <v>-0.78242562671167604</v>
      </c>
      <c r="AT184" s="17">
        <v>0.84864616432164319</v>
      </c>
      <c r="AU184" s="17">
        <v>0.74441654840536153</v>
      </c>
      <c r="AV184" s="17">
        <v>0.91974091086837995</v>
      </c>
      <c r="AW184" s="17">
        <v>-0.76265966181282274</v>
      </c>
      <c r="AX184" s="17">
        <v>0.89959660690991383</v>
      </c>
      <c r="AY184" s="17">
        <v>-0.69002352165403436</v>
      </c>
      <c r="AZ184" s="17">
        <v>0.88827213814692485</v>
      </c>
      <c r="BA184" s="17">
        <v>0.86138136773878315</v>
      </c>
      <c r="BB184" s="17">
        <v>0.80368097862754539</v>
      </c>
      <c r="BC184" s="17">
        <v>0.36375518939680551</v>
      </c>
      <c r="BD184" s="17">
        <v>-0.92776870497833452</v>
      </c>
      <c r="BE184" s="17">
        <v>-0.42911294245345188</v>
      </c>
      <c r="BF184" s="17">
        <v>0.19355965981406559</v>
      </c>
      <c r="BK184" s="20">
        <v>0.95351076243692023</v>
      </c>
      <c r="BL184" s="20">
        <v>4.6764786007332276E-2</v>
      </c>
      <c r="BN184" s="21">
        <f t="shared" si="8"/>
        <v>0</v>
      </c>
    </row>
    <row r="185" spans="1:66">
      <c r="A185" s="14">
        <v>11.41</v>
      </c>
      <c r="B185" s="14">
        <v>14.92</v>
      </c>
      <c r="C185" s="14">
        <v>73.53</v>
      </c>
      <c r="D185" s="14">
        <v>402</v>
      </c>
      <c r="E185" s="14">
        <v>8.1549999999999997E-2</v>
      </c>
      <c r="F185" s="14">
        <v>6.1809999999999997E-2</v>
      </c>
      <c r="G185" s="14">
        <v>2.3609999999999999E-2</v>
      </c>
      <c r="H185" s="14">
        <v>12.37</v>
      </c>
      <c r="I185" s="14">
        <v>467.2</v>
      </c>
      <c r="J185" s="14">
        <v>6.2960000000000002E-2</v>
      </c>
      <c r="M185" s="16">
        <v>0</v>
      </c>
      <c r="O185" s="12">
        <f t="shared" si="6"/>
        <v>1</v>
      </c>
      <c r="P185" s="12">
        <f t="shared" si="7"/>
        <v>0</v>
      </c>
      <c r="R185" s="17">
        <v>-0.86216493245391179</v>
      </c>
      <c r="S185" s="17">
        <v>0.86592397083683859</v>
      </c>
      <c r="T185" s="17">
        <v>1.1492407566427856</v>
      </c>
      <c r="U185" s="17">
        <v>0.30971288832147947</v>
      </c>
      <c r="V185" s="17">
        <v>1.322038261257461</v>
      </c>
      <c r="W185" s="17">
        <v>-0.54000870393571332</v>
      </c>
      <c r="X185" s="17">
        <v>-0.93446499101467595</v>
      </c>
      <c r="Y185" s="17">
        <v>1.3623707400649003</v>
      </c>
      <c r="Z185" s="17">
        <v>0.73556995189170193</v>
      </c>
      <c r="AA185" s="17">
        <v>1.6983871669386827</v>
      </c>
      <c r="AB185" s="17">
        <v>-1.2113068807979621</v>
      </c>
      <c r="AC185" s="17">
        <v>1.5906603286575782</v>
      </c>
      <c r="AD185" s="17">
        <v>-0.8593627097567913</v>
      </c>
      <c r="AE185" s="17">
        <v>1.3374666300864129</v>
      </c>
      <c r="AF185" s="17">
        <v>1.6049118769290147</v>
      </c>
      <c r="AG185" s="17">
        <v>1.3481853892245086</v>
      </c>
      <c r="AH185" s="17">
        <v>0.33128292594394448</v>
      </c>
      <c r="AI185" s="17">
        <v>-1.6572512841003593</v>
      </c>
      <c r="AJ185" s="17">
        <v>-0.4315878441673433</v>
      </c>
      <c r="AK185" s="17">
        <v>-1.6237853779800846</v>
      </c>
      <c r="AM185" s="17">
        <v>-0.74461563291992383</v>
      </c>
      <c r="AN185" s="17">
        <v>0.7113737832410133</v>
      </c>
      <c r="AO185" s="17">
        <v>0.77066297171034359</v>
      </c>
      <c r="AP185" s="17">
        <v>0.3245854197338166</v>
      </c>
      <c r="AQ185" s="17">
        <v>0.87300103817146557</v>
      </c>
      <c r="AR185" s="17">
        <v>-0.57858641199777172</v>
      </c>
      <c r="AS185" s="17">
        <v>-0.77003943939772279</v>
      </c>
      <c r="AT185" s="17">
        <v>0.85390547166845809</v>
      </c>
      <c r="AU185" s="17">
        <v>0.71892785577690077</v>
      </c>
      <c r="AV185" s="17">
        <v>0.92239933257935292</v>
      </c>
      <c r="AW185" s="17">
        <v>-0.77974537513974951</v>
      </c>
      <c r="AX185" s="17">
        <v>0.9033825909678378</v>
      </c>
      <c r="AY185" s="17">
        <v>-0.68929262213647391</v>
      </c>
      <c r="AZ185" s="17">
        <v>0.88317159292857095</v>
      </c>
      <c r="BA185" s="17">
        <v>0.87670476526572894</v>
      </c>
      <c r="BB185" s="17">
        <v>0.8202067439266818</v>
      </c>
      <c r="BC185" s="17">
        <v>0.3524451282317127</v>
      </c>
      <c r="BD185" s="17">
        <v>-0.92717578726412875</v>
      </c>
      <c r="BE185" s="17">
        <v>-0.42236570987227157</v>
      </c>
      <c r="BF185" s="17">
        <v>0.20577843978710514</v>
      </c>
      <c r="BK185" s="20">
        <v>6.101768223417478E-2</v>
      </c>
      <c r="BL185" s="20">
        <v>0.93904798749218577</v>
      </c>
      <c r="BN185" s="21">
        <f t="shared" si="8"/>
        <v>1</v>
      </c>
    </row>
    <row r="186" spans="1:66">
      <c r="A186" s="14">
        <v>15.28</v>
      </c>
      <c r="B186" s="14">
        <v>22.41</v>
      </c>
      <c r="C186" s="14">
        <v>98.92</v>
      </c>
      <c r="D186" s="14">
        <v>710.6</v>
      </c>
      <c r="E186" s="14">
        <v>0.1052</v>
      </c>
      <c r="F186" s="14">
        <v>5.3749999999999999E-2</v>
      </c>
      <c r="G186" s="14">
        <v>3.2629999999999999E-2</v>
      </c>
      <c r="H186" s="14">
        <v>17.8</v>
      </c>
      <c r="I186" s="14">
        <v>973.1</v>
      </c>
      <c r="J186" s="14">
        <v>0.1226</v>
      </c>
      <c r="M186" s="16">
        <v>1</v>
      </c>
      <c r="O186" s="12">
        <f t="shared" si="6"/>
        <v>0</v>
      </c>
      <c r="P186" s="12">
        <f t="shared" si="7"/>
        <v>1</v>
      </c>
      <c r="R186" s="17">
        <v>-0.86216493245391179</v>
      </c>
      <c r="S186" s="17">
        <v>0.86592397083683859</v>
      </c>
      <c r="T186" s="17">
        <v>1.1492407566427856</v>
      </c>
      <c r="U186" s="17">
        <v>0.30971288832147947</v>
      </c>
      <c r="V186" s="17">
        <v>1.322038261257461</v>
      </c>
      <c r="W186" s="17">
        <v>-0.54000870393571332</v>
      </c>
      <c r="X186" s="17">
        <v>-0.93446499101467595</v>
      </c>
      <c r="Y186" s="17">
        <v>1.3623707400649003</v>
      </c>
      <c r="Z186" s="17">
        <v>0.73556995189170193</v>
      </c>
      <c r="AA186" s="17">
        <v>1.6983871669386827</v>
      </c>
      <c r="AB186" s="17">
        <v>-1.2113068807979621</v>
      </c>
      <c r="AC186" s="17">
        <v>1.5906603286575782</v>
      </c>
      <c r="AD186" s="17">
        <v>-0.8593627097567913</v>
      </c>
      <c r="AE186" s="17">
        <v>1.3374666300864129</v>
      </c>
      <c r="AF186" s="17">
        <v>1.6049118769290147</v>
      </c>
      <c r="AG186" s="17">
        <v>1.3481853892245086</v>
      </c>
      <c r="AH186" s="17">
        <v>0.33128292594394448</v>
      </c>
      <c r="AI186" s="17">
        <v>-1.6572512841003593</v>
      </c>
      <c r="AJ186" s="17">
        <v>-0.4315878441673433</v>
      </c>
      <c r="AK186" s="17">
        <v>-1.5860267783721969</v>
      </c>
      <c r="AM186" s="17">
        <v>-0.87047204243103737</v>
      </c>
      <c r="AN186" s="17">
        <v>0.78230752462583342</v>
      </c>
      <c r="AO186" s="17">
        <v>0.60739112297030673</v>
      </c>
      <c r="AP186" s="17">
        <v>0.41965251559833255</v>
      </c>
      <c r="AQ186" s="17">
        <v>0.91447103895130988</v>
      </c>
      <c r="AR186" s="17">
        <v>-0.78655970194065827</v>
      </c>
      <c r="AS186" s="17">
        <v>-0.8778380058216001</v>
      </c>
      <c r="AT186" s="17">
        <v>0.81869925021314671</v>
      </c>
      <c r="AU186" s="17">
        <v>0.89958575513681949</v>
      </c>
      <c r="AV186" s="17">
        <v>0.90849793706940485</v>
      </c>
      <c r="AW186" s="17">
        <v>-0.6028070723800163</v>
      </c>
      <c r="AX186" s="17">
        <v>0.87942401370250012</v>
      </c>
      <c r="AY186" s="17">
        <v>-0.71725329518129821</v>
      </c>
      <c r="AZ186" s="17">
        <v>0.93328668908324952</v>
      </c>
      <c r="BA186" s="17">
        <v>0.68367351171640778</v>
      </c>
      <c r="BB186" s="17">
        <v>0.63859813045443081</v>
      </c>
      <c r="BC186" s="17">
        <v>0.46945278702046039</v>
      </c>
      <c r="BD186" s="17">
        <v>-0.94245830487657833</v>
      </c>
      <c r="BE186" s="17">
        <v>-0.5012748412093202</v>
      </c>
      <c r="BF186" s="17">
        <v>0.15186734534384935</v>
      </c>
      <c r="BK186" s="20">
        <v>7.9243853316080567E-2</v>
      </c>
      <c r="BL186" s="20">
        <v>0.92086490233610807</v>
      </c>
      <c r="BN186" s="21">
        <f t="shared" si="8"/>
        <v>1</v>
      </c>
    </row>
    <row r="187" spans="1:66">
      <c r="A187" s="14">
        <v>10.08</v>
      </c>
      <c r="B187" s="14">
        <v>15.11</v>
      </c>
      <c r="C187" s="14">
        <v>63.76</v>
      </c>
      <c r="D187" s="14">
        <v>317.5</v>
      </c>
      <c r="E187" s="14">
        <v>4.6949999999999999E-2</v>
      </c>
      <c r="F187" s="14">
        <v>1.5969999999999999E-3</v>
      </c>
      <c r="G187" s="14">
        <v>2.4039999999999999E-3</v>
      </c>
      <c r="H187" s="14">
        <v>11.87</v>
      </c>
      <c r="I187" s="14">
        <v>437</v>
      </c>
      <c r="J187" s="14">
        <v>1.042E-2</v>
      </c>
      <c r="M187" s="16">
        <v>0</v>
      </c>
      <c r="O187" s="12">
        <f t="shared" si="6"/>
        <v>1</v>
      </c>
      <c r="P187" s="12">
        <f t="shared" si="7"/>
        <v>0</v>
      </c>
      <c r="R187" s="17">
        <v>-0.86216493245391179</v>
      </c>
      <c r="S187" s="17">
        <v>0.86592397083683859</v>
      </c>
      <c r="T187" s="17">
        <v>1.1492407566427856</v>
      </c>
      <c r="U187" s="17">
        <v>0.30971288832147947</v>
      </c>
      <c r="V187" s="17">
        <v>1.322038261257461</v>
      </c>
      <c r="W187" s="17">
        <v>-0.54000870393571332</v>
      </c>
      <c r="X187" s="17">
        <v>-0.93446499101467595</v>
      </c>
      <c r="Y187" s="17">
        <v>1.3623707400649003</v>
      </c>
      <c r="Z187" s="17">
        <v>0.73556995189170193</v>
      </c>
      <c r="AA187" s="17">
        <v>1.6983871669386827</v>
      </c>
      <c r="AB187" s="17">
        <v>-1.2113068807979621</v>
      </c>
      <c r="AC187" s="17">
        <v>1.5906603286575782</v>
      </c>
      <c r="AD187" s="17">
        <v>-0.8593627097567913</v>
      </c>
      <c r="AE187" s="17">
        <v>1.3374666300864129</v>
      </c>
      <c r="AF187" s="17">
        <v>1.6049118769290147</v>
      </c>
      <c r="AG187" s="17">
        <v>1.3481853892245086</v>
      </c>
      <c r="AH187" s="17">
        <v>0.33128292594394448</v>
      </c>
      <c r="AI187" s="17">
        <v>-1.6572512841003593</v>
      </c>
      <c r="AJ187" s="17">
        <v>-0.4315878441673433</v>
      </c>
      <c r="AK187" s="17">
        <v>0.36873406677857445</v>
      </c>
      <c r="AM187" s="17">
        <v>-0.78546701672573382</v>
      </c>
      <c r="AN187" s="17">
        <v>0.74977308565380862</v>
      </c>
      <c r="AO187" s="17">
        <v>0.83740221868863884</v>
      </c>
      <c r="AP187" s="17">
        <v>0.35431365008875365</v>
      </c>
      <c r="AQ187" s="17">
        <v>0.89930037246911587</v>
      </c>
      <c r="AR187" s="17">
        <v>-0.62623585063865261</v>
      </c>
      <c r="AS187" s="17">
        <v>-0.80853381017266635</v>
      </c>
      <c r="AT187" s="17">
        <v>0.87898632506158947</v>
      </c>
      <c r="AU187" s="17">
        <v>0.7652326845208135</v>
      </c>
      <c r="AV187" s="17">
        <v>0.93968604217253571</v>
      </c>
      <c r="AW187" s="17">
        <v>-0.80602009872728586</v>
      </c>
      <c r="AX187" s="17">
        <v>0.92311284414432404</v>
      </c>
      <c r="AY187" s="17">
        <v>-0.72604688065759548</v>
      </c>
      <c r="AZ187" s="17">
        <v>0.90884070731747324</v>
      </c>
      <c r="BA187" s="17">
        <v>0.8957176828381993</v>
      </c>
      <c r="BB187" s="17">
        <v>0.84405574175747367</v>
      </c>
      <c r="BC187" s="17">
        <v>0.38503705284451872</v>
      </c>
      <c r="BD187" s="17">
        <v>-0.94482299748493737</v>
      </c>
      <c r="BE187" s="17">
        <v>-0.45677831720051043</v>
      </c>
      <c r="BF187" s="17">
        <v>0.53362999000012401</v>
      </c>
      <c r="BK187" s="20">
        <v>0.94355093066975948</v>
      </c>
      <c r="BL187" s="20">
        <v>5.6558519812287066E-2</v>
      </c>
      <c r="BN187" s="21">
        <f t="shared" si="8"/>
        <v>0</v>
      </c>
    </row>
    <row r="188" spans="1:66">
      <c r="A188" s="14">
        <v>18.309999999999999</v>
      </c>
      <c r="B188" s="14">
        <v>18.579999999999998</v>
      </c>
      <c r="C188" s="14">
        <v>118.6</v>
      </c>
      <c r="D188" s="14">
        <v>1041</v>
      </c>
      <c r="E188" s="14">
        <v>8.4680000000000005E-2</v>
      </c>
      <c r="F188" s="14">
        <v>8.1689999999999999E-2</v>
      </c>
      <c r="G188" s="14">
        <v>5.8139999999999997E-2</v>
      </c>
      <c r="H188" s="14">
        <v>21.31</v>
      </c>
      <c r="I188" s="14">
        <v>1410</v>
      </c>
      <c r="J188" s="14">
        <v>0.15709999999999999</v>
      </c>
      <c r="M188" s="16">
        <v>1</v>
      </c>
      <c r="O188" s="12">
        <f t="shared" si="6"/>
        <v>0</v>
      </c>
      <c r="P188" s="12">
        <f t="shared" si="7"/>
        <v>1</v>
      </c>
      <c r="R188" s="17">
        <v>-0.86216493245391179</v>
      </c>
      <c r="S188" s="17">
        <v>0.86592397083683859</v>
      </c>
      <c r="T188" s="17">
        <v>1.1492407566427856</v>
      </c>
      <c r="U188" s="17">
        <v>0.30971288832147947</v>
      </c>
      <c r="V188" s="17">
        <v>1.322038261257461</v>
      </c>
      <c r="W188" s="17">
        <v>-0.54000870393571332</v>
      </c>
      <c r="X188" s="17">
        <v>-0.93446499101467595</v>
      </c>
      <c r="Y188" s="17">
        <v>1.3623707400649003</v>
      </c>
      <c r="Z188" s="17">
        <v>0.73556995189170193</v>
      </c>
      <c r="AA188" s="17">
        <v>1.6983871669386827</v>
      </c>
      <c r="AB188" s="17">
        <v>-1.2113068807979621</v>
      </c>
      <c r="AC188" s="17">
        <v>1.5906603286575782</v>
      </c>
      <c r="AD188" s="17">
        <v>-0.8593627097567913</v>
      </c>
      <c r="AE188" s="17">
        <v>1.3374666300864129</v>
      </c>
      <c r="AF188" s="17">
        <v>1.6049118769290147</v>
      </c>
      <c r="AG188" s="17">
        <v>1.3481853892245086</v>
      </c>
      <c r="AH188" s="17">
        <v>0.33128292594394448</v>
      </c>
      <c r="AI188" s="17">
        <v>-1.6572512841003593</v>
      </c>
      <c r="AJ188" s="17">
        <v>-0.4315878441673433</v>
      </c>
      <c r="AK188" s="17">
        <v>0.36873422441290005</v>
      </c>
      <c r="AM188" s="17">
        <v>-0.69104268019732229</v>
      </c>
      <c r="AN188" s="17">
        <v>0.68564187963551859</v>
      </c>
      <c r="AO188" s="17">
        <v>0.78994436924690425</v>
      </c>
      <c r="AP188" s="17">
        <v>0.29475504867320557</v>
      </c>
      <c r="AQ188" s="17">
        <v>0.85635775242178636</v>
      </c>
      <c r="AR188" s="17">
        <v>-0.49545842313944255</v>
      </c>
      <c r="AS188" s="17">
        <v>-0.72463193850259366</v>
      </c>
      <c r="AT188" s="17">
        <v>0.86092526873124497</v>
      </c>
      <c r="AU188" s="17">
        <v>0.62982096811979071</v>
      </c>
      <c r="AV188" s="17">
        <v>0.92472847819440507</v>
      </c>
      <c r="AW188" s="17">
        <v>-0.81350416061841713</v>
      </c>
      <c r="AX188" s="17">
        <v>0.90791732810073955</v>
      </c>
      <c r="AY188" s="17">
        <v>-0.67859319691990672</v>
      </c>
      <c r="AZ188" s="17">
        <v>0.86167409557565533</v>
      </c>
      <c r="BA188" s="17">
        <v>0.90561791963191218</v>
      </c>
      <c r="BB188" s="17">
        <v>0.85238956412128597</v>
      </c>
      <c r="BC188" s="17">
        <v>0.31529563239781561</v>
      </c>
      <c r="BD188" s="17">
        <v>-0.92089032597734188</v>
      </c>
      <c r="BE188" s="17">
        <v>-0.39677359492577274</v>
      </c>
      <c r="BF188" s="17">
        <v>0.34163479605484809</v>
      </c>
      <c r="BK188" s="20">
        <v>1.0350646746105507</v>
      </c>
      <c r="BL188" s="20">
        <v>-3.519694920959341E-2</v>
      </c>
      <c r="BN188" s="21">
        <f t="shared" si="8"/>
        <v>0</v>
      </c>
    </row>
    <row r="189" spans="1:66">
      <c r="A189" s="14">
        <v>11.71</v>
      </c>
      <c r="B189" s="14">
        <v>17.190000000000001</v>
      </c>
      <c r="C189" s="14">
        <v>74.680000000000007</v>
      </c>
      <c r="D189" s="14">
        <v>420.3</v>
      </c>
      <c r="E189" s="14">
        <v>6.1409999999999999E-2</v>
      </c>
      <c r="F189" s="14">
        <v>3.8089999999999999E-2</v>
      </c>
      <c r="G189" s="14">
        <v>3.2390000000000002E-2</v>
      </c>
      <c r="H189" s="14">
        <v>13.01</v>
      </c>
      <c r="I189" s="14">
        <v>521.5</v>
      </c>
      <c r="J189" s="14">
        <v>0.1099</v>
      </c>
      <c r="M189" s="16">
        <v>0</v>
      </c>
      <c r="O189" s="12">
        <f t="shared" si="6"/>
        <v>1</v>
      </c>
      <c r="P189" s="12">
        <f t="shared" si="7"/>
        <v>0</v>
      </c>
      <c r="R189" s="17">
        <v>-0.86216493245391179</v>
      </c>
      <c r="S189" s="17">
        <v>0.86592397083683859</v>
      </c>
      <c r="T189" s="17">
        <v>1.1492407566427856</v>
      </c>
      <c r="U189" s="17">
        <v>0.30971288832147947</v>
      </c>
      <c r="V189" s="17">
        <v>1.322038261257461</v>
      </c>
      <c r="W189" s="17">
        <v>-0.54000870393571332</v>
      </c>
      <c r="X189" s="17">
        <v>-0.93446499101467595</v>
      </c>
      <c r="Y189" s="17">
        <v>1.3623707400649003</v>
      </c>
      <c r="Z189" s="17">
        <v>0.73556995189170193</v>
      </c>
      <c r="AA189" s="17">
        <v>1.6983871669386827</v>
      </c>
      <c r="AB189" s="17">
        <v>-1.2113068807979621</v>
      </c>
      <c r="AC189" s="17">
        <v>1.5906603286575782</v>
      </c>
      <c r="AD189" s="17">
        <v>-0.8593627097567913</v>
      </c>
      <c r="AE189" s="17">
        <v>1.3374666300864129</v>
      </c>
      <c r="AF189" s="17">
        <v>1.6049118769290147</v>
      </c>
      <c r="AG189" s="17">
        <v>1.3481853892245086</v>
      </c>
      <c r="AH189" s="17">
        <v>0.33128292594394448</v>
      </c>
      <c r="AI189" s="17">
        <v>-1.6572512841003593</v>
      </c>
      <c r="AJ189" s="17">
        <v>-0.4315878441673433</v>
      </c>
      <c r="AK189" s="17">
        <v>0.36873422440610326</v>
      </c>
      <c r="AM189" s="17">
        <v>-0.66983590701249029</v>
      </c>
      <c r="AN189" s="17">
        <v>0.6703582049955874</v>
      </c>
      <c r="AO189" s="17">
        <v>0.76556062332190078</v>
      </c>
      <c r="AP189" s="17">
        <v>0.28291270194195178</v>
      </c>
      <c r="AQ189" s="17">
        <v>0.84497866737172889</v>
      </c>
      <c r="AR189" s="17">
        <v>-0.46966016105005864</v>
      </c>
      <c r="AS189" s="17">
        <v>-0.70525899059284347</v>
      </c>
      <c r="AT189" s="17">
        <v>0.85436632640938692</v>
      </c>
      <c r="AU189" s="17">
        <v>0.60080164419859594</v>
      </c>
      <c r="AV189" s="17">
        <v>0.91962385182889572</v>
      </c>
      <c r="AW189" s="17">
        <v>-0.81037593014182596</v>
      </c>
      <c r="AX189" s="17">
        <v>0.90249485002280416</v>
      </c>
      <c r="AY189" s="17">
        <v>-0.66625762783949494</v>
      </c>
      <c r="AZ189" s="17">
        <v>0.84933815030463233</v>
      </c>
      <c r="BA189" s="17">
        <v>0.90404173217779538</v>
      </c>
      <c r="BB189" s="17">
        <v>0.84979601401611504</v>
      </c>
      <c r="BC189" s="17">
        <v>0.30168993962120016</v>
      </c>
      <c r="BD189" s="17">
        <v>-0.91389000749138438</v>
      </c>
      <c r="BE189" s="17">
        <v>-0.38392102720552995</v>
      </c>
      <c r="BF189" s="17">
        <v>6.5481408269561503E-2</v>
      </c>
      <c r="BK189" s="20">
        <v>4.7504136351042607E-2</v>
      </c>
      <c r="BL189" s="20">
        <v>0.9525471552932826</v>
      </c>
      <c r="BN189" s="21">
        <f t="shared" si="8"/>
        <v>1</v>
      </c>
    </row>
    <row r="190" spans="1:66">
      <c r="A190" s="14">
        <v>11.81</v>
      </c>
      <c r="B190" s="14">
        <v>17.39</v>
      </c>
      <c r="C190" s="14">
        <v>75.27</v>
      </c>
      <c r="D190" s="14">
        <v>428.9</v>
      </c>
      <c r="E190" s="14">
        <v>5.5620000000000003E-2</v>
      </c>
      <c r="F190" s="14">
        <v>2.3529999999999999E-2</v>
      </c>
      <c r="G190" s="14">
        <v>1.553E-2</v>
      </c>
      <c r="H190" s="14">
        <v>12.57</v>
      </c>
      <c r="I190" s="14">
        <v>489.5</v>
      </c>
      <c r="J190" s="14">
        <v>4.3060000000000001E-2</v>
      </c>
      <c r="M190" s="16">
        <v>0</v>
      </c>
      <c r="O190" s="12">
        <f t="shared" si="6"/>
        <v>1</v>
      </c>
      <c r="P190" s="12">
        <f t="shared" si="7"/>
        <v>0</v>
      </c>
      <c r="R190" s="17">
        <v>-1.4643074708783446</v>
      </c>
      <c r="S190" s="17">
        <v>1.0359333700219733</v>
      </c>
      <c r="T190" s="17">
        <v>0.4503249130137873</v>
      </c>
      <c r="U190" s="17">
        <v>0.47751119115197871</v>
      </c>
      <c r="V190" s="17">
        <v>1.5052132201123889</v>
      </c>
      <c r="W190" s="17">
        <v>-1.2567352733816861</v>
      </c>
      <c r="X190" s="17">
        <v>-1.4659127711484521</v>
      </c>
      <c r="Y190" s="17">
        <v>0.877385815472147</v>
      </c>
      <c r="Z190" s="17">
        <v>1.7463530467411736</v>
      </c>
      <c r="AA190" s="17">
        <v>1.2163845753889837</v>
      </c>
      <c r="AB190" s="17">
        <v>-0.28839333793737798</v>
      </c>
      <c r="AC190" s="17">
        <v>1.0652147513376473</v>
      </c>
      <c r="AD190" s="17">
        <v>-0.81583654438301023</v>
      </c>
      <c r="AE190" s="17">
        <v>1.6894094608623824</v>
      </c>
      <c r="AF190" s="17">
        <v>0.2496334827590041</v>
      </c>
      <c r="AG190" s="17">
        <v>0.29010426800531797</v>
      </c>
      <c r="AH190" s="17">
        <v>0.55723475600471262</v>
      </c>
      <c r="AI190" s="17">
        <v>-1.603629768829455</v>
      </c>
      <c r="AJ190" s="17">
        <v>-0.55690825498325469</v>
      </c>
      <c r="AK190" s="17">
        <v>0.41256201738018505</v>
      </c>
      <c r="AM190" s="17">
        <v>-0.75883037208103998</v>
      </c>
      <c r="AN190" s="17">
        <v>0.72372402553219117</v>
      </c>
      <c r="AO190" s="17">
        <v>0.7643764996272514</v>
      </c>
      <c r="AP190" s="17">
        <v>0.33432110979126511</v>
      </c>
      <c r="AQ190" s="17">
        <v>0.88165170917235558</v>
      </c>
      <c r="AR190" s="17">
        <v>-0.5957742562674696</v>
      </c>
      <c r="AS190" s="17">
        <v>-0.78328044383611228</v>
      </c>
      <c r="AT190" s="17">
        <v>0.86112878501938428</v>
      </c>
      <c r="AU190" s="17">
        <v>0.73602232172014082</v>
      </c>
      <c r="AV190" s="17">
        <v>0.927610329265808</v>
      </c>
      <c r="AW190" s="17">
        <v>-0.78591355420040454</v>
      </c>
      <c r="AX190" s="17">
        <v>0.9091979882361485</v>
      </c>
      <c r="AY190" s="17">
        <v>-0.70049704381443545</v>
      </c>
      <c r="AZ190" s="17">
        <v>0.89183966008115267</v>
      </c>
      <c r="BA190" s="17">
        <v>0.88099783268570442</v>
      </c>
      <c r="BB190" s="17">
        <v>0.82575957139222322</v>
      </c>
      <c r="BC190" s="17">
        <v>0.36331765419943374</v>
      </c>
      <c r="BD190" s="17">
        <v>-0.93288532994623519</v>
      </c>
      <c r="BE190" s="17">
        <v>-0.43329525399535684</v>
      </c>
      <c r="BF190" s="17">
        <v>-0.16420029791809218</v>
      </c>
      <c r="BK190" s="20">
        <v>5.9470540383790536E-2</v>
      </c>
      <c r="BL190" s="20">
        <v>0.94060609107718673</v>
      </c>
      <c r="BN190" s="21">
        <f t="shared" si="8"/>
        <v>1</v>
      </c>
    </row>
    <row r="191" spans="1:66">
      <c r="A191" s="14">
        <v>12.3</v>
      </c>
      <c r="B191" s="14">
        <v>15.9</v>
      </c>
      <c r="C191" s="14">
        <v>78.83</v>
      </c>
      <c r="D191" s="14">
        <v>463.7</v>
      </c>
      <c r="E191" s="14">
        <v>7.2529999999999997E-2</v>
      </c>
      <c r="F191" s="14">
        <v>3.8440000000000002E-2</v>
      </c>
      <c r="G191" s="14">
        <v>1.6539999999999999E-2</v>
      </c>
      <c r="H191" s="14">
        <v>13.35</v>
      </c>
      <c r="I191" s="14">
        <v>546.70000000000005</v>
      </c>
      <c r="J191" s="14">
        <v>4.8149999999999998E-2</v>
      </c>
      <c r="M191" s="16">
        <v>0</v>
      </c>
      <c r="O191" s="12">
        <f t="shared" si="6"/>
        <v>1</v>
      </c>
      <c r="P191" s="12">
        <f t="shared" si="7"/>
        <v>0</v>
      </c>
      <c r="R191" s="17">
        <v>-0.86216493245391179</v>
      </c>
      <c r="S191" s="17">
        <v>0.86592397083683859</v>
      </c>
      <c r="T191" s="17">
        <v>1.1492407566427856</v>
      </c>
      <c r="U191" s="17">
        <v>0.30971288832147947</v>
      </c>
      <c r="V191" s="17">
        <v>1.322038261257461</v>
      </c>
      <c r="W191" s="17">
        <v>-0.54000870393571332</v>
      </c>
      <c r="X191" s="17">
        <v>-0.93446499101467595</v>
      </c>
      <c r="Y191" s="17">
        <v>1.3623707400649003</v>
      </c>
      <c r="Z191" s="17">
        <v>0.73556995189170193</v>
      </c>
      <c r="AA191" s="17">
        <v>1.6983871669386827</v>
      </c>
      <c r="AB191" s="17">
        <v>-1.2113068807979621</v>
      </c>
      <c r="AC191" s="17">
        <v>1.5906603286575782</v>
      </c>
      <c r="AD191" s="17">
        <v>-0.8593627097567913</v>
      </c>
      <c r="AE191" s="17">
        <v>1.3374666300864129</v>
      </c>
      <c r="AF191" s="17">
        <v>1.6049118769290147</v>
      </c>
      <c r="AG191" s="17">
        <v>1.3481853892245086</v>
      </c>
      <c r="AH191" s="17">
        <v>0.33128292594394448</v>
      </c>
      <c r="AI191" s="17">
        <v>-1.6572512841003593</v>
      </c>
      <c r="AJ191" s="17">
        <v>-0.4315878441673433</v>
      </c>
      <c r="AK191" s="17">
        <v>0.36873422441298942</v>
      </c>
      <c r="AM191" s="17">
        <v>-0.86945961535858041</v>
      </c>
      <c r="AN191" s="17">
        <v>0.74987002362909827</v>
      </c>
      <c r="AO191" s="17">
        <v>0.52727522372416258</v>
      </c>
      <c r="AP191" s="17">
        <v>0.41154329803130607</v>
      </c>
      <c r="AQ191" s="17">
        <v>0.88981554731474144</v>
      </c>
      <c r="AR191" s="17">
        <v>-0.80683331475152531</v>
      </c>
      <c r="AS191" s="17">
        <v>-0.87191178981004824</v>
      </c>
      <c r="AT191" s="17">
        <v>0.71643920095469182</v>
      </c>
      <c r="AU191" s="17">
        <v>0.91405071727781106</v>
      </c>
      <c r="AV191" s="17">
        <v>0.84111890125983824</v>
      </c>
      <c r="AW191" s="17">
        <v>-0.37030682004583276</v>
      </c>
      <c r="AX191" s="17">
        <v>0.79516227355247626</v>
      </c>
      <c r="AY191" s="17">
        <v>-0.65703705581302829</v>
      </c>
      <c r="AZ191" s="17">
        <v>0.91815340059311668</v>
      </c>
      <c r="BA191" s="17">
        <v>0.38353406010632107</v>
      </c>
      <c r="BB191" s="17">
        <v>0.38580179079681365</v>
      </c>
      <c r="BC191" s="17">
        <v>0.46747974838838957</v>
      </c>
      <c r="BD191" s="17">
        <v>-0.91282475651044004</v>
      </c>
      <c r="BE191" s="17">
        <v>-0.47674711609904391</v>
      </c>
      <c r="BF191" s="17">
        <v>0.65252895228540486</v>
      </c>
      <c r="BK191" s="20">
        <v>0.99462280535634751</v>
      </c>
      <c r="BL191" s="20">
        <v>5.3640915403950114E-3</v>
      </c>
      <c r="BN191" s="21">
        <f t="shared" si="8"/>
        <v>0</v>
      </c>
    </row>
    <row r="192" spans="1:66">
      <c r="A192" s="14">
        <v>14.22</v>
      </c>
      <c r="B192" s="14">
        <v>23.12</v>
      </c>
      <c r="C192" s="14">
        <v>94.37</v>
      </c>
      <c r="D192" s="14">
        <v>609.9</v>
      </c>
      <c r="E192" s="14">
        <v>0.24129999999999999</v>
      </c>
      <c r="F192" s="14">
        <v>0.1981</v>
      </c>
      <c r="G192" s="14">
        <v>6.6180000000000003E-2</v>
      </c>
      <c r="H192" s="14">
        <v>15.74</v>
      </c>
      <c r="I192" s="14">
        <v>762.4</v>
      </c>
      <c r="J192" s="14">
        <v>0.1772</v>
      </c>
      <c r="M192" s="16">
        <v>1</v>
      </c>
      <c r="O192" s="12">
        <f t="shared" si="6"/>
        <v>0</v>
      </c>
      <c r="P192" s="12">
        <f t="shared" si="7"/>
        <v>1</v>
      </c>
      <c r="R192" s="17">
        <v>-0.86216493245391179</v>
      </c>
      <c r="S192" s="17">
        <v>0.86592397083683859</v>
      </c>
      <c r="T192" s="17">
        <v>1.1492407566427856</v>
      </c>
      <c r="U192" s="17">
        <v>0.30971288832147947</v>
      </c>
      <c r="V192" s="17">
        <v>1.322038261257461</v>
      </c>
      <c r="W192" s="17">
        <v>-0.54000870393571332</v>
      </c>
      <c r="X192" s="17">
        <v>-0.93446499101467595</v>
      </c>
      <c r="Y192" s="17">
        <v>1.3623707400649003</v>
      </c>
      <c r="Z192" s="17">
        <v>0.73556995189170193</v>
      </c>
      <c r="AA192" s="17">
        <v>1.6983871669386827</v>
      </c>
      <c r="AB192" s="17">
        <v>-1.2113068807979621</v>
      </c>
      <c r="AC192" s="17">
        <v>1.5906603286575782</v>
      </c>
      <c r="AD192" s="17">
        <v>-0.8593627097567913</v>
      </c>
      <c r="AE192" s="17">
        <v>1.3374666300864129</v>
      </c>
      <c r="AF192" s="17">
        <v>1.6049118769290147</v>
      </c>
      <c r="AG192" s="17">
        <v>1.3481853892245086</v>
      </c>
      <c r="AH192" s="17">
        <v>0.33128292594394448</v>
      </c>
      <c r="AI192" s="17">
        <v>-1.6572512841003593</v>
      </c>
      <c r="AJ192" s="17">
        <v>-0.4315878441673433</v>
      </c>
      <c r="AK192" s="17">
        <v>0.368734224278366</v>
      </c>
      <c r="AM192" s="17">
        <v>-0.91101132944739105</v>
      </c>
      <c r="AN192" s="17">
        <v>0.78118225084055137</v>
      </c>
      <c r="AO192" s="17">
        <v>-0.47835417249743095</v>
      </c>
      <c r="AP192" s="17">
        <v>0.45895679682966434</v>
      </c>
      <c r="AQ192" s="17">
        <v>0.90768721768429261</v>
      </c>
      <c r="AR192" s="17">
        <v>-0.87275682650002007</v>
      </c>
      <c r="AS192" s="17">
        <v>-0.90955841001180338</v>
      </c>
      <c r="AT192" s="17">
        <v>0.66313745524144985</v>
      </c>
      <c r="AU192" s="17">
        <v>0.95363647578464183</v>
      </c>
      <c r="AV192" s="17">
        <v>0.81237505418896172</v>
      </c>
      <c r="AW192" s="17">
        <v>-0.15252771937980769</v>
      </c>
      <c r="AX192" s="17">
        <v>0.7523432305695541</v>
      </c>
      <c r="AY192" s="17">
        <v>-0.66425637411141114</v>
      </c>
      <c r="AZ192" s="17">
        <v>0.93790739726307248</v>
      </c>
      <c r="BA192" s="17">
        <v>5.3798022290693678E-2</v>
      </c>
      <c r="BB192" s="17">
        <v>0.13533924003821793</v>
      </c>
      <c r="BC192" s="17">
        <v>0.52490646768500948</v>
      </c>
      <c r="BD192" s="17">
        <v>-0.91826075468219293</v>
      </c>
      <c r="BE192" s="17">
        <v>-0.51421150987392206</v>
      </c>
      <c r="BF192" s="17">
        <v>-0.52935737545011974</v>
      </c>
      <c r="BK192" s="20">
        <v>1.0533273226654571</v>
      </c>
      <c r="BL192" s="20">
        <v>-5.3346855594570045E-2</v>
      </c>
      <c r="BN192" s="21">
        <f t="shared" si="8"/>
        <v>0</v>
      </c>
    </row>
    <row r="193" spans="1:66">
      <c r="A193" s="14">
        <v>12.77</v>
      </c>
      <c r="B193" s="14">
        <v>21.41</v>
      </c>
      <c r="C193" s="14">
        <v>82.02</v>
      </c>
      <c r="D193" s="14">
        <v>507.4</v>
      </c>
      <c r="E193" s="14">
        <v>6.6009999999999999E-2</v>
      </c>
      <c r="F193" s="14">
        <v>3.1119999999999998E-2</v>
      </c>
      <c r="G193" s="14">
        <v>2.8639999999999999E-2</v>
      </c>
      <c r="H193" s="14">
        <v>13.75</v>
      </c>
      <c r="I193" s="14">
        <v>579.5</v>
      </c>
      <c r="J193" s="14">
        <v>4.7730000000000002E-2</v>
      </c>
      <c r="M193" s="16">
        <v>0</v>
      </c>
      <c r="O193" s="12">
        <f t="shared" si="6"/>
        <v>1</v>
      </c>
      <c r="P193" s="12">
        <f t="shared" si="7"/>
        <v>0</v>
      </c>
      <c r="R193" s="17">
        <v>-0.86216493245391179</v>
      </c>
      <c r="S193" s="17">
        <v>0.86592397083683859</v>
      </c>
      <c r="T193" s="17">
        <v>1.1492407566427856</v>
      </c>
      <c r="U193" s="17">
        <v>0.30971288832147947</v>
      </c>
      <c r="V193" s="17">
        <v>1.322038261257461</v>
      </c>
      <c r="W193" s="17">
        <v>-0.54000870393571332</v>
      </c>
      <c r="X193" s="17">
        <v>-0.93446499101467595</v>
      </c>
      <c r="Y193" s="17">
        <v>1.3623707400649003</v>
      </c>
      <c r="Z193" s="17">
        <v>0.73556995189170193</v>
      </c>
      <c r="AA193" s="17">
        <v>1.6983871669386827</v>
      </c>
      <c r="AB193" s="17">
        <v>-1.2113068807979621</v>
      </c>
      <c r="AC193" s="17">
        <v>1.5906603286575782</v>
      </c>
      <c r="AD193" s="17">
        <v>-0.8593627097567913</v>
      </c>
      <c r="AE193" s="17">
        <v>1.3374666300864129</v>
      </c>
      <c r="AF193" s="17">
        <v>1.6049118769290147</v>
      </c>
      <c r="AG193" s="17">
        <v>1.3481853892245086</v>
      </c>
      <c r="AH193" s="17">
        <v>0.33128292594394448</v>
      </c>
      <c r="AI193" s="17">
        <v>-1.6572512841003593</v>
      </c>
      <c r="AJ193" s="17">
        <v>-0.4315878441673433</v>
      </c>
      <c r="AK193" s="17">
        <v>0.2975907074189984</v>
      </c>
      <c r="AM193" s="17">
        <v>-0.76289246481924533</v>
      </c>
      <c r="AN193" s="17">
        <v>0.72690492673516238</v>
      </c>
      <c r="AO193" s="17">
        <v>0.79352026391402575</v>
      </c>
      <c r="AP193" s="17">
        <v>0.33710123710242723</v>
      </c>
      <c r="AQ193" s="17">
        <v>0.88379876186959816</v>
      </c>
      <c r="AR193" s="17">
        <v>-0.60114476884382206</v>
      </c>
      <c r="AS193" s="17">
        <v>-0.7869726579564662</v>
      </c>
      <c r="AT193" s="17">
        <v>0.86251996099049644</v>
      </c>
      <c r="AU193" s="17">
        <v>0.74130826103777403</v>
      </c>
      <c r="AV193" s="17">
        <v>0.92866076437244482</v>
      </c>
      <c r="AW193" s="17">
        <v>-0.78646398627212422</v>
      </c>
      <c r="AX193" s="17">
        <v>0.91033417133492245</v>
      </c>
      <c r="AY193" s="17">
        <v>-0.70313973391852014</v>
      </c>
      <c r="AZ193" s="17">
        <v>0.89406430114086588</v>
      </c>
      <c r="BA193" s="17">
        <v>0.88122204562646422</v>
      </c>
      <c r="BB193" s="17">
        <v>0.82620211243563579</v>
      </c>
      <c r="BC193" s="17">
        <v>0.36649865061191639</v>
      </c>
      <c r="BD193" s="17">
        <v>-0.93420245491498155</v>
      </c>
      <c r="BE193" s="17">
        <v>-0.43623362043745401</v>
      </c>
      <c r="BF193" s="17">
        <v>0.12477299552887462</v>
      </c>
      <c r="BK193" s="20">
        <v>0.99891217349881489</v>
      </c>
      <c r="BL193" s="20">
        <v>1.0187605378397121E-3</v>
      </c>
      <c r="BN193" s="21">
        <f t="shared" si="8"/>
        <v>0</v>
      </c>
    </row>
    <row r="194" spans="1:66">
      <c r="A194" s="14">
        <v>9.7200000000000006</v>
      </c>
      <c r="B194" s="14">
        <v>18.22</v>
      </c>
      <c r="C194" s="14">
        <v>60.73</v>
      </c>
      <c r="D194" s="14">
        <v>288.10000000000002</v>
      </c>
      <c r="E194" s="14">
        <v>2.3439999999999999E-2</v>
      </c>
      <c r="F194" s="14">
        <v>0</v>
      </c>
      <c r="G194" s="14">
        <v>0</v>
      </c>
      <c r="H194" s="14">
        <v>9.968</v>
      </c>
      <c r="I194" s="14">
        <v>303.8</v>
      </c>
      <c r="J194" s="14">
        <v>0</v>
      </c>
      <c r="M194" s="16">
        <v>0</v>
      </c>
      <c r="O194" s="12">
        <f t="shared" si="6"/>
        <v>1</v>
      </c>
      <c r="P194" s="12">
        <f t="shared" si="7"/>
        <v>0</v>
      </c>
      <c r="R194" s="17">
        <v>-0.86216493245391179</v>
      </c>
      <c r="S194" s="17">
        <v>0.86592397083683859</v>
      </c>
      <c r="T194" s="17">
        <v>1.1492407566427856</v>
      </c>
      <c r="U194" s="17">
        <v>0.30971288832147947</v>
      </c>
      <c r="V194" s="17">
        <v>1.322038261257461</v>
      </c>
      <c r="W194" s="17">
        <v>-0.54000870393571332</v>
      </c>
      <c r="X194" s="17">
        <v>-0.93446499101467595</v>
      </c>
      <c r="Y194" s="17">
        <v>1.3623707400649003</v>
      </c>
      <c r="Z194" s="17">
        <v>0.73556995189170193</v>
      </c>
      <c r="AA194" s="17">
        <v>1.6983871669386827</v>
      </c>
      <c r="AB194" s="17">
        <v>-1.2113068807979621</v>
      </c>
      <c r="AC194" s="17">
        <v>1.5906603286575782</v>
      </c>
      <c r="AD194" s="17">
        <v>-0.8593627097567913</v>
      </c>
      <c r="AE194" s="17">
        <v>1.3374666300864129</v>
      </c>
      <c r="AF194" s="17">
        <v>1.6049118769290147</v>
      </c>
      <c r="AG194" s="17">
        <v>1.3481853892245086</v>
      </c>
      <c r="AH194" s="17">
        <v>0.33128292594394448</v>
      </c>
      <c r="AI194" s="17">
        <v>-1.6572512841003593</v>
      </c>
      <c r="AJ194" s="17">
        <v>-0.4315878441673433</v>
      </c>
      <c r="AK194" s="17">
        <v>0.36872822511380599</v>
      </c>
      <c r="AM194" s="17">
        <v>-0.90279674608393201</v>
      </c>
      <c r="AN194" s="17">
        <v>0.74915482985384629</v>
      </c>
      <c r="AO194" s="17">
        <v>6.2955230691268294E-2</v>
      </c>
      <c r="AP194" s="17">
        <v>0.44296385507457137</v>
      </c>
      <c r="AQ194" s="17">
        <v>0.88332134259141348</v>
      </c>
      <c r="AR194" s="17">
        <v>-0.87158641016241867</v>
      </c>
      <c r="AS194" s="17">
        <v>-0.89884488814905816</v>
      </c>
      <c r="AT194" s="17">
        <v>0.55338038922669874</v>
      </c>
      <c r="AU194" s="17">
        <v>0.95325337928394538</v>
      </c>
      <c r="AV194" s="17">
        <v>0.72793776970018564</v>
      </c>
      <c r="AW194" s="17">
        <v>3.689727054252797E-2</v>
      </c>
      <c r="AX194" s="17">
        <v>0.6508244771383831</v>
      </c>
      <c r="AY194" s="17">
        <v>-0.60975998847390867</v>
      </c>
      <c r="AZ194" s="17">
        <v>0.92274658418214028</v>
      </c>
      <c r="BA194" s="17">
        <v>-0.2051894327663174</v>
      </c>
      <c r="BB194" s="17">
        <v>-7.8042472361825682E-2</v>
      </c>
      <c r="BC194" s="17">
        <v>0.51161319083945433</v>
      </c>
      <c r="BD194" s="17">
        <v>-0.88596306621054455</v>
      </c>
      <c r="BE194" s="17">
        <v>-0.48748601736673147</v>
      </c>
      <c r="BF194" s="17">
        <v>0.55924644009074587</v>
      </c>
      <c r="BK194" s="20">
        <v>1.0400152662278661</v>
      </c>
      <c r="BL194" s="20">
        <v>-4.013643693749501E-2</v>
      </c>
      <c r="BN194" s="21">
        <f t="shared" si="8"/>
        <v>0</v>
      </c>
    </row>
    <row r="195" spans="1:66">
      <c r="A195" s="14">
        <v>12.34</v>
      </c>
      <c r="B195" s="14">
        <v>26.86</v>
      </c>
      <c r="C195" s="14">
        <v>81.150000000000006</v>
      </c>
      <c r="D195" s="14">
        <v>477.4</v>
      </c>
      <c r="E195" s="14">
        <v>0.1353</v>
      </c>
      <c r="F195" s="14">
        <v>0.1085</v>
      </c>
      <c r="G195" s="14">
        <v>4.5620000000000001E-2</v>
      </c>
      <c r="H195" s="14">
        <v>15.65</v>
      </c>
      <c r="I195" s="14">
        <v>768.9</v>
      </c>
      <c r="J195" s="14">
        <v>0.1459</v>
      </c>
      <c r="M195" s="16">
        <v>1</v>
      </c>
      <c r="O195" s="12">
        <f t="shared" ref="O195:O258" si="9">IF(M195=0,1,0)</f>
        <v>0</v>
      </c>
      <c r="P195" s="12">
        <f t="shared" ref="P195:P258" si="10">IF(M195=1,1,0)</f>
        <v>1</v>
      </c>
      <c r="R195" s="17">
        <v>-1.4643074708783446</v>
      </c>
      <c r="S195" s="17">
        <v>1.0359333700219733</v>
      </c>
      <c r="T195" s="17">
        <v>0.4503249130137873</v>
      </c>
      <c r="U195" s="17">
        <v>0.47751119115197871</v>
      </c>
      <c r="V195" s="17">
        <v>1.5052132201123889</v>
      </c>
      <c r="W195" s="17">
        <v>-1.2567352733816861</v>
      </c>
      <c r="X195" s="17">
        <v>-1.4659127711484521</v>
      </c>
      <c r="Y195" s="17">
        <v>0.877385815472147</v>
      </c>
      <c r="Z195" s="17">
        <v>1.7463530467411736</v>
      </c>
      <c r="AA195" s="17">
        <v>1.2163845753889837</v>
      </c>
      <c r="AB195" s="17">
        <v>-0.28839333793737798</v>
      </c>
      <c r="AC195" s="17">
        <v>1.0652147513376473</v>
      </c>
      <c r="AD195" s="17">
        <v>-0.81583654438301023</v>
      </c>
      <c r="AE195" s="17">
        <v>1.6894094608623824</v>
      </c>
      <c r="AF195" s="17">
        <v>0.2496334827590041</v>
      </c>
      <c r="AG195" s="17">
        <v>0.29010426800531797</v>
      </c>
      <c r="AH195" s="17">
        <v>0.55723475600471262</v>
      </c>
      <c r="AI195" s="17">
        <v>-1.603629768829455</v>
      </c>
      <c r="AJ195" s="17">
        <v>-0.55690825498325469</v>
      </c>
      <c r="AK195" s="17">
        <v>0.41256201738018505</v>
      </c>
      <c r="AM195" s="17">
        <v>-0.7546018154859363</v>
      </c>
      <c r="AN195" s="17">
        <v>0.73964716801558883</v>
      </c>
      <c r="AO195" s="17">
        <v>0.85573372473013076</v>
      </c>
      <c r="AP195" s="17">
        <v>0.33554546654223966</v>
      </c>
      <c r="AQ195" s="17">
        <v>0.89434808326649196</v>
      </c>
      <c r="AR195" s="17">
        <v>-0.56886062945379334</v>
      </c>
      <c r="AS195" s="17">
        <v>-0.78389853212536875</v>
      </c>
      <c r="AT195" s="17">
        <v>0.8912879083176074</v>
      </c>
      <c r="AU195" s="17">
        <v>0.70779428188463134</v>
      </c>
      <c r="AV195" s="17">
        <v>0.94588218430559168</v>
      </c>
      <c r="AW195" s="17">
        <v>-0.84160616978884928</v>
      </c>
      <c r="AX195" s="17">
        <v>0.93169017723157554</v>
      </c>
      <c r="AY195" s="17">
        <v>-0.72772832708892266</v>
      </c>
      <c r="AZ195" s="17">
        <v>0.90047083401094152</v>
      </c>
      <c r="BA195" s="17">
        <v>0.92369369356540798</v>
      </c>
      <c r="BB195" s="17">
        <v>0.87698502824783875</v>
      </c>
      <c r="BC195" s="17">
        <v>0.36049266962037851</v>
      </c>
      <c r="BD195" s="17">
        <v>-0.94515926757113189</v>
      </c>
      <c r="BE195" s="17">
        <v>-0.44376059752310282</v>
      </c>
      <c r="BF195" s="17">
        <v>0.49393061383276782</v>
      </c>
      <c r="BK195" s="20">
        <v>0.10238146092558084</v>
      </c>
      <c r="BL195" s="20">
        <v>0.89769702932317197</v>
      </c>
      <c r="BN195" s="21">
        <f t="shared" si="8"/>
        <v>1</v>
      </c>
    </row>
    <row r="196" spans="1:66">
      <c r="A196" s="14">
        <v>14.86</v>
      </c>
      <c r="B196" s="14">
        <v>23.21</v>
      </c>
      <c r="C196" s="14">
        <v>100.4</v>
      </c>
      <c r="D196" s="14">
        <v>671.4</v>
      </c>
      <c r="E196" s="14">
        <v>0.19800000000000001</v>
      </c>
      <c r="F196" s="14">
        <v>0.16969999999999999</v>
      </c>
      <c r="G196" s="14">
        <v>8.8779999999999998E-2</v>
      </c>
      <c r="H196" s="14">
        <v>16.079999999999998</v>
      </c>
      <c r="I196" s="14">
        <v>784.7</v>
      </c>
      <c r="J196" s="14">
        <v>0.17269999999999999</v>
      </c>
      <c r="M196" s="16">
        <v>1</v>
      </c>
      <c r="O196" s="12">
        <f t="shared" si="9"/>
        <v>0</v>
      </c>
      <c r="P196" s="12">
        <f t="shared" si="10"/>
        <v>1</v>
      </c>
      <c r="R196" s="17">
        <v>-1.4643074708783446</v>
      </c>
      <c r="S196" s="17">
        <v>1.0359333700219733</v>
      </c>
      <c r="T196" s="17">
        <v>-1.5496750869861993</v>
      </c>
      <c r="U196" s="17">
        <v>0.47751119115197871</v>
      </c>
      <c r="V196" s="17">
        <v>1.5052132201123889</v>
      </c>
      <c r="W196" s="17">
        <v>-1.2567352733816861</v>
      </c>
      <c r="X196" s="17">
        <v>-1.4659127711484521</v>
      </c>
      <c r="Y196" s="17">
        <v>0.877385815472147</v>
      </c>
      <c r="Z196" s="17">
        <v>1.7463530467411736</v>
      </c>
      <c r="AA196" s="17">
        <v>1.2163845753889837</v>
      </c>
      <c r="AB196" s="17">
        <v>-0.28839333793737798</v>
      </c>
      <c r="AC196" s="17">
        <v>1.0652147513376473</v>
      </c>
      <c r="AD196" s="17">
        <v>-0.81583654438301023</v>
      </c>
      <c r="AE196" s="17">
        <v>1.6894094608623824</v>
      </c>
      <c r="AF196" s="17">
        <v>0.2496334827590041</v>
      </c>
      <c r="AG196" s="17">
        <v>0.29010426800531797</v>
      </c>
      <c r="AH196" s="17">
        <v>0.55723475600471262</v>
      </c>
      <c r="AI196" s="17">
        <v>-1.603629768829455</v>
      </c>
      <c r="AJ196" s="17">
        <v>-0.55690825498325469</v>
      </c>
      <c r="AK196" s="17">
        <v>-1.5874379826172804</v>
      </c>
      <c r="AM196" s="17">
        <v>-0.61745449409974063</v>
      </c>
      <c r="AN196" s="17">
        <v>0.65597617419848264</v>
      </c>
      <c r="AO196" s="17">
        <v>0.80863246806866851</v>
      </c>
      <c r="AP196" s="17">
        <v>0.25975266587486495</v>
      </c>
      <c r="AQ196" s="17">
        <v>0.83680643872720406</v>
      </c>
      <c r="AR196" s="17">
        <v>-0.38279371701206066</v>
      </c>
      <c r="AS196" s="17">
        <v>-0.66321417793899651</v>
      </c>
      <c r="AT196" s="17">
        <v>0.87238090985862138</v>
      </c>
      <c r="AU196" s="17">
        <v>0.49638444766097456</v>
      </c>
      <c r="AV196" s="17">
        <v>0.92978340967515283</v>
      </c>
      <c r="AW196" s="17">
        <v>-0.85211425004133978</v>
      </c>
      <c r="AX196" s="17">
        <v>0.91577680018397711</v>
      </c>
      <c r="AY196" s="17">
        <v>-0.66952553587715002</v>
      </c>
      <c r="AZ196" s="17">
        <v>0.83393005428847122</v>
      </c>
      <c r="BA196" s="17">
        <v>0.93456483217599662</v>
      </c>
      <c r="BB196" s="17">
        <v>0.8877096705719123</v>
      </c>
      <c r="BC196" s="17">
        <v>0.27083436452614162</v>
      </c>
      <c r="BD196" s="17">
        <v>-0.91501917534941613</v>
      </c>
      <c r="BE196" s="17">
        <v>-0.36777934983434341</v>
      </c>
      <c r="BF196" s="17">
        <v>0.17822373308142606</v>
      </c>
      <c r="BK196" s="20">
        <v>0.94465375612959945</v>
      </c>
      <c r="BL196" s="20">
        <v>5.5359341480476804E-2</v>
      </c>
      <c r="BN196" s="21">
        <f t="shared" si="8"/>
        <v>0</v>
      </c>
    </row>
    <row r="197" spans="1:66">
      <c r="A197" s="14">
        <v>12.91</v>
      </c>
      <c r="B197" s="14">
        <v>16.329999999999998</v>
      </c>
      <c r="C197" s="14">
        <v>82.53</v>
      </c>
      <c r="D197" s="14">
        <v>516.4</v>
      </c>
      <c r="E197" s="14">
        <v>5.3659999999999999E-2</v>
      </c>
      <c r="F197" s="14">
        <v>3.8730000000000001E-2</v>
      </c>
      <c r="G197" s="14">
        <v>2.3769999999999999E-2</v>
      </c>
      <c r="H197" s="14">
        <v>13.88</v>
      </c>
      <c r="I197" s="14">
        <v>600.6</v>
      </c>
      <c r="J197" s="14">
        <v>8.2350000000000007E-2</v>
      </c>
      <c r="M197" s="16">
        <v>0</v>
      </c>
      <c r="O197" s="12">
        <f t="shared" si="9"/>
        <v>1</v>
      </c>
      <c r="P197" s="12">
        <f t="shared" si="10"/>
        <v>0</v>
      </c>
      <c r="R197" s="17">
        <v>-0.86216493245391179</v>
      </c>
      <c r="S197" s="17">
        <v>0.86592397083683859</v>
      </c>
      <c r="T197" s="17">
        <v>1.1492407566427856</v>
      </c>
      <c r="U197" s="17">
        <v>0.30971288832147947</v>
      </c>
      <c r="V197" s="17">
        <v>1.322038261257461</v>
      </c>
      <c r="W197" s="17">
        <v>-0.54000870393571332</v>
      </c>
      <c r="X197" s="17">
        <v>-0.93446499101467595</v>
      </c>
      <c r="Y197" s="17">
        <v>1.3623707400649003</v>
      </c>
      <c r="Z197" s="17">
        <v>0.73556995189170193</v>
      </c>
      <c r="AA197" s="17">
        <v>1.6983871669386827</v>
      </c>
      <c r="AB197" s="17">
        <v>-1.2113068807979621</v>
      </c>
      <c r="AC197" s="17">
        <v>1.5906603286575782</v>
      </c>
      <c r="AD197" s="17">
        <v>-0.8593627097567913</v>
      </c>
      <c r="AE197" s="17">
        <v>1.3374666300864129</v>
      </c>
      <c r="AF197" s="17">
        <v>1.6049118769290147</v>
      </c>
      <c r="AG197" s="17">
        <v>1.3481853892245086</v>
      </c>
      <c r="AH197" s="17">
        <v>0.33128292594394448</v>
      </c>
      <c r="AI197" s="17">
        <v>-1.6572512841003593</v>
      </c>
      <c r="AJ197" s="17">
        <v>-0.4315878441673433</v>
      </c>
      <c r="AK197" s="17">
        <v>0.36873422441298664</v>
      </c>
      <c r="AM197" s="17">
        <v>-0.8568269252162023</v>
      </c>
      <c r="AN197" s="17">
        <v>0.75526497440969864</v>
      </c>
      <c r="AO197" s="17">
        <v>0.50206832514668354</v>
      </c>
      <c r="AP197" s="17">
        <v>0.40247796606465558</v>
      </c>
      <c r="AQ197" s="17">
        <v>0.89588416973307294</v>
      </c>
      <c r="AR197" s="17">
        <v>-0.77718739014539717</v>
      </c>
      <c r="AS197" s="17">
        <v>-0.8629058767397112</v>
      </c>
      <c r="AT197" s="17">
        <v>0.77293436041904329</v>
      </c>
      <c r="AU197" s="17">
        <v>0.89332717152514129</v>
      </c>
      <c r="AV197" s="17">
        <v>0.877804104751856</v>
      </c>
      <c r="AW197" s="17">
        <v>-0.51707260784466458</v>
      </c>
      <c r="AX197" s="17">
        <v>0.84202433418824874</v>
      </c>
      <c r="AY197" s="17">
        <v>-0.68064314880244592</v>
      </c>
      <c r="AZ197" s="17">
        <v>0.91915629960309919</v>
      </c>
      <c r="BA197" s="17">
        <v>0.58258164734461326</v>
      </c>
      <c r="BB197" s="17">
        <v>0.54804128325276436</v>
      </c>
      <c r="BC197" s="17">
        <v>0.45307812907327144</v>
      </c>
      <c r="BD197" s="17">
        <v>-0.92495288412130616</v>
      </c>
      <c r="BE197" s="17">
        <v>-0.47704947330869424</v>
      </c>
      <c r="BF197" s="17">
        <v>0.35487451123629965</v>
      </c>
      <c r="BK197" s="20">
        <v>0.98021246565959541</v>
      </c>
      <c r="BL197" s="20">
        <v>1.9751805727431564E-2</v>
      </c>
      <c r="BN197" s="21">
        <f t="shared" si="8"/>
        <v>0</v>
      </c>
    </row>
    <row r="198" spans="1:66">
      <c r="A198" s="14">
        <v>13.77</v>
      </c>
      <c r="B198" s="14">
        <v>22.29</v>
      </c>
      <c r="C198" s="14">
        <v>90.63</v>
      </c>
      <c r="D198" s="14">
        <v>588.9</v>
      </c>
      <c r="E198" s="14">
        <v>0.12670000000000001</v>
      </c>
      <c r="F198" s="14">
        <v>0.13850000000000001</v>
      </c>
      <c r="G198" s="14">
        <v>6.5259999999999999E-2</v>
      </c>
      <c r="H198" s="14">
        <v>16.39</v>
      </c>
      <c r="I198" s="14">
        <v>806.9</v>
      </c>
      <c r="J198" s="14">
        <v>0.1673</v>
      </c>
      <c r="M198" s="16">
        <v>1</v>
      </c>
      <c r="O198" s="12">
        <f t="shared" si="9"/>
        <v>0</v>
      </c>
      <c r="P198" s="12">
        <f t="shared" si="10"/>
        <v>1</v>
      </c>
      <c r="R198" s="17">
        <v>-1.4643074708783446</v>
      </c>
      <c r="S198" s="17">
        <v>1.0359333700219733</v>
      </c>
      <c r="T198" s="17">
        <v>0.4503249130137873</v>
      </c>
      <c r="U198" s="17">
        <v>0.47751119115197871</v>
      </c>
      <c r="V198" s="17">
        <v>1.5052132201123889</v>
      </c>
      <c r="W198" s="17">
        <v>-1.2567352733816861</v>
      </c>
      <c r="X198" s="17">
        <v>-1.4659127711484521</v>
      </c>
      <c r="Y198" s="17">
        <v>0.877385815472147</v>
      </c>
      <c r="Z198" s="17">
        <v>1.7463530467411736</v>
      </c>
      <c r="AA198" s="17">
        <v>1.2163845753889837</v>
      </c>
      <c r="AB198" s="17">
        <v>-0.28839333793737798</v>
      </c>
      <c r="AC198" s="17">
        <v>1.0652147513376473</v>
      </c>
      <c r="AD198" s="17">
        <v>-0.81583654438301023</v>
      </c>
      <c r="AE198" s="17">
        <v>1.6894094608623824</v>
      </c>
      <c r="AF198" s="17">
        <v>0.2496334827590041</v>
      </c>
      <c r="AG198" s="17">
        <v>0.29010426800531797</v>
      </c>
      <c r="AH198" s="17">
        <v>0.55723475600471262</v>
      </c>
      <c r="AI198" s="17">
        <v>-1.603629768829455</v>
      </c>
      <c r="AJ198" s="17">
        <v>-0.55690825498325469</v>
      </c>
      <c r="AK198" s="17">
        <v>0.41256201738018505</v>
      </c>
      <c r="AM198" s="17">
        <v>-0.91369944755827903</v>
      </c>
      <c r="AN198" s="17">
        <v>0.79303990799487312</v>
      </c>
      <c r="AO198" s="17">
        <v>-2.2502210311134627E-2</v>
      </c>
      <c r="AP198" s="17">
        <v>0.46481157972708564</v>
      </c>
      <c r="AQ198" s="17">
        <v>0.91614226101840956</v>
      </c>
      <c r="AR198" s="17">
        <v>-0.8723461648893146</v>
      </c>
      <c r="AS198" s="17">
        <v>-0.91321367437578749</v>
      </c>
      <c r="AT198" s="17">
        <v>0.70315487531282916</v>
      </c>
      <c r="AU198" s="17">
        <v>0.9533148115175879</v>
      </c>
      <c r="AV198" s="17">
        <v>0.84064670076684544</v>
      </c>
      <c r="AW198" s="17">
        <v>-0.23318630423241973</v>
      </c>
      <c r="AX198" s="17">
        <v>0.78742829756817034</v>
      </c>
      <c r="AY198" s="17">
        <v>-0.68511217625275467</v>
      </c>
      <c r="AZ198" s="17">
        <v>0.94310555624195735</v>
      </c>
      <c r="BA198" s="17">
        <v>0.167903830384523</v>
      </c>
      <c r="BB198" s="17">
        <v>0.22654683041083168</v>
      </c>
      <c r="BC198" s="17">
        <v>0.52949211444877198</v>
      </c>
      <c r="BD198" s="17">
        <v>-0.92894201142627242</v>
      </c>
      <c r="BE198" s="17">
        <v>-0.52453061731343054</v>
      </c>
      <c r="BF198" s="17">
        <v>-0.54735807147573068</v>
      </c>
      <c r="BK198" s="20">
        <v>3.6409808043196094E-2</v>
      </c>
      <c r="BL198" s="20">
        <v>0.96386342689351634</v>
      </c>
      <c r="BN198" s="21">
        <f t="shared" si="8"/>
        <v>1</v>
      </c>
    </row>
    <row r="199" spans="1:66">
      <c r="A199" s="14">
        <v>18.079999999999998</v>
      </c>
      <c r="B199" s="14">
        <v>21.84</v>
      </c>
      <c r="C199" s="14">
        <v>117.4</v>
      </c>
      <c r="D199" s="14">
        <v>1024</v>
      </c>
      <c r="E199" s="14">
        <v>8.6419999999999997E-2</v>
      </c>
      <c r="F199" s="14">
        <v>0.1103</v>
      </c>
      <c r="G199" s="14">
        <v>5.7779999999999998E-2</v>
      </c>
      <c r="H199" s="14">
        <v>19.760000000000002</v>
      </c>
      <c r="I199" s="14">
        <v>1228</v>
      </c>
      <c r="J199" s="14">
        <v>9.1810000000000003E-2</v>
      </c>
      <c r="M199" s="16">
        <v>1</v>
      </c>
      <c r="O199" s="12">
        <f t="shared" si="9"/>
        <v>0</v>
      </c>
      <c r="P199" s="12">
        <f t="shared" si="10"/>
        <v>1</v>
      </c>
      <c r="R199" s="17">
        <v>-0.86216493245391179</v>
      </c>
      <c r="S199" s="17">
        <v>0.86592397083683859</v>
      </c>
      <c r="T199" s="17">
        <v>1.1492407566427856</v>
      </c>
      <c r="U199" s="17">
        <v>0.30971288832147947</v>
      </c>
      <c r="V199" s="17">
        <v>1.322038261257461</v>
      </c>
      <c r="W199" s="17">
        <v>-0.54000870393571332</v>
      </c>
      <c r="X199" s="17">
        <v>-0.93446499101467595</v>
      </c>
      <c r="Y199" s="17">
        <v>1.3623707400649003</v>
      </c>
      <c r="Z199" s="17">
        <v>0.73556995189170193</v>
      </c>
      <c r="AA199" s="17">
        <v>1.6983871669386827</v>
      </c>
      <c r="AB199" s="17">
        <v>-1.2113068807979621</v>
      </c>
      <c r="AC199" s="17">
        <v>1.5906603286575782</v>
      </c>
      <c r="AD199" s="17">
        <v>-0.8593627097567913</v>
      </c>
      <c r="AE199" s="17">
        <v>1.3374666300864129</v>
      </c>
      <c r="AF199" s="17">
        <v>1.6049118769290147</v>
      </c>
      <c r="AG199" s="17">
        <v>1.3481853892245086</v>
      </c>
      <c r="AH199" s="17">
        <v>0.33128292594394448</v>
      </c>
      <c r="AI199" s="17">
        <v>-1.6572512841003593</v>
      </c>
      <c r="AJ199" s="17">
        <v>-0.4315878441673433</v>
      </c>
      <c r="AK199" s="17">
        <v>0.36873422441298942</v>
      </c>
      <c r="AM199" s="17">
        <v>-0.76455104362567461</v>
      </c>
      <c r="AN199" s="17">
        <v>0.73725440142003607</v>
      </c>
      <c r="AO199" s="17">
        <v>0.83227939105858684</v>
      </c>
      <c r="AP199" s="17">
        <v>0.34017535571653457</v>
      </c>
      <c r="AQ199" s="17">
        <v>0.89169335426878116</v>
      </c>
      <c r="AR199" s="17">
        <v>-0.59355134212556193</v>
      </c>
      <c r="AS199" s="17">
        <v>-0.79053095256056438</v>
      </c>
      <c r="AT199" s="17">
        <v>0.87866498324520159</v>
      </c>
      <c r="AU199" s="17">
        <v>0.73330633418852897</v>
      </c>
      <c r="AV199" s="17">
        <v>0.93865903686003915</v>
      </c>
      <c r="AW199" s="17">
        <v>-0.81514409626997997</v>
      </c>
      <c r="AX199" s="17">
        <v>0.92252510100539908</v>
      </c>
      <c r="AY199" s="17">
        <v>-0.71850927710981982</v>
      </c>
      <c r="AZ199" s="17">
        <v>0.90005553074975064</v>
      </c>
      <c r="BA199" s="17">
        <v>0.90385460022024788</v>
      </c>
      <c r="BB199" s="17">
        <v>0.85283997975624126</v>
      </c>
      <c r="BC199" s="17">
        <v>0.36801907680710311</v>
      </c>
      <c r="BD199" s="17">
        <v>-0.94127077787028823</v>
      </c>
      <c r="BE199" s="17">
        <v>-0.4438197879422775</v>
      </c>
      <c r="BF199" s="17">
        <v>0.49572815389873393</v>
      </c>
      <c r="BK199" s="20">
        <v>0.13930116902396888</v>
      </c>
      <c r="BL199" s="20">
        <v>0.86097322596957748</v>
      </c>
      <c r="BN199" s="21">
        <f t="shared" si="8"/>
        <v>1</v>
      </c>
    </row>
    <row r="200" spans="1:66">
      <c r="A200" s="14">
        <v>19.18</v>
      </c>
      <c r="B200" s="14">
        <v>22.49</v>
      </c>
      <c r="C200" s="14">
        <v>127.5</v>
      </c>
      <c r="D200" s="14">
        <v>1148</v>
      </c>
      <c r="E200" s="14">
        <v>0.14280000000000001</v>
      </c>
      <c r="F200" s="14">
        <v>0.1114</v>
      </c>
      <c r="G200" s="14">
        <v>6.7720000000000002E-2</v>
      </c>
      <c r="H200" s="14">
        <v>23.36</v>
      </c>
      <c r="I200" s="14">
        <v>1688</v>
      </c>
      <c r="J200" s="14">
        <v>0.17080000000000001</v>
      </c>
      <c r="M200" s="16">
        <v>1</v>
      </c>
      <c r="O200" s="12">
        <f t="shared" si="9"/>
        <v>0</v>
      </c>
      <c r="P200" s="12">
        <f t="shared" si="10"/>
        <v>1</v>
      </c>
      <c r="R200" s="17">
        <v>-0.86216493245391179</v>
      </c>
      <c r="S200" s="17">
        <v>0.86592397083683859</v>
      </c>
      <c r="T200" s="17">
        <v>1.1492407566427856</v>
      </c>
      <c r="U200" s="17">
        <v>0.30971288832147947</v>
      </c>
      <c r="V200" s="17">
        <v>1.322038261257461</v>
      </c>
      <c r="W200" s="17">
        <v>-0.54000870393571332</v>
      </c>
      <c r="X200" s="17">
        <v>-0.93446499101467595</v>
      </c>
      <c r="Y200" s="17">
        <v>1.3623707400649003</v>
      </c>
      <c r="Z200" s="17">
        <v>0.73556995189170193</v>
      </c>
      <c r="AA200" s="17">
        <v>1.6983871669386827</v>
      </c>
      <c r="AB200" s="17">
        <v>-1.2113068807979621</v>
      </c>
      <c r="AC200" s="17">
        <v>1.5906603286575782</v>
      </c>
      <c r="AD200" s="17">
        <v>-0.8593627097567913</v>
      </c>
      <c r="AE200" s="17">
        <v>1.3374666300864129</v>
      </c>
      <c r="AF200" s="17">
        <v>1.6049118769290147</v>
      </c>
      <c r="AG200" s="17">
        <v>1.3481853892245086</v>
      </c>
      <c r="AH200" s="17">
        <v>0.33128292594394448</v>
      </c>
      <c r="AI200" s="17">
        <v>-1.6572512841003593</v>
      </c>
      <c r="AJ200" s="17">
        <v>-0.4315878441673433</v>
      </c>
      <c r="AK200" s="17">
        <v>0.36783323685210489</v>
      </c>
      <c r="AM200" s="17">
        <v>-0.7280881244408558</v>
      </c>
      <c r="AN200" s="17">
        <v>0.69890077268565964</v>
      </c>
      <c r="AO200" s="17">
        <v>0.77116950952974994</v>
      </c>
      <c r="AP200" s="17">
        <v>0.31408377667740289</v>
      </c>
      <c r="AQ200" s="17">
        <v>0.86419756532914449</v>
      </c>
      <c r="AR200" s="17">
        <v>-0.55720117527045609</v>
      </c>
      <c r="AS200" s="17">
        <v>-0.75499751573027751</v>
      </c>
      <c r="AT200" s="17">
        <v>0.84861872299386842</v>
      </c>
      <c r="AU200" s="17">
        <v>0.69703472925626064</v>
      </c>
      <c r="AV200" s="17">
        <v>0.91824309437796303</v>
      </c>
      <c r="AW200" s="17">
        <v>-0.77812835968948368</v>
      </c>
      <c r="AX200" s="17">
        <v>0.8989689947278775</v>
      </c>
      <c r="AY200" s="17">
        <v>-0.67917346600792206</v>
      </c>
      <c r="AZ200" s="17">
        <v>0.87389403938283972</v>
      </c>
      <c r="BA200" s="17">
        <v>0.87625134365387491</v>
      </c>
      <c r="BB200" s="17">
        <v>0.81897158240785684</v>
      </c>
      <c r="BC200" s="17">
        <v>0.34035974848057027</v>
      </c>
      <c r="BD200" s="17">
        <v>-0.92172664720730579</v>
      </c>
      <c r="BE200" s="17">
        <v>-0.41126425837696784</v>
      </c>
      <c r="BF200" s="17">
        <v>0.29979860603849806</v>
      </c>
      <c r="BK200" s="20">
        <v>-6.9946266950086933E-4</v>
      </c>
      <c r="BL200" s="20">
        <v>1.000757997415421</v>
      </c>
      <c r="BN200" s="21">
        <f t="shared" si="8"/>
        <v>1</v>
      </c>
    </row>
    <row r="201" spans="1:66">
      <c r="A201" s="14">
        <v>14.45</v>
      </c>
      <c r="B201" s="14">
        <v>20.22</v>
      </c>
      <c r="C201" s="14">
        <v>94.49</v>
      </c>
      <c r="D201" s="14">
        <v>642.70000000000005</v>
      </c>
      <c r="E201" s="14">
        <v>0.1206</v>
      </c>
      <c r="F201" s="14">
        <v>0.11799999999999999</v>
      </c>
      <c r="G201" s="14">
        <v>5.9799999999999999E-2</v>
      </c>
      <c r="H201" s="14">
        <v>18.329999999999998</v>
      </c>
      <c r="I201" s="14">
        <v>1044</v>
      </c>
      <c r="J201" s="14">
        <v>0.18379999999999999</v>
      </c>
      <c r="M201" s="16">
        <v>1</v>
      </c>
      <c r="O201" s="12">
        <f t="shared" si="9"/>
        <v>0</v>
      </c>
      <c r="P201" s="12">
        <f t="shared" si="10"/>
        <v>1</v>
      </c>
      <c r="R201" s="17">
        <v>-1.4643074708783446</v>
      </c>
      <c r="S201" s="17">
        <v>1.0359333700219733</v>
      </c>
      <c r="T201" s="17">
        <v>0.4503249130137873</v>
      </c>
      <c r="U201" s="17">
        <v>0.47751119115197871</v>
      </c>
      <c r="V201" s="17">
        <v>1.5052132201123889</v>
      </c>
      <c r="W201" s="17">
        <v>-1.2567352733816861</v>
      </c>
      <c r="X201" s="17">
        <v>-1.4659127711484521</v>
      </c>
      <c r="Y201" s="17">
        <v>0.877385815472147</v>
      </c>
      <c r="Z201" s="17">
        <v>1.7463530467411736</v>
      </c>
      <c r="AA201" s="17">
        <v>1.2163845753889837</v>
      </c>
      <c r="AB201" s="17">
        <v>-0.28839333793737798</v>
      </c>
      <c r="AC201" s="17">
        <v>1.0652147513376473</v>
      </c>
      <c r="AD201" s="17">
        <v>-0.81583654438301023</v>
      </c>
      <c r="AE201" s="17">
        <v>1.6894094608623824</v>
      </c>
      <c r="AF201" s="17">
        <v>0.2496334827590041</v>
      </c>
      <c r="AG201" s="17">
        <v>0.29010426800531797</v>
      </c>
      <c r="AH201" s="17">
        <v>0.55723475600471262</v>
      </c>
      <c r="AI201" s="17">
        <v>-1.603629768829455</v>
      </c>
      <c r="AJ201" s="17">
        <v>-0.55690825498325469</v>
      </c>
      <c r="AK201" s="17">
        <v>0.41256201738018505</v>
      </c>
      <c r="AM201" s="17">
        <v>-0.86080525937355323</v>
      </c>
      <c r="AN201" s="17">
        <v>0.75232536846733145</v>
      </c>
      <c r="AO201" s="17">
        <v>0.31772645478174139</v>
      </c>
      <c r="AP201" s="17">
        <v>0.40497853060802924</v>
      </c>
      <c r="AQ201" s="17">
        <v>0.89303206217329045</v>
      </c>
      <c r="AR201" s="17">
        <v>-0.78754498955512109</v>
      </c>
      <c r="AS201" s="17">
        <v>-0.86551051998083339</v>
      </c>
      <c r="AT201" s="17">
        <v>0.75251509376505077</v>
      </c>
      <c r="AU201" s="17">
        <v>0.90077021303598481</v>
      </c>
      <c r="AV201" s="17">
        <v>0.86463806132835697</v>
      </c>
      <c r="AW201" s="17">
        <v>-0.46524486601368342</v>
      </c>
      <c r="AX201" s="17">
        <v>0.82527152106944757</v>
      </c>
      <c r="AY201" s="17">
        <v>-0.67113081718152912</v>
      </c>
      <c r="AZ201" s="17">
        <v>0.9182223291827869</v>
      </c>
      <c r="BA201" s="17">
        <v>0.51468796482805701</v>
      </c>
      <c r="BB201" s="17">
        <v>0.49142501952699308</v>
      </c>
      <c r="BC201" s="17">
        <v>0.45747821463858102</v>
      </c>
      <c r="BD201" s="17">
        <v>-0.92015435133865386</v>
      </c>
      <c r="BE201" s="17">
        <v>-0.47601667113428658</v>
      </c>
      <c r="BF201" s="17">
        <v>-0.44683278003759119</v>
      </c>
      <c r="BK201" s="20">
        <v>1.0357412883567845</v>
      </c>
      <c r="BL201" s="20">
        <v>-3.5734916746862001E-2</v>
      </c>
      <c r="BN201" s="21">
        <f t="shared" si="8"/>
        <v>0</v>
      </c>
    </row>
    <row r="202" spans="1:66">
      <c r="A202" s="14">
        <v>12.23</v>
      </c>
      <c r="B202" s="14">
        <v>19.559999999999999</v>
      </c>
      <c r="C202" s="14">
        <v>78.540000000000006</v>
      </c>
      <c r="D202" s="14">
        <v>461</v>
      </c>
      <c r="E202" s="14">
        <v>8.0869999999999997E-2</v>
      </c>
      <c r="F202" s="14">
        <v>4.1869999999999997E-2</v>
      </c>
      <c r="G202" s="14">
        <v>4.1070000000000002E-2</v>
      </c>
      <c r="H202" s="14">
        <v>14.44</v>
      </c>
      <c r="I202" s="14">
        <v>638.4</v>
      </c>
      <c r="J202" s="14">
        <v>0.108</v>
      </c>
      <c r="M202" s="16">
        <v>0</v>
      </c>
      <c r="O202" s="12">
        <f t="shared" si="9"/>
        <v>1</v>
      </c>
      <c r="P202" s="12">
        <f t="shared" si="10"/>
        <v>0</v>
      </c>
      <c r="R202" s="17">
        <v>-1.4643074708783446</v>
      </c>
      <c r="S202" s="17">
        <v>1.0359333700219733</v>
      </c>
      <c r="T202" s="17">
        <v>0.4503249130137873</v>
      </c>
      <c r="U202" s="17">
        <v>0.47751119115197871</v>
      </c>
      <c r="V202" s="17">
        <v>1.5052132201123889</v>
      </c>
      <c r="W202" s="17">
        <v>-1.2567352733816861</v>
      </c>
      <c r="X202" s="17">
        <v>-1.4659127711484521</v>
      </c>
      <c r="Y202" s="17">
        <v>0.877385815472147</v>
      </c>
      <c r="Z202" s="17">
        <v>1.7463530467411736</v>
      </c>
      <c r="AA202" s="17">
        <v>1.2163845753889837</v>
      </c>
      <c r="AB202" s="17">
        <v>-0.28839333793737798</v>
      </c>
      <c r="AC202" s="17">
        <v>1.0652147513376473</v>
      </c>
      <c r="AD202" s="17">
        <v>-0.81583654438301023</v>
      </c>
      <c r="AE202" s="17">
        <v>1.6894094608623824</v>
      </c>
      <c r="AF202" s="17">
        <v>0.2496334827590041</v>
      </c>
      <c r="AG202" s="17">
        <v>0.29010426800531797</v>
      </c>
      <c r="AH202" s="17">
        <v>0.55723475600471262</v>
      </c>
      <c r="AI202" s="17">
        <v>-1.603629768829455</v>
      </c>
      <c r="AJ202" s="17">
        <v>-0.55690825498325469</v>
      </c>
      <c r="AK202" s="17">
        <v>0.41254802503654697</v>
      </c>
      <c r="AM202" s="17">
        <v>-0.8608392096618922</v>
      </c>
      <c r="AN202" s="17">
        <v>0.76272315286550296</v>
      </c>
      <c r="AO202" s="17">
        <v>0.43481239042895442</v>
      </c>
      <c r="AP202" s="17">
        <v>0.40727915504925083</v>
      </c>
      <c r="AQ202" s="17">
        <v>0.90113452335136746</v>
      </c>
      <c r="AR202" s="17">
        <v>-0.78026944356515526</v>
      </c>
      <c r="AS202" s="17">
        <v>-0.86723323911299754</v>
      </c>
      <c r="AT202" s="17">
        <v>0.78532981952643244</v>
      </c>
      <c r="AU202" s="17">
        <v>0.89542592809761201</v>
      </c>
      <c r="AV202" s="17">
        <v>0.88638896797994071</v>
      </c>
      <c r="AW202" s="17">
        <v>-0.5391227892866447</v>
      </c>
      <c r="AX202" s="17">
        <v>0.85235977241607341</v>
      </c>
      <c r="AY202" s="17">
        <v>-0.69047554845777548</v>
      </c>
      <c r="AZ202" s="17">
        <v>0.92320100154488749</v>
      </c>
      <c r="BA202" s="17">
        <v>0.6091464790010056</v>
      </c>
      <c r="BB202" s="17">
        <v>0.57151811648177842</v>
      </c>
      <c r="BC202" s="17">
        <v>0.45775718950763156</v>
      </c>
      <c r="BD202" s="17">
        <v>-0.92993276668376024</v>
      </c>
      <c r="BE202" s="17">
        <v>-0.48363471908163042</v>
      </c>
      <c r="BF202" s="17">
        <v>-0.16143186708389468</v>
      </c>
      <c r="BK202" s="20">
        <v>0.43245581427526625</v>
      </c>
      <c r="BL202" s="20">
        <v>0.5676835872777517</v>
      </c>
      <c r="BN202" s="21">
        <f t="shared" si="8"/>
        <v>1</v>
      </c>
    </row>
    <row r="203" spans="1:66">
      <c r="A203" s="14">
        <v>17.54</v>
      </c>
      <c r="B203" s="14">
        <v>19.32</v>
      </c>
      <c r="C203" s="14">
        <v>115.1</v>
      </c>
      <c r="D203" s="14">
        <v>951.6</v>
      </c>
      <c r="E203" s="14">
        <v>0.1198</v>
      </c>
      <c r="F203" s="14">
        <v>0.1036</v>
      </c>
      <c r="G203" s="14">
        <v>7.4880000000000002E-2</v>
      </c>
      <c r="H203" s="14">
        <v>20.420000000000002</v>
      </c>
      <c r="I203" s="14">
        <v>1239</v>
      </c>
      <c r="J203" s="14">
        <v>0.19389999999999999</v>
      </c>
      <c r="M203" s="16">
        <v>1</v>
      </c>
      <c r="O203" s="12">
        <f t="shared" si="9"/>
        <v>0</v>
      </c>
      <c r="P203" s="12">
        <f t="shared" si="10"/>
        <v>1</v>
      </c>
      <c r="R203" s="17">
        <v>-0.86216493245391179</v>
      </c>
      <c r="S203" s="17">
        <v>0.86592397083683859</v>
      </c>
      <c r="T203" s="17">
        <v>1.1492407566427856</v>
      </c>
      <c r="U203" s="17">
        <v>0.30971288832147947</v>
      </c>
      <c r="V203" s="17">
        <v>1.322038261257461</v>
      </c>
      <c r="W203" s="17">
        <v>-0.54000870393571332</v>
      </c>
      <c r="X203" s="17">
        <v>-0.93446499101467595</v>
      </c>
      <c r="Y203" s="17">
        <v>1.3623707400649003</v>
      </c>
      <c r="Z203" s="17">
        <v>0.73556995189170193</v>
      </c>
      <c r="AA203" s="17">
        <v>1.6983871669386827</v>
      </c>
      <c r="AB203" s="17">
        <v>-1.2113068807979621</v>
      </c>
      <c r="AC203" s="17">
        <v>1.5906603286575782</v>
      </c>
      <c r="AD203" s="17">
        <v>-0.8593627097567913</v>
      </c>
      <c r="AE203" s="17">
        <v>1.3374666300864129</v>
      </c>
      <c r="AF203" s="17">
        <v>1.6049118769290147</v>
      </c>
      <c r="AG203" s="17">
        <v>1.3481853892245086</v>
      </c>
      <c r="AH203" s="17">
        <v>0.33128292594394448</v>
      </c>
      <c r="AI203" s="17">
        <v>-1.6572512841003593</v>
      </c>
      <c r="AJ203" s="17">
        <v>-0.4315878441673433</v>
      </c>
      <c r="AK203" s="17">
        <v>0.36873422441298942</v>
      </c>
      <c r="AM203" s="17">
        <v>-0.63936744766361875</v>
      </c>
      <c r="AN203" s="17">
        <v>0.67839339110628949</v>
      </c>
      <c r="AO203" s="17">
        <v>0.84344998338414812</v>
      </c>
      <c r="AP203" s="17">
        <v>0.27226199198945655</v>
      </c>
      <c r="AQ203" s="17">
        <v>0.85456382897860295</v>
      </c>
      <c r="AR203" s="17">
        <v>-0.39934201702913563</v>
      </c>
      <c r="AS203" s="17">
        <v>-0.68523365809321046</v>
      </c>
      <c r="AT203" s="17">
        <v>0.88824003758576986</v>
      </c>
      <c r="AU203" s="17">
        <v>0.51593849791359403</v>
      </c>
      <c r="AV203" s="17">
        <v>0.94064521818849978</v>
      </c>
      <c r="AW203" s="17">
        <v>-0.86952391733635703</v>
      </c>
      <c r="AX203" s="17">
        <v>0.9280595583598128</v>
      </c>
      <c r="AY203" s="17">
        <v>-0.69209192425912902</v>
      </c>
      <c r="AZ203" s="17">
        <v>0.85175089613469468</v>
      </c>
      <c r="BA203" s="17">
        <v>0.94509070648326099</v>
      </c>
      <c r="BB203" s="17">
        <v>0.90262510573636234</v>
      </c>
      <c r="BC203" s="17">
        <v>0.28372871428092444</v>
      </c>
      <c r="BD203" s="17">
        <v>-0.92724738682588614</v>
      </c>
      <c r="BE203" s="17">
        <v>-0.38474652163709305</v>
      </c>
      <c r="BF203" s="17">
        <v>0.28419015136767206</v>
      </c>
      <c r="BK203" s="20">
        <v>1.0083894430611109</v>
      </c>
      <c r="BL203" s="20">
        <v>-8.179223886736085E-3</v>
      </c>
      <c r="BN203" s="21">
        <f t="shared" si="8"/>
        <v>0</v>
      </c>
    </row>
    <row r="204" spans="1:66">
      <c r="A204" s="14">
        <v>23.29</v>
      </c>
      <c r="B204" s="14">
        <v>26.67</v>
      </c>
      <c r="C204" s="14">
        <v>158.9</v>
      </c>
      <c r="D204" s="14">
        <v>1685</v>
      </c>
      <c r="E204" s="14">
        <v>0.2084</v>
      </c>
      <c r="F204" s="14">
        <v>0.3523</v>
      </c>
      <c r="G204" s="14">
        <v>0.16200000000000001</v>
      </c>
      <c r="H204" s="14">
        <v>25.12</v>
      </c>
      <c r="I204" s="14">
        <v>1986</v>
      </c>
      <c r="J204" s="14">
        <v>0.27329999999999999</v>
      </c>
      <c r="M204" s="16">
        <v>1</v>
      </c>
      <c r="O204" s="12">
        <f t="shared" si="9"/>
        <v>0</v>
      </c>
      <c r="P204" s="12">
        <f t="shared" si="10"/>
        <v>1</v>
      </c>
      <c r="R204" s="17">
        <v>-0.86216493245391179</v>
      </c>
      <c r="S204" s="17">
        <v>0.86592397083683859</v>
      </c>
      <c r="T204" s="17">
        <v>1.1492407566427856</v>
      </c>
      <c r="U204" s="17">
        <v>0.30971288832147947</v>
      </c>
      <c r="V204" s="17">
        <v>1.322038261257461</v>
      </c>
      <c r="W204" s="17">
        <v>-0.54000870393571332</v>
      </c>
      <c r="X204" s="17">
        <v>-0.93446499101467595</v>
      </c>
      <c r="Y204" s="17">
        <v>1.3623707400649003</v>
      </c>
      <c r="Z204" s="17">
        <v>0.73556995189170193</v>
      </c>
      <c r="AA204" s="17">
        <v>1.6983871669386827</v>
      </c>
      <c r="AB204" s="17">
        <v>-1.2113068807979621</v>
      </c>
      <c r="AC204" s="17">
        <v>1.5906603286575782</v>
      </c>
      <c r="AD204" s="17">
        <v>-0.8593627097567913</v>
      </c>
      <c r="AE204" s="17">
        <v>1.3374666300864129</v>
      </c>
      <c r="AF204" s="17">
        <v>1.6049118769290147</v>
      </c>
      <c r="AG204" s="17">
        <v>1.3481853892245086</v>
      </c>
      <c r="AH204" s="17">
        <v>0.33128292594394448</v>
      </c>
      <c r="AI204" s="17">
        <v>-1.6572512841003593</v>
      </c>
      <c r="AJ204" s="17">
        <v>-0.4315878441673433</v>
      </c>
      <c r="AK204" s="17">
        <v>0.36873422438531689</v>
      </c>
      <c r="AM204" s="17">
        <v>-0.61379156422849968</v>
      </c>
      <c r="AN204" s="17">
        <v>0.66570386376012658</v>
      </c>
      <c r="AO204" s="17">
        <v>0.83234229609701571</v>
      </c>
      <c r="AP204" s="17">
        <v>0.26018999625993194</v>
      </c>
      <c r="AQ204" s="17">
        <v>0.84570236270868582</v>
      </c>
      <c r="AR204" s="17">
        <v>-0.36402486855935956</v>
      </c>
      <c r="AS204" s="17">
        <v>-0.66325477576730507</v>
      </c>
      <c r="AT204" s="17">
        <v>0.88755230126032791</v>
      </c>
      <c r="AU204" s="17">
        <v>0.47223785064826757</v>
      </c>
      <c r="AV204" s="17">
        <v>0.93954647446146444</v>
      </c>
      <c r="AW204" s="17">
        <v>-0.87403107510222133</v>
      </c>
      <c r="AX204" s="17">
        <v>0.92727980208668692</v>
      </c>
      <c r="AY204" s="17">
        <v>-0.68493183110424283</v>
      </c>
      <c r="AZ204" s="17">
        <v>0.84048162349801803</v>
      </c>
      <c r="BA204" s="17">
        <v>0.94827841591777151</v>
      </c>
      <c r="BB204" s="17">
        <v>0.90666808107430674</v>
      </c>
      <c r="BC204" s="17">
        <v>0.26900108266919714</v>
      </c>
      <c r="BD204" s="17">
        <v>-0.92327832686334155</v>
      </c>
      <c r="BE204" s="17">
        <v>-0.37333721591529606</v>
      </c>
      <c r="BF204" s="17">
        <v>0.10068597241079108</v>
      </c>
      <c r="BK204" s="20">
        <v>8.6743614993567669E-2</v>
      </c>
      <c r="BL204" s="20">
        <v>0.91333330689905845</v>
      </c>
      <c r="BN204" s="21">
        <f t="shared" si="8"/>
        <v>1</v>
      </c>
    </row>
    <row r="205" spans="1:66">
      <c r="A205" s="14">
        <v>13.81</v>
      </c>
      <c r="B205" s="14">
        <v>23.75</v>
      </c>
      <c r="C205" s="14">
        <v>91.56</v>
      </c>
      <c r="D205" s="14">
        <v>597.79999999999995</v>
      </c>
      <c r="E205" s="14">
        <v>0.17680000000000001</v>
      </c>
      <c r="F205" s="14">
        <v>0.15579999999999999</v>
      </c>
      <c r="G205" s="14">
        <v>9.1759999999999994E-2</v>
      </c>
      <c r="H205" s="14">
        <v>19.2</v>
      </c>
      <c r="I205" s="14">
        <v>1153</v>
      </c>
      <c r="J205" s="14">
        <v>0.20130000000000001</v>
      </c>
      <c r="M205" s="16">
        <v>1</v>
      </c>
      <c r="O205" s="12">
        <f t="shared" si="9"/>
        <v>0</v>
      </c>
      <c r="P205" s="12">
        <f t="shared" si="10"/>
        <v>1</v>
      </c>
      <c r="R205" s="17">
        <v>-1.4643074708783446</v>
      </c>
      <c r="S205" s="17">
        <v>1.0359333700219733</v>
      </c>
      <c r="T205" s="17">
        <v>0.45032488438811857</v>
      </c>
      <c r="U205" s="17">
        <v>0.47751119115197871</v>
      </c>
      <c r="V205" s="17">
        <v>1.5052132201123889</v>
      </c>
      <c r="W205" s="17">
        <v>-1.2567352733816861</v>
      </c>
      <c r="X205" s="17">
        <v>-1.4659127711484521</v>
      </c>
      <c r="Y205" s="17">
        <v>0.877385815472147</v>
      </c>
      <c r="Z205" s="17">
        <v>1.7463530467411736</v>
      </c>
      <c r="AA205" s="17">
        <v>1.2163845753889837</v>
      </c>
      <c r="AB205" s="17">
        <v>-0.28839333793737798</v>
      </c>
      <c r="AC205" s="17">
        <v>1.0652147513376473</v>
      </c>
      <c r="AD205" s="17">
        <v>-0.81583654438301023</v>
      </c>
      <c r="AE205" s="17">
        <v>1.6894094608623824</v>
      </c>
      <c r="AF205" s="17">
        <v>0.2496334827590041</v>
      </c>
      <c r="AG205" s="17">
        <v>0.29010426800531797</v>
      </c>
      <c r="AH205" s="17">
        <v>0.55723475600471262</v>
      </c>
      <c r="AI205" s="17">
        <v>-1.603629768829455</v>
      </c>
      <c r="AJ205" s="17">
        <v>-0.55690825498325469</v>
      </c>
      <c r="AK205" s="17">
        <v>-1.5874379826196048</v>
      </c>
      <c r="AM205" s="17">
        <v>-0.55149105888194694</v>
      </c>
      <c r="AN205" s="17">
        <v>0.61705522044788252</v>
      </c>
      <c r="AO205" s="17">
        <v>0.80182256628050042</v>
      </c>
      <c r="AP205" s="17">
        <v>0.22956636482335233</v>
      </c>
      <c r="AQ205" s="17">
        <v>0.80640202697199181</v>
      </c>
      <c r="AR205" s="17">
        <v>-0.30306068961356808</v>
      </c>
      <c r="AS205" s="17">
        <v>-0.60411319116086992</v>
      </c>
      <c r="AT205" s="17">
        <v>0.86199471536686101</v>
      </c>
      <c r="AU205" s="17">
        <v>0.39566513427806849</v>
      </c>
      <c r="AV205" s="17">
        <v>0.92085067668394871</v>
      </c>
      <c r="AW205" s="17">
        <v>-0.85284784019455928</v>
      </c>
      <c r="AX205" s="17">
        <v>0.90693294433220861</v>
      </c>
      <c r="AY205" s="17">
        <v>-0.64233424107534698</v>
      </c>
      <c r="AZ205" s="17">
        <v>0.79779070602119184</v>
      </c>
      <c r="BA205" s="17">
        <v>0.93635316741034824</v>
      </c>
      <c r="BB205" s="17">
        <v>0.88886898246171697</v>
      </c>
      <c r="BC205" s="17">
        <v>0.23515724058898035</v>
      </c>
      <c r="BD205" s="17">
        <v>-0.89823195287391033</v>
      </c>
      <c r="BE205" s="17">
        <v>-0.33630364213657798</v>
      </c>
      <c r="BF205" s="17">
        <v>-4.3246052286676682E-2</v>
      </c>
      <c r="BK205" s="20">
        <v>0.89794728918341449</v>
      </c>
      <c r="BL205" s="20">
        <v>0.10190101787814679</v>
      </c>
      <c r="BN205" s="21">
        <f t="shared" si="8"/>
        <v>0</v>
      </c>
    </row>
    <row r="206" spans="1:66">
      <c r="A206" s="14">
        <v>12.47</v>
      </c>
      <c r="B206" s="14">
        <v>18.600000000000001</v>
      </c>
      <c r="C206" s="14">
        <v>81.09</v>
      </c>
      <c r="D206" s="14">
        <v>481.9</v>
      </c>
      <c r="E206" s="14">
        <v>0.10580000000000001</v>
      </c>
      <c r="F206" s="14">
        <v>8.0049999999999996E-2</v>
      </c>
      <c r="G206" s="14">
        <v>3.8210000000000001E-2</v>
      </c>
      <c r="H206" s="14">
        <v>14.97</v>
      </c>
      <c r="I206" s="14">
        <v>677.9</v>
      </c>
      <c r="J206" s="14">
        <v>0.10150000000000001</v>
      </c>
      <c r="M206" s="16">
        <v>0</v>
      </c>
      <c r="O206" s="12">
        <f t="shared" si="9"/>
        <v>1</v>
      </c>
      <c r="P206" s="12">
        <f t="shared" si="10"/>
        <v>0</v>
      </c>
      <c r="R206" s="17">
        <v>-1.4643074708783446</v>
      </c>
      <c r="S206" s="17">
        <v>1.0359333700219733</v>
      </c>
      <c r="T206" s="17">
        <v>0.4503249130137873</v>
      </c>
      <c r="U206" s="17">
        <v>0.47751119115197871</v>
      </c>
      <c r="V206" s="17">
        <v>1.5052132201123889</v>
      </c>
      <c r="W206" s="17">
        <v>-1.2567352733816861</v>
      </c>
      <c r="X206" s="17">
        <v>-1.4659127711484521</v>
      </c>
      <c r="Y206" s="17">
        <v>0.877385815472147</v>
      </c>
      <c r="Z206" s="17">
        <v>1.7463530467411736</v>
      </c>
      <c r="AA206" s="17">
        <v>1.2163845753889837</v>
      </c>
      <c r="AB206" s="17">
        <v>-0.28839333793737798</v>
      </c>
      <c r="AC206" s="17">
        <v>1.0652147513376473</v>
      </c>
      <c r="AD206" s="17">
        <v>-0.81583654438301023</v>
      </c>
      <c r="AE206" s="17">
        <v>1.6894094608623824</v>
      </c>
      <c r="AF206" s="17">
        <v>0.2496334827590041</v>
      </c>
      <c r="AG206" s="17">
        <v>0.29010426800531797</v>
      </c>
      <c r="AH206" s="17">
        <v>0.55723475600471262</v>
      </c>
      <c r="AI206" s="17">
        <v>-1.603629768829455</v>
      </c>
      <c r="AJ206" s="17">
        <v>-0.55690825498325469</v>
      </c>
      <c r="AK206" s="17">
        <v>0.41247428007413633</v>
      </c>
      <c r="AM206" s="17">
        <v>-0.72922463519645342</v>
      </c>
      <c r="AN206" s="17">
        <v>0.69037099307008409</v>
      </c>
      <c r="AO206" s="17">
        <v>0.72037437713360053</v>
      </c>
      <c r="AP206" s="17">
        <v>0.31296537443372446</v>
      </c>
      <c r="AQ206" s="17">
        <v>0.8568047495466895</v>
      </c>
      <c r="AR206" s="17">
        <v>-0.56833413092422524</v>
      </c>
      <c r="AS206" s="17">
        <v>-0.75385699948691776</v>
      </c>
      <c r="AT206" s="17">
        <v>0.8313585755744467</v>
      </c>
      <c r="AU206" s="17">
        <v>0.70901750300365718</v>
      </c>
      <c r="AV206" s="17">
        <v>0.90692007650752793</v>
      </c>
      <c r="AW206" s="17">
        <v>-0.74740179316011723</v>
      </c>
      <c r="AX206" s="17">
        <v>0.88537021846236741</v>
      </c>
      <c r="AY206" s="17">
        <v>-0.66514411814458163</v>
      </c>
      <c r="AZ206" s="17">
        <v>0.86869909486896746</v>
      </c>
      <c r="BA206" s="17">
        <v>0.85000034303890359</v>
      </c>
      <c r="BB206" s="17">
        <v>0.78963575665128383</v>
      </c>
      <c r="BC206" s="17">
        <v>0.34097429110346572</v>
      </c>
      <c r="BD206" s="17">
        <v>-0.9141718269157334</v>
      </c>
      <c r="BE206" s="17">
        <v>-0.40589107911840799</v>
      </c>
      <c r="BF206" s="17">
        <v>-0.43916693760363662</v>
      </c>
      <c r="BK206" s="20">
        <v>1.0056324185212224</v>
      </c>
      <c r="BL206" s="20">
        <v>-5.650375878501231E-3</v>
      </c>
      <c r="BN206" s="21">
        <f t="shared" si="8"/>
        <v>0</v>
      </c>
    </row>
    <row r="207" spans="1:66">
      <c r="A207" s="14">
        <v>15.12</v>
      </c>
      <c r="B207" s="14">
        <v>16.68</v>
      </c>
      <c r="C207" s="14">
        <v>98.78</v>
      </c>
      <c r="D207" s="14">
        <v>716.6</v>
      </c>
      <c r="E207" s="14">
        <v>9.5880000000000007E-2</v>
      </c>
      <c r="F207" s="14">
        <v>7.5499999999999998E-2</v>
      </c>
      <c r="G207" s="14">
        <v>4.079E-2</v>
      </c>
      <c r="H207" s="14">
        <v>17.77</v>
      </c>
      <c r="I207" s="14">
        <v>989.5</v>
      </c>
      <c r="J207" s="14">
        <v>0.12520000000000001</v>
      </c>
      <c r="M207" s="16">
        <v>1</v>
      </c>
      <c r="O207" s="12">
        <f t="shared" si="9"/>
        <v>0</v>
      </c>
      <c r="P207" s="12">
        <f t="shared" si="10"/>
        <v>1</v>
      </c>
      <c r="R207" s="17">
        <v>-0.86216493245391179</v>
      </c>
      <c r="S207" s="17">
        <v>0.86592397083683859</v>
      </c>
      <c r="T207" s="17">
        <v>1.1492407566427856</v>
      </c>
      <c r="U207" s="17">
        <v>0.30971288832147947</v>
      </c>
      <c r="V207" s="17">
        <v>1.322038261257461</v>
      </c>
      <c r="W207" s="17">
        <v>-0.54000870393571332</v>
      </c>
      <c r="X207" s="17">
        <v>-0.93446499101467595</v>
      </c>
      <c r="Y207" s="17">
        <v>1.3623707400649003</v>
      </c>
      <c r="Z207" s="17">
        <v>0.73556995189170193</v>
      </c>
      <c r="AA207" s="17">
        <v>1.6983871669386827</v>
      </c>
      <c r="AB207" s="17">
        <v>-1.2113068807979621</v>
      </c>
      <c r="AC207" s="17">
        <v>1.5906603286575782</v>
      </c>
      <c r="AD207" s="17">
        <v>-0.8593627097567913</v>
      </c>
      <c r="AE207" s="17">
        <v>1.3374666300864129</v>
      </c>
      <c r="AF207" s="17">
        <v>1.6049118769290147</v>
      </c>
      <c r="AG207" s="17">
        <v>1.3481853892245086</v>
      </c>
      <c r="AH207" s="17">
        <v>0.33128292594394448</v>
      </c>
      <c r="AI207" s="17">
        <v>-1.6572512841003593</v>
      </c>
      <c r="AJ207" s="17">
        <v>-0.4315878441673433</v>
      </c>
      <c r="AK207" s="17">
        <v>0.36873422438505576</v>
      </c>
      <c r="AM207" s="17">
        <v>-0.8536502040491184</v>
      </c>
      <c r="AN207" s="17">
        <v>0.76163490788202171</v>
      </c>
      <c r="AO207" s="17">
        <v>0.70145418507845581</v>
      </c>
      <c r="AP207" s="17">
        <v>0.40142961119635351</v>
      </c>
      <c r="AQ207" s="17">
        <v>0.90120308351118505</v>
      </c>
      <c r="AR207" s="17">
        <v>-0.76568979496301692</v>
      </c>
      <c r="AS207" s="17">
        <v>-0.86153873255749902</v>
      </c>
      <c r="AT207" s="17">
        <v>0.79966818346945656</v>
      </c>
      <c r="AU207" s="17">
        <v>0.88477553047909285</v>
      </c>
      <c r="AV207" s="17">
        <v>0.89488823551622587</v>
      </c>
      <c r="AW207" s="17">
        <v>-0.5817308415257747</v>
      </c>
      <c r="AX207" s="17">
        <v>0.86362397149810999</v>
      </c>
      <c r="AY207" s="17">
        <v>-0.69538951100950697</v>
      </c>
      <c r="AZ207" s="17">
        <v>0.92184929267458005</v>
      </c>
      <c r="BA207" s="17">
        <v>0.66259511615446387</v>
      </c>
      <c r="BB207" s="17">
        <v>0.61734589120728789</v>
      </c>
      <c r="BC207" s="17">
        <v>0.44972583536779853</v>
      </c>
      <c r="BD207" s="17">
        <v>-0.9321315461940558</v>
      </c>
      <c r="BE207" s="17">
        <v>-0.48087612623856052</v>
      </c>
      <c r="BF207" s="17">
        <v>0.59003513958013765</v>
      </c>
      <c r="BK207" s="20">
        <v>0.9982422347116735</v>
      </c>
      <c r="BL207" s="20">
        <v>1.7141590208628876E-3</v>
      </c>
      <c r="BN207" s="21">
        <f t="shared" si="8"/>
        <v>0</v>
      </c>
    </row>
    <row r="208" spans="1:66">
      <c r="A208" s="14">
        <v>9.8759999999999994</v>
      </c>
      <c r="B208" s="14">
        <v>17.27</v>
      </c>
      <c r="C208" s="14">
        <v>62.92</v>
      </c>
      <c r="D208" s="14">
        <v>295.39999999999998</v>
      </c>
      <c r="E208" s="14">
        <v>7.2319999999999995E-2</v>
      </c>
      <c r="F208" s="14">
        <v>1.7559999999999999E-2</v>
      </c>
      <c r="G208" s="14">
        <v>1.9519999999999999E-2</v>
      </c>
      <c r="H208" s="14">
        <v>10.42</v>
      </c>
      <c r="I208" s="14">
        <v>331.6</v>
      </c>
      <c r="J208" s="14">
        <v>5.5879999999999999E-2</v>
      </c>
      <c r="M208" s="16">
        <v>0</v>
      </c>
      <c r="O208" s="12">
        <f t="shared" si="9"/>
        <v>1</v>
      </c>
      <c r="P208" s="12">
        <f t="shared" si="10"/>
        <v>0</v>
      </c>
      <c r="R208" s="17">
        <v>-0.86216493245391179</v>
      </c>
      <c r="S208" s="17">
        <v>0.86592397083683859</v>
      </c>
      <c r="T208" s="17">
        <v>1.1492407566427856</v>
      </c>
      <c r="U208" s="17">
        <v>0.30971288832147947</v>
      </c>
      <c r="V208" s="17">
        <v>1.322038261257461</v>
      </c>
      <c r="W208" s="17">
        <v>-0.54000870393571332</v>
      </c>
      <c r="X208" s="17">
        <v>-0.93446499101467595</v>
      </c>
      <c r="Y208" s="17">
        <v>1.3623707400649003</v>
      </c>
      <c r="Z208" s="17">
        <v>0.73556995189170193</v>
      </c>
      <c r="AA208" s="17">
        <v>1.6983871669386827</v>
      </c>
      <c r="AB208" s="17">
        <v>-1.2113068807979621</v>
      </c>
      <c r="AC208" s="17">
        <v>1.5906603286575782</v>
      </c>
      <c r="AD208" s="17">
        <v>-0.8593627097567913</v>
      </c>
      <c r="AE208" s="17">
        <v>1.3374666300864129</v>
      </c>
      <c r="AF208" s="17">
        <v>1.6049118769290147</v>
      </c>
      <c r="AG208" s="17">
        <v>1.3481853892245086</v>
      </c>
      <c r="AH208" s="17">
        <v>0.33128292594394448</v>
      </c>
      <c r="AI208" s="17">
        <v>-1.6572512841003593</v>
      </c>
      <c r="AJ208" s="17">
        <v>-0.4315878441673433</v>
      </c>
      <c r="AK208" s="17">
        <v>0.36872992601944776</v>
      </c>
      <c r="AM208" s="17">
        <v>-0.7161337760924148</v>
      </c>
      <c r="AN208" s="17">
        <v>0.72134292945240186</v>
      </c>
      <c r="AO208" s="17">
        <v>0.84594288977275889</v>
      </c>
      <c r="AP208" s="17">
        <v>0.31307225703006841</v>
      </c>
      <c r="AQ208" s="17">
        <v>0.88343577074088497</v>
      </c>
      <c r="AR208" s="17">
        <v>-0.50659772758364696</v>
      </c>
      <c r="AS208" s="17">
        <v>-0.75177216227476307</v>
      </c>
      <c r="AT208" s="17">
        <v>0.89455376811794574</v>
      </c>
      <c r="AU208" s="17">
        <v>0.64091588815544298</v>
      </c>
      <c r="AV208" s="17">
        <v>0.94665584438436845</v>
      </c>
      <c r="AW208" s="17">
        <v>-0.85961679511477473</v>
      </c>
      <c r="AX208" s="17">
        <v>0.93358942148631963</v>
      </c>
      <c r="AY208" s="17">
        <v>-0.71963444346824423</v>
      </c>
      <c r="AZ208" s="17">
        <v>0.88638779554673863</v>
      </c>
      <c r="BA208" s="17">
        <v>0.93710579904514246</v>
      </c>
      <c r="BB208" s="17">
        <v>0.89336396124401007</v>
      </c>
      <c r="BC208" s="17">
        <v>0.33262491829982005</v>
      </c>
      <c r="BD208" s="17">
        <v>-0.9411955697587866</v>
      </c>
      <c r="BE208" s="17">
        <v>-0.42447254295854436</v>
      </c>
      <c r="BF208" s="17">
        <v>0.36031418192952597</v>
      </c>
      <c r="BK208" s="20">
        <v>0.20607076782499073</v>
      </c>
      <c r="BL208" s="20">
        <v>0.7939320331156543</v>
      </c>
      <c r="BN208" s="21">
        <f t="shared" si="8"/>
        <v>1</v>
      </c>
    </row>
    <row r="209" spans="1:66">
      <c r="A209" s="14">
        <v>17.010000000000002</v>
      </c>
      <c r="B209" s="14">
        <v>20.260000000000002</v>
      </c>
      <c r="C209" s="14">
        <v>109.7</v>
      </c>
      <c r="D209" s="14">
        <v>904.3</v>
      </c>
      <c r="E209" s="14">
        <v>7.3039999999999994E-2</v>
      </c>
      <c r="F209" s="14">
        <v>6.9500000000000006E-2</v>
      </c>
      <c r="G209" s="14">
        <v>5.3900000000000003E-2</v>
      </c>
      <c r="H209" s="14">
        <v>19.8</v>
      </c>
      <c r="I209" s="14">
        <v>1210</v>
      </c>
      <c r="J209" s="14">
        <v>0.1096</v>
      </c>
      <c r="M209" s="16">
        <v>1</v>
      </c>
      <c r="O209" s="12">
        <f t="shared" si="9"/>
        <v>0</v>
      </c>
      <c r="P209" s="12">
        <f t="shared" si="10"/>
        <v>1</v>
      </c>
      <c r="R209" s="17">
        <v>-0.86216493245391179</v>
      </c>
      <c r="S209" s="17">
        <v>0.86592397083683859</v>
      </c>
      <c r="T209" s="17">
        <v>1.1492407566427856</v>
      </c>
      <c r="U209" s="17">
        <v>0.30971288832147947</v>
      </c>
      <c r="V209" s="17">
        <v>1.322038261257461</v>
      </c>
      <c r="W209" s="17">
        <v>-0.54000870393571332</v>
      </c>
      <c r="X209" s="17">
        <v>-0.93446499101467595</v>
      </c>
      <c r="Y209" s="17">
        <v>1.3623707400649003</v>
      </c>
      <c r="Z209" s="17">
        <v>0.73556995189170193</v>
      </c>
      <c r="AA209" s="17">
        <v>1.6983871669386827</v>
      </c>
      <c r="AB209" s="17">
        <v>-1.2113068807979621</v>
      </c>
      <c r="AC209" s="17">
        <v>1.5906603286575782</v>
      </c>
      <c r="AD209" s="17">
        <v>-0.8593627097567913</v>
      </c>
      <c r="AE209" s="17">
        <v>1.3374666300864129</v>
      </c>
      <c r="AF209" s="17">
        <v>1.6049118769290147</v>
      </c>
      <c r="AG209" s="17">
        <v>1.3481853892245086</v>
      </c>
      <c r="AH209" s="17">
        <v>0.33128292594394448</v>
      </c>
      <c r="AI209" s="17">
        <v>-1.6572512841003593</v>
      </c>
      <c r="AJ209" s="17">
        <v>-0.4315878441673433</v>
      </c>
      <c r="AK209" s="17">
        <v>-1.5279308224316106</v>
      </c>
      <c r="AM209" s="17">
        <v>-0.67269060662101987</v>
      </c>
      <c r="AN209" s="17">
        <v>0.69401038784503244</v>
      </c>
      <c r="AO209" s="17">
        <v>0.84221452843113731</v>
      </c>
      <c r="AP209" s="17">
        <v>0.28862684395801125</v>
      </c>
      <c r="AQ209" s="17">
        <v>0.86497198569956846</v>
      </c>
      <c r="AR209" s="17">
        <v>-0.44816034783693354</v>
      </c>
      <c r="AS209" s="17">
        <v>-0.71346280957484143</v>
      </c>
      <c r="AT209" s="17">
        <v>0.88734573659571003</v>
      </c>
      <c r="AU209" s="17">
        <v>0.57449084537538253</v>
      </c>
      <c r="AV209" s="17">
        <v>0.94098886589502073</v>
      </c>
      <c r="AW209" s="17">
        <v>-0.86023884190201072</v>
      </c>
      <c r="AX209" s="17">
        <v>0.92775633102065314</v>
      </c>
      <c r="AY209" s="17">
        <v>-0.6998286373353193</v>
      </c>
      <c r="AZ209" s="17">
        <v>0.86531115174409845</v>
      </c>
      <c r="BA209" s="17">
        <v>0.93857323309700924</v>
      </c>
      <c r="BB209" s="17">
        <v>0.89432088885409777</v>
      </c>
      <c r="BC209" s="17">
        <v>0.30394535499767178</v>
      </c>
      <c r="BD209" s="17">
        <v>-0.93146823953213032</v>
      </c>
      <c r="BE209" s="17">
        <v>-0.39950925385952701</v>
      </c>
      <c r="BF209" s="17">
        <v>0.42231573566964381</v>
      </c>
      <c r="BK209" s="20">
        <v>1.0272118187521126</v>
      </c>
      <c r="BL209" s="20">
        <v>-2.7249419364565469E-2</v>
      </c>
      <c r="BN209" s="21">
        <f t="shared" si="8"/>
        <v>0</v>
      </c>
    </row>
    <row r="210" spans="1:66">
      <c r="A210" s="14">
        <v>13.11</v>
      </c>
      <c r="B210" s="14">
        <v>22.54</v>
      </c>
      <c r="C210" s="14">
        <v>87.02</v>
      </c>
      <c r="D210" s="14">
        <v>529.4</v>
      </c>
      <c r="E210" s="14">
        <v>0.14829999999999999</v>
      </c>
      <c r="F210" s="14">
        <v>8.7050000000000002E-2</v>
      </c>
      <c r="G210" s="14">
        <v>5.1020000000000003E-2</v>
      </c>
      <c r="H210" s="14">
        <v>14.55</v>
      </c>
      <c r="I210" s="14">
        <v>639.29999999999995</v>
      </c>
      <c r="J210" s="14">
        <v>0.11260000000000001</v>
      </c>
      <c r="M210" s="16">
        <v>0</v>
      </c>
      <c r="O210" s="12">
        <f t="shared" si="9"/>
        <v>1</v>
      </c>
      <c r="P210" s="12">
        <f t="shared" si="10"/>
        <v>0</v>
      </c>
      <c r="R210" s="17">
        <v>-0.86216493245391179</v>
      </c>
      <c r="S210" s="17">
        <v>0.86592397083683859</v>
      </c>
      <c r="T210" s="17">
        <v>1.1492407566427856</v>
      </c>
      <c r="U210" s="17">
        <v>0.30971288832147947</v>
      </c>
      <c r="V210" s="17">
        <v>1.322038261257461</v>
      </c>
      <c r="W210" s="17">
        <v>-0.54000870393571332</v>
      </c>
      <c r="X210" s="17">
        <v>-0.93446499101467595</v>
      </c>
      <c r="Y210" s="17">
        <v>1.3623707400649003</v>
      </c>
      <c r="Z210" s="17">
        <v>0.73556995189170193</v>
      </c>
      <c r="AA210" s="17">
        <v>1.6983871669386827</v>
      </c>
      <c r="AB210" s="17">
        <v>-1.2113068807979621</v>
      </c>
      <c r="AC210" s="17">
        <v>1.5906603286575782</v>
      </c>
      <c r="AD210" s="17">
        <v>-0.8593627097567913</v>
      </c>
      <c r="AE210" s="17">
        <v>1.3374666300864129</v>
      </c>
      <c r="AF210" s="17">
        <v>1.6049118769290147</v>
      </c>
      <c r="AG210" s="17">
        <v>1.3481853892245086</v>
      </c>
      <c r="AH210" s="17">
        <v>0.33128292594394448</v>
      </c>
      <c r="AI210" s="17">
        <v>-1.6572512841003593</v>
      </c>
      <c r="AJ210" s="17">
        <v>-0.4315878441673433</v>
      </c>
      <c r="AK210" s="17">
        <v>-1.5595580690969273</v>
      </c>
      <c r="AM210" s="17">
        <v>-0.93002223505241532</v>
      </c>
      <c r="AN210" s="17">
        <v>0.72895982151294569</v>
      </c>
      <c r="AO210" s="17">
        <v>-0.47752821433633968</v>
      </c>
      <c r="AP210" s="17">
        <v>0.47252271245856786</v>
      </c>
      <c r="AQ210" s="17">
        <v>0.85771636500439596</v>
      </c>
      <c r="AR210" s="17">
        <v>-0.92407929117173848</v>
      </c>
      <c r="AS210" s="17">
        <v>-0.9203886110143904</v>
      </c>
      <c r="AT210" s="17">
        <v>0.176300463717947</v>
      </c>
      <c r="AU210" s="17">
        <v>0.97846663732293959</v>
      </c>
      <c r="AV210" s="17">
        <v>0.40580363749376019</v>
      </c>
      <c r="AW210" s="17">
        <v>0.59002849682192138</v>
      </c>
      <c r="AX210" s="17">
        <v>0.2705030205718813</v>
      </c>
      <c r="AY210" s="17">
        <v>-0.50691516259053571</v>
      </c>
      <c r="AZ210" s="17">
        <v>0.91906560367708134</v>
      </c>
      <c r="BA210" s="17">
        <v>-0.80867423511589132</v>
      </c>
      <c r="BB210" s="17">
        <v>-0.66781966636886192</v>
      </c>
      <c r="BC210" s="17">
        <v>0.55672725343139773</v>
      </c>
      <c r="BD210" s="17">
        <v>-0.81058562983940041</v>
      </c>
      <c r="BE210" s="17">
        <v>-0.48598862040387669</v>
      </c>
      <c r="BF210" s="17">
        <v>0.57259592025756612</v>
      </c>
      <c r="BK210" s="20">
        <v>1.0799298424538351</v>
      </c>
      <c r="BL210" s="20">
        <v>-7.9896195928352357E-2</v>
      </c>
      <c r="BN210" s="21">
        <f t="shared" si="8"/>
        <v>0</v>
      </c>
    </row>
    <row r="211" spans="1:66">
      <c r="A211" s="14">
        <v>15.27</v>
      </c>
      <c r="B211" s="14">
        <v>12.91</v>
      </c>
      <c r="C211" s="14">
        <v>98.17</v>
      </c>
      <c r="D211" s="14">
        <v>725.5</v>
      </c>
      <c r="E211" s="14">
        <v>6.2300000000000001E-2</v>
      </c>
      <c r="F211" s="14">
        <v>5.892E-2</v>
      </c>
      <c r="G211" s="14">
        <v>3.1570000000000001E-2</v>
      </c>
      <c r="H211" s="14">
        <v>17.38</v>
      </c>
      <c r="I211" s="14">
        <v>932.7</v>
      </c>
      <c r="J211" s="14">
        <v>0.10349999999999999</v>
      </c>
      <c r="M211" s="16">
        <v>0</v>
      </c>
      <c r="O211" s="12">
        <f t="shared" si="9"/>
        <v>1</v>
      </c>
      <c r="P211" s="12">
        <f t="shared" si="10"/>
        <v>0</v>
      </c>
      <c r="R211" s="17">
        <v>-1.4643074708783446</v>
      </c>
      <c r="S211" s="17">
        <v>1.0359333700219733</v>
      </c>
      <c r="T211" s="17">
        <v>0.4503249130137873</v>
      </c>
      <c r="U211" s="17">
        <v>0.47751119115197871</v>
      </c>
      <c r="V211" s="17">
        <v>1.5052132201123889</v>
      </c>
      <c r="W211" s="17">
        <v>-1.2567352733816861</v>
      </c>
      <c r="X211" s="17">
        <v>-1.4659127711484521</v>
      </c>
      <c r="Y211" s="17">
        <v>0.877385815472147</v>
      </c>
      <c r="Z211" s="17">
        <v>1.7463530467411736</v>
      </c>
      <c r="AA211" s="17">
        <v>1.2163845753889837</v>
      </c>
      <c r="AB211" s="17">
        <v>-0.28839333793737798</v>
      </c>
      <c r="AC211" s="17">
        <v>1.0652147513376473</v>
      </c>
      <c r="AD211" s="17">
        <v>-0.81583654438301023</v>
      </c>
      <c r="AE211" s="17">
        <v>1.6894094608623824</v>
      </c>
      <c r="AF211" s="17">
        <v>0.2496334827590041</v>
      </c>
      <c r="AG211" s="17">
        <v>0.29010426800531797</v>
      </c>
      <c r="AH211" s="17">
        <v>0.55723475600471262</v>
      </c>
      <c r="AI211" s="17">
        <v>-1.603629768829455</v>
      </c>
      <c r="AJ211" s="17">
        <v>-0.55690825498325469</v>
      </c>
      <c r="AK211" s="17">
        <v>0.41256201738018505</v>
      </c>
      <c r="AM211" s="17">
        <v>-0.93484891303315543</v>
      </c>
      <c r="AN211" s="17">
        <v>0.81810938098906172</v>
      </c>
      <c r="AO211" s="17">
        <v>-3.6363856640427322E-2</v>
      </c>
      <c r="AP211" s="17">
        <v>0.49865188624354867</v>
      </c>
      <c r="AQ211" s="17">
        <v>0.930274853930112</v>
      </c>
      <c r="AR211" s="17">
        <v>-0.90388022697686821</v>
      </c>
      <c r="AS211" s="17">
        <v>-0.93336483460215991</v>
      </c>
      <c r="AT211" s="17">
        <v>0.69412266574518011</v>
      </c>
      <c r="AU211" s="17">
        <v>0.96911341833031761</v>
      </c>
      <c r="AV211" s="17">
        <v>0.84041380186970827</v>
      </c>
      <c r="AW211" s="17">
        <v>-0.13597757526096071</v>
      </c>
      <c r="AX211" s="17">
        <v>0.78222681201973521</v>
      </c>
      <c r="AY211" s="17">
        <v>-0.70286339505774509</v>
      </c>
      <c r="AZ211" s="17">
        <v>0.9554878436642632</v>
      </c>
      <c r="BA211" s="17">
        <v>1.3133576276851872E-2</v>
      </c>
      <c r="BB211" s="17">
        <v>0.11261235110274595</v>
      </c>
      <c r="BC211" s="17">
        <v>0.56804007047796823</v>
      </c>
      <c r="BD211" s="17">
        <v>-0.93809286750184706</v>
      </c>
      <c r="BE211" s="17">
        <v>-0.55475683458528369</v>
      </c>
      <c r="BF211" s="17">
        <v>-0.27247226398473817</v>
      </c>
      <c r="BK211" s="20">
        <v>5.8602850058747991E-2</v>
      </c>
      <c r="BL211" s="20">
        <v>0.94145144635746658</v>
      </c>
      <c r="BN211" s="21">
        <f t="shared" ref="BN211:BN274" si="11">IF(BK211&gt;BL211,0,1)</f>
        <v>1</v>
      </c>
    </row>
    <row r="212" spans="1:66">
      <c r="A212" s="14">
        <v>20.58</v>
      </c>
      <c r="B212" s="14">
        <v>22.14</v>
      </c>
      <c r="C212" s="14">
        <v>134.69999999999999</v>
      </c>
      <c r="D212" s="14">
        <v>1290</v>
      </c>
      <c r="E212" s="14">
        <v>0.1348</v>
      </c>
      <c r="F212" s="14">
        <v>0.16400000000000001</v>
      </c>
      <c r="G212" s="14">
        <v>9.5610000000000001E-2</v>
      </c>
      <c r="H212" s="14">
        <v>23.24</v>
      </c>
      <c r="I212" s="14">
        <v>1656</v>
      </c>
      <c r="J212" s="14">
        <v>0.192</v>
      </c>
      <c r="M212" s="16">
        <v>1</v>
      </c>
      <c r="O212" s="12">
        <f t="shared" si="9"/>
        <v>0</v>
      </c>
      <c r="P212" s="12">
        <f t="shared" si="10"/>
        <v>1</v>
      </c>
      <c r="R212" s="17">
        <v>-0.86216493245391179</v>
      </c>
      <c r="S212" s="17">
        <v>0.86592397083683859</v>
      </c>
      <c r="T212" s="17">
        <v>1.1492407566427856</v>
      </c>
      <c r="U212" s="17">
        <v>0.30971288832147947</v>
      </c>
      <c r="V212" s="17">
        <v>1.322038261257461</v>
      </c>
      <c r="W212" s="17">
        <v>-0.54000870393571332</v>
      </c>
      <c r="X212" s="17">
        <v>-0.93446499101467595</v>
      </c>
      <c r="Y212" s="17">
        <v>1.3623707400649003</v>
      </c>
      <c r="Z212" s="17">
        <v>0.73556995189170193</v>
      </c>
      <c r="AA212" s="17">
        <v>1.6983871669386827</v>
      </c>
      <c r="AB212" s="17">
        <v>-1.2113068807979621</v>
      </c>
      <c r="AC212" s="17">
        <v>1.5906603286575782</v>
      </c>
      <c r="AD212" s="17">
        <v>-0.8593627097567913</v>
      </c>
      <c r="AE212" s="17">
        <v>1.3374666300864129</v>
      </c>
      <c r="AF212" s="17">
        <v>1.6049118769290147</v>
      </c>
      <c r="AG212" s="17">
        <v>1.3481853892245086</v>
      </c>
      <c r="AH212" s="17">
        <v>0.33128292594394448</v>
      </c>
      <c r="AI212" s="17">
        <v>-1.6572512841003593</v>
      </c>
      <c r="AJ212" s="17">
        <v>-0.4315878441673433</v>
      </c>
      <c r="AK212" s="17">
        <v>0.36873422441298942</v>
      </c>
      <c r="AM212" s="17">
        <v>-0.8697468617692099</v>
      </c>
      <c r="AN212" s="17">
        <v>0.76768610264062886</v>
      </c>
      <c r="AO212" s="17">
        <v>0.33661168617363679</v>
      </c>
      <c r="AP212" s="17">
        <v>0.41567010303582608</v>
      </c>
      <c r="AQ212" s="17">
        <v>0.90375651880129693</v>
      </c>
      <c r="AR212" s="17">
        <v>-0.79568430251111077</v>
      </c>
      <c r="AS212" s="17">
        <v>-0.87491343732679761</v>
      </c>
      <c r="AT212" s="17">
        <v>0.77671975957913175</v>
      </c>
      <c r="AU212" s="17">
        <v>0.90621549661851108</v>
      </c>
      <c r="AV212" s="17">
        <v>0.88183521153124211</v>
      </c>
      <c r="AW212" s="17">
        <v>-0.50541118716640498</v>
      </c>
      <c r="AX212" s="17">
        <v>0.84578563409918439</v>
      </c>
      <c r="AY212" s="17">
        <v>-0.69065437873104196</v>
      </c>
      <c r="AZ212" s="17">
        <v>0.92657711962172795</v>
      </c>
      <c r="BA212" s="17">
        <v>0.56416412901201585</v>
      </c>
      <c r="BB212" s="17">
        <v>0.53454332347940925</v>
      </c>
      <c r="BC212" s="17">
        <v>0.46823086053191104</v>
      </c>
      <c r="BD212" s="17">
        <v>-0.93024418832566302</v>
      </c>
      <c r="BE212" s="17">
        <v>-0.48987314335595855</v>
      </c>
      <c r="BF212" s="17">
        <v>-0.17333238215873328</v>
      </c>
      <c r="BK212" s="20">
        <v>0.26188675085019986</v>
      </c>
      <c r="BL212" s="20">
        <v>0.73821149770784467</v>
      </c>
      <c r="BN212" s="21">
        <f t="shared" si="11"/>
        <v>1</v>
      </c>
    </row>
    <row r="213" spans="1:66">
      <c r="A213" s="14">
        <v>11.84</v>
      </c>
      <c r="B213" s="14">
        <v>18.940000000000001</v>
      </c>
      <c r="C213" s="14">
        <v>75.510000000000005</v>
      </c>
      <c r="D213" s="14">
        <v>428</v>
      </c>
      <c r="E213" s="14">
        <v>6.9000000000000006E-2</v>
      </c>
      <c r="F213" s="14">
        <v>2.6689999999999998E-2</v>
      </c>
      <c r="G213" s="14">
        <v>1.393E-2</v>
      </c>
      <c r="H213" s="14">
        <v>13.3</v>
      </c>
      <c r="I213" s="14">
        <v>546.29999999999995</v>
      </c>
      <c r="J213" s="14">
        <v>6.9129999999999997E-2</v>
      </c>
      <c r="M213" s="16">
        <v>0</v>
      </c>
      <c r="O213" s="12">
        <f t="shared" si="9"/>
        <v>1</v>
      </c>
      <c r="P213" s="12">
        <f t="shared" si="10"/>
        <v>0</v>
      </c>
      <c r="R213" s="17">
        <v>-0.86216493245391179</v>
      </c>
      <c r="S213" s="17">
        <v>0.86592397083683859</v>
      </c>
      <c r="T213" s="17">
        <v>1.1492407566427856</v>
      </c>
      <c r="U213" s="17">
        <v>0.30971288832147947</v>
      </c>
      <c r="V213" s="17">
        <v>1.322038261257461</v>
      </c>
      <c r="W213" s="17">
        <v>-0.54000870393571332</v>
      </c>
      <c r="X213" s="17">
        <v>-0.93446499101467595</v>
      </c>
      <c r="Y213" s="17">
        <v>1.3623707400649003</v>
      </c>
      <c r="Z213" s="17">
        <v>0.73556995189170193</v>
      </c>
      <c r="AA213" s="17">
        <v>1.6983871669386827</v>
      </c>
      <c r="AB213" s="17">
        <v>-1.2113068807979621</v>
      </c>
      <c r="AC213" s="17">
        <v>1.5906603286575782</v>
      </c>
      <c r="AD213" s="17">
        <v>-0.8593627097567913</v>
      </c>
      <c r="AE213" s="17">
        <v>1.3374666300864129</v>
      </c>
      <c r="AF213" s="17">
        <v>1.6049118769290147</v>
      </c>
      <c r="AG213" s="17">
        <v>1.3481853892245086</v>
      </c>
      <c r="AH213" s="17">
        <v>0.33128292594394448</v>
      </c>
      <c r="AI213" s="17">
        <v>-1.6572512841003593</v>
      </c>
      <c r="AJ213" s="17">
        <v>-0.4315878441673433</v>
      </c>
      <c r="AK213" s="17">
        <v>0.36873422441298942</v>
      </c>
      <c r="AM213" s="17">
        <v>-0.68697304144351834</v>
      </c>
      <c r="AN213" s="17">
        <v>0.68807722061239129</v>
      </c>
      <c r="AO213" s="17">
        <v>0.80034449025967203</v>
      </c>
      <c r="AP213" s="17">
        <v>0.29347560321968441</v>
      </c>
      <c r="AQ213" s="17">
        <v>0.85879594409845283</v>
      </c>
      <c r="AR213" s="17">
        <v>-0.48441502878667403</v>
      </c>
      <c r="AS213" s="17">
        <v>-0.72227592954938036</v>
      </c>
      <c r="AT213" s="17">
        <v>0.86817234657625919</v>
      </c>
      <c r="AU213" s="17">
        <v>0.61712074663588679</v>
      </c>
      <c r="AV213" s="17">
        <v>0.92926882916818254</v>
      </c>
      <c r="AW213" s="17">
        <v>-0.82645187854280233</v>
      </c>
      <c r="AX213" s="17">
        <v>0.9134363540683107</v>
      </c>
      <c r="AY213" s="17">
        <v>-0.68428440287693326</v>
      </c>
      <c r="AZ213" s="17">
        <v>0.86284740208396671</v>
      </c>
      <c r="BA213" s="17">
        <v>0.91521958474223675</v>
      </c>
      <c r="BB213" s="17">
        <v>0.86420181234534643</v>
      </c>
      <c r="BC213" s="17">
        <v>0.31275135756112088</v>
      </c>
      <c r="BD213" s="17">
        <v>-0.92381944715418385</v>
      </c>
      <c r="BE213" s="17">
        <v>-0.39773460683594208</v>
      </c>
      <c r="BF213" s="17">
        <v>0.10896190670203749</v>
      </c>
      <c r="BK213" s="20">
        <v>1.0430905749246582</v>
      </c>
      <c r="BL213" s="20">
        <v>-4.3195808511891767E-2</v>
      </c>
      <c r="BN213" s="21">
        <f t="shared" si="11"/>
        <v>0</v>
      </c>
    </row>
    <row r="214" spans="1:66">
      <c r="A214" s="14">
        <v>28.11</v>
      </c>
      <c r="B214" s="14">
        <v>18.47</v>
      </c>
      <c r="C214" s="14">
        <v>188.5</v>
      </c>
      <c r="D214" s="14">
        <v>2499</v>
      </c>
      <c r="E214" s="14">
        <v>0.15160000000000001</v>
      </c>
      <c r="F214" s="14">
        <v>0.3201</v>
      </c>
      <c r="G214" s="14">
        <v>0.1595</v>
      </c>
      <c r="H214" s="14">
        <v>28.11</v>
      </c>
      <c r="I214" s="14">
        <v>2499</v>
      </c>
      <c r="J214" s="14">
        <v>0.1595</v>
      </c>
      <c r="M214" s="16">
        <v>1</v>
      </c>
      <c r="O214" s="12">
        <f t="shared" si="9"/>
        <v>0</v>
      </c>
      <c r="P214" s="12">
        <f t="shared" si="10"/>
        <v>1</v>
      </c>
      <c r="R214" s="17">
        <v>-1.4643074708783446</v>
      </c>
      <c r="S214" s="17">
        <v>1.0359333700219733</v>
      </c>
      <c r="T214" s="17">
        <v>0.4503249130137873</v>
      </c>
      <c r="U214" s="17">
        <v>0.47751119115197871</v>
      </c>
      <c r="V214" s="17">
        <v>1.5052132201123889</v>
      </c>
      <c r="W214" s="17">
        <v>-1.2567352733816861</v>
      </c>
      <c r="X214" s="17">
        <v>-1.4659127711484521</v>
      </c>
      <c r="Y214" s="17">
        <v>0.877385815472147</v>
      </c>
      <c r="Z214" s="17">
        <v>1.7463530467411736</v>
      </c>
      <c r="AA214" s="17">
        <v>1.2163845753889837</v>
      </c>
      <c r="AB214" s="17">
        <v>-0.28839333793737798</v>
      </c>
      <c r="AC214" s="17">
        <v>1.0652147513376473</v>
      </c>
      <c r="AD214" s="17">
        <v>-0.81583654438301023</v>
      </c>
      <c r="AE214" s="17">
        <v>1.6894094608623824</v>
      </c>
      <c r="AF214" s="17">
        <v>0.2496334827590041</v>
      </c>
      <c r="AG214" s="17">
        <v>0.29010426800531797</v>
      </c>
      <c r="AH214" s="17">
        <v>0.55723475600471262</v>
      </c>
      <c r="AI214" s="17">
        <v>-1.603629768829455</v>
      </c>
      <c r="AJ214" s="17">
        <v>-0.55690825498325469</v>
      </c>
      <c r="AK214" s="17">
        <v>0.41256201738018505</v>
      </c>
      <c r="AM214" s="17">
        <v>-0.8274064654096277</v>
      </c>
      <c r="AN214" s="17">
        <v>0.76199049851025669</v>
      </c>
      <c r="AO214" s="17">
        <v>0.71042868027367645</v>
      </c>
      <c r="AP214" s="17">
        <v>0.3827694899207108</v>
      </c>
      <c r="AQ214" s="17">
        <v>0.90439390110670259</v>
      </c>
      <c r="AR214" s="17">
        <v>-0.70779660727209126</v>
      </c>
      <c r="AS214" s="17">
        <v>-0.84185033060517589</v>
      </c>
      <c r="AT214" s="17">
        <v>0.85002482701344884</v>
      </c>
      <c r="AU214" s="17">
        <v>0.83878010658246482</v>
      </c>
      <c r="AV214" s="17">
        <v>0.92433150782900775</v>
      </c>
      <c r="AW214" s="17">
        <v>-0.7205466798048451</v>
      </c>
      <c r="AX214" s="17">
        <v>0.90221918690503733</v>
      </c>
      <c r="AY214" s="17">
        <v>-0.71799992655686018</v>
      </c>
      <c r="AZ214" s="17">
        <v>0.91919969605922491</v>
      </c>
      <c r="BA214" s="17">
        <v>0.81709058245539778</v>
      </c>
      <c r="BB214" s="17">
        <v>0.76092210669984006</v>
      </c>
      <c r="BC214" s="17">
        <v>0.42277040395470844</v>
      </c>
      <c r="BD214" s="17">
        <v>-0.94196580683595432</v>
      </c>
      <c r="BE214" s="17">
        <v>-0.47465790006573022</v>
      </c>
      <c r="BF214" s="17">
        <v>0.15160914289502445</v>
      </c>
      <c r="BK214" s="20">
        <v>3.5546052630467763E-2</v>
      </c>
      <c r="BL214" s="20">
        <v>0.96451097689526188</v>
      </c>
      <c r="BN214" s="21">
        <f t="shared" si="11"/>
        <v>1</v>
      </c>
    </row>
    <row r="215" spans="1:66">
      <c r="A215" s="14">
        <v>17.420000000000002</v>
      </c>
      <c r="B215" s="14">
        <v>25.56</v>
      </c>
      <c r="C215" s="14">
        <v>114.5</v>
      </c>
      <c r="D215" s="14">
        <v>948</v>
      </c>
      <c r="E215" s="14">
        <v>0.11459999999999999</v>
      </c>
      <c r="F215" s="14">
        <v>0.16819999999999999</v>
      </c>
      <c r="G215" s="14">
        <v>6.5970000000000001E-2</v>
      </c>
      <c r="H215" s="14">
        <v>18.07</v>
      </c>
      <c r="I215" s="14">
        <v>1021</v>
      </c>
      <c r="J215" s="14">
        <v>0.1099</v>
      </c>
      <c r="M215" s="16">
        <v>1</v>
      </c>
      <c r="O215" s="12">
        <f t="shared" si="9"/>
        <v>0</v>
      </c>
      <c r="P215" s="12">
        <f t="shared" si="10"/>
        <v>1</v>
      </c>
      <c r="R215" s="17">
        <v>-1.4643074708783446</v>
      </c>
      <c r="S215" s="17">
        <v>1.0359333700219733</v>
      </c>
      <c r="T215" s="17">
        <v>0.4503249130137873</v>
      </c>
      <c r="U215" s="17">
        <v>0.47751119115197871</v>
      </c>
      <c r="V215" s="17">
        <v>1.5052132201123889</v>
      </c>
      <c r="W215" s="17">
        <v>-1.2567352733816861</v>
      </c>
      <c r="X215" s="17">
        <v>-1.4659127711484521</v>
      </c>
      <c r="Y215" s="17">
        <v>0.877385815472147</v>
      </c>
      <c r="Z215" s="17">
        <v>1.7463530467411736</v>
      </c>
      <c r="AA215" s="17">
        <v>1.2163845753889837</v>
      </c>
      <c r="AB215" s="17">
        <v>-0.28839333793737798</v>
      </c>
      <c r="AC215" s="17">
        <v>1.0652147513376473</v>
      </c>
      <c r="AD215" s="17">
        <v>-0.81583654438301023</v>
      </c>
      <c r="AE215" s="17">
        <v>1.6894094608623824</v>
      </c>
      <c r="AF215" s="17">
        <v>0.2496334827590041</v>
      </c>
      <c r="AG215" s="17">
        <v>0.29010426800531797</v>
      </c>
      <c r="AH215" s="17">
        <v>0.55723475600471262</v>
      </c>
      <c r="AI215" s="17">
        <v>-1.603629768829455</v>
      </c>
      <c r="AJ215" s="17">
        <v>-0.55690825498325469</v>
      </c>
      <c r="AK215" s="17">
        <v>0.41256201738018505</v>
      </c>
      <c r="AM215" s="17">
        <v>-0.66373544247947958</v>
      </c>
      <c r="AN215" s="17">
        <v>0.66301875457036841</v>
      </c>
      <c r="AO215" s="17">
        <v>0.74469523167694585</v>
      </c>
      <c r="AP215" s="17">
        <v>0.27905437749253026</v>
      </c>
      <c r="AQ215" s="17">
        <v>0.83899680183574066</v>
      </c>
      <c r="AR215" s="17">
        <v>-0.46561523413606531</v>
      </c>
      <c r="AS215" s="17">
        <v>-0.6989141520971367</v>
      </c>
      <c r="AT215" s="17">
        <v>0.84759293800963742</v>
      </c>
      <c r="AU215" s="17">
        <v>0.59638755312832381</v>
      </c>
      <c r="AV215" s="17">
        <v>0.91486479305795454</v>
      </c>
      <c r="AW215" s="17">
        <v>-0.80186728915239525</v>
      </c>
      <c r="AX215" s="17">
        <v>0.89707564531413553</v>
      </c>
      <c r="AY215" s="17">
        <v>-0.65829953288558574</v>
      </c>
      <c r="AZ215" s="17">
        <v>0.84368199534385246</v>
      </c>
      <c r="BA215" s="17">
        <v>0.89785575703776355</v>
      </c>
      <c r="BB215" s="17">
        <v>0.84206076330964408</v>
      </c>
      <c r="BC215" s="17">
        <v>0.29782381893281856</v>
      </c>
      <c r="BD215" s="17">
        <v>-0.90929653536586197</v>
      </c>
      <c r="BE215" s="17">
        <v>-0.37846675686983205</v>
      </c>
      <c r="BF215" s="17">
        <v>-0.19891211953915283</v>
      </c>
      <c r="BK215" s="20">
        <v>0.42634675444631975</v>
      </c>
      <c r="BL215" s="20">
        <v>0.57379479479921003</v>
      </c>
      <c r="BN215" s="21">
        <f t="shared" si="11"/>
        <v>1</v>
      </c>
    </row>
    <row r="216" spans="1:66">
      <c r="A216" s="14">
        <v>14.19</v>
      </c>
      <c r="B216" s="14">
        <v>23.81</v>
      </c>
      <c r="C216" s="14">
        <v>92.87</v>
      </c>
      <c r="D216" s="14">
        <v>610.70000000000005</v>
      </c>
      <c r="E216" s="14">
        <v>0.13059999999999999</v>
      </c>
      <c r="F216" s="14">
        <v>0.1115</v>
      </c>
      <c r="G216" s="14">
        <v>6.4619999999999997E-2</v>
      </c>
      <c r="H216" s="14">
        <v>16.86</v>
      </c>
      <c r="I216" s="14">
        <v>811.3</v>
      </c>
      <c r="J216" s="14">
        <v>0.1772</v>
      </c>
      <c r="M216" s="16">
        <v>1</v>
      </c>
      <c r="O216" s="12">
        <f t="shared" si="9"/>
        <v>0</v>
      </c>
      <c r="P216" s="12">
        <f t="shared" si="10"/>
        <v>1</v>
      </c>
      <c r="R216" s="17">
        <v>-1.4643074708783446</v>
      </c>
      <c r="S216" s="17">
        <v>1.0359333700219733</v>
      </c>
      <c r="T216" s="17">
        <v>0.4503249130137873</v>
      </c>
      <c r="U216" s="17">
        <v>0.47751119115197871</v>
      </c>
      <c r="V216" s="17">
        <v>1.5052132201123889</v>
      </c>
      <c r="W216" s="17">
        <v>-1.2567352733816861</v>
      </c>
      <c r="X216" s="17">
        <v>-1.4659127711484521</v>
      </c>
      <c r="Y216" s="17">
        <v>0.877385815472147</v>
      </c>
      <c r="Z216" s="17">
        <v>1.7463530467411736</v>
      </c>
      <c r="AA216" s="17">
        <v>1.2163845753889837</v>
      </c>
      <c r="AB216" s="17">
        <v>-0.28839333793737798</v>
      </c>
      <c r="AC216" s="17">
        <v>1.0652147513376473</v>
      </c>
      <c r="AD216" s="17">
        <v>-0.81583654438301023</v>
      </c>
      <c r="AE216" s="17">
        <v>1.6894094608623824</v>
      </c>
      <c r="AF216" s="17">
        <v>0.2496334827590041</v>
      </c>
      <c r="AG216" s="17">
        <v>0.29010426800531797</v>
      </c>
      <c r="AH216" s="17">
        <v>0.55723475600471262</v>
      </c>
      <c r="AI216" s="17">
        <v>-1.603629768829455</v>
      </c>
      <c r="AJ216" s="17">
        <v>-0.55690825498325469</v>
      </c>
      <c r="AK216" s="17">
        <v>-1.3628886081202363</v>
      </c>
      <c r="AM216" s="17">
        <v>-0.85483657082561326</v>
      </c>
      <c r="AN216" s="17">
        <v>0.7595790455673368</v>
      </c>
      <c r="AO216" s="17">
        <v>0.59024603391318498</v>
      </c>
      <c r="AP216" s="17">
        <v>0.40188311136016841</v>
      </c>
      <c r="AQ216" s="17">
        <v>0.89948378709333532</v>
      </c>
      <c r="AR216" s="17">
        <v>-0.76979659527799127</v>
      </c>
      <c r="AS216" s="17">
        <v>-0.86209677210162661</v>
      </c>
      <c r="AT216" s="17">
        <v>0.79094257943865476</v>
      </c>
      <c r="AU216" s="17">
        <v>0.88785527203651338</v>
      </c>
      <c r="AV216" s="17">
        <v>0.889381798005207</v>
      </c>
      <c r="AW216" s="17">
        <v>-0.56042877800374735</v>
      </c>
      <c r="AX216" s="17">
        <v>0.85663843162503017</v>
      </c>
      <c r="AY216" s="17">
        <v>-0.690516596697339</v>
      </c>
      <c r="AZ216" s="17">
        <v>0.92099999995106885</v>
      </c>
      <c r="BA216" s="17">
        <v>0.63676027900824195</v>
      </c>
      <c r="BB216" s="17">
        <v>0.59466724706944274</v>
      </c>
      <c r="BC216" s="17">
        <v>0.45097816518389666</v>
      </c>
      <c r="BD216" s="17">
        <v>-0.92980832455968432</v>
      </c>
      <c r="BE216" s="17">
        <v>-0.47967270289336134</v>
      </c>
      <c r="BF216" s="17">
        <v>0.47644540473652275</v>
      </c>
      <c r="BK216" s="20">
        <v>-4.3024488196839517E-2</v>
      </c>
      <c r="BL216" s="20">
        <v>1.0430355904267488</v>
      </c>
      <c r="BN216" s="21">
        <f t="shared" si="11"/>
        <v>1</v>
      </c>
    </row>
    <row r="217" spans="1:66">
      <c r="A217" s="14">
        <v>13.86</v>
      </c>
      <c r="B217" s="14">
        <v>16.93</v>
      </c>
      <c r="C217" s="14">
        <v>90.96</v>
      </c>
      <c r="D217" s="14">
        <v>578.9</v>
      </c>
      <c r="E217" s="14">
        <v>0.1517</v>
      </c>
      <c r="F217" s="14">
        <v>9.9010000000000001E-2</v>
      </c>
      <c r="G217" s="14">
        <v>5.602E-2</v>
      </c>
      <c r="H217" s="14">
        <v>15.75</v>
      </c>
      <c r="I217" s="14">
        <v>750.1</v>
      </c>
      <c r="J217" s="14">
        <v>0.16539999999999999</v>
      </c>
      <c r="M217" s="16">
        <v>1</v>
      </c>
      <c r="O217" s="12">
        <f t="shared" si="9"/>
        <v>0</v>
      </c>
      <c r="P217" s="12">
        <f t="shared" si="10"/>
        <v>1</v>
      </c>
      <c r="R217" s="17">
        <v>-0.86216493245391179</v>
      </c>
      <c r="S217" s="17">
        <v>0.86592397083683859</v>
      </c>
      <c r="T217" s="17">
        <v>1.1492407566427856</v>
      </c>
      <c r="U217" s="17">
        <v>0.30971288832147947</v>
      </c>
      <c r="V217" s="17">
        <v>1.322038261257461</v>
      </c>
      <c r="W217" s="17">
        <v>-0.54000870393571332</v>
      </c>
      <c r="X217" s="17">
        <v>-0.93446499101467595</v>
      </c>
      <c r="Y217" s="17">
        <v>1.3623707400649003</v>
      </c>
      <c r="Z217" s="17">
        <v>0.73556995189170193</v>
      </c>
      <c r="AA217" s="17">
        <v>1.6983871669386827</v>
      </c>
      <c r="AB217" s="17">
        <v>-1.2113068807979621</v>
      </c>
      <c r="AC217" s="17">
        <v>1.5906603286575782</v>
      </c>
      <c r="AD217" s="17">
        <v>-0.8593627097567913</v>
      </c>
      <c r="AE217" s="17">
        <v>1.3374666300864129</v>
      </c>
      <c r="AF217" s="17">
        <v>1.6049118769290147</v>
      </c>
      <c r="AG217" s="17">
        <v>1.3481853892245086</v>
      </c>
      <c r="AH217" s="17">
        <v>0.33128292594394448</v>
      </c>
      <c r="AI217" s="17">
        <v>-1.6572512841003593</v>
      </c>
      <c r="AJ217" s="17">
        <v>-0.4315878441673433</v>
      </c>
      <c r="AK217" s="17">
        <v>0.36873421831381026</v>
      </c>
      <c r="AM217" s="17">
        <v>-0.75499060154420294</v>
      </c>
      <c r="AN217" s="17">
        <v>0.69949531163799417</v>
      </c>
      <c r="AO217" s="17">
        <v>0.71346538655648806</v>
      </c>
      <c r="AP217" s="17">
        <v>0.32746285790716034</v>
      </c>
      <c r="AQ217" s="17">
        <v>0.86201063223308416</v>
      </c>
      <c r="AR217" s="17">
        <v>-0.61208224768243591</v>
      </c>
      <c r="AS217" s="17">
        <v>-0.77506320340617629</v>
      </c>
      <c r="AT217" s="17">
        <v>0.81810599876765211</v>
      </c>
      <c r="AU217" s="17">
        <v>0.75302063466064062</v>
      </c>
      <c r="AV217" s="17">
        <v>0.89948020995496236</v>
      </c>
      <c r="AW217" s="17">
        <v>-0.70889050350123706</v>
      </c>
      <c r="AX217" s="17">
        <v>0.87533052466821071</v>
      </c>
      <c r="AY217" s="17">
        <v>-0.66402103892854725</v>
      </c>
      <c r="AZ217" s="17">
        <v>0.87714017419106238</v>
      </c>
      <c r="BA217" s="17">
        <v>0.81279140851794007</v>
      </c>
      <c r="BB217" s="17">
        <v>0.75143966607154178</v>
      </c>
      <c r="BC217" s="17">
        <v>0.35988048529935274</v>
      </c>
      <c r="BD217" s="17">
        <v>-0.91399254751878234</v>
      </c>
      <c r="BE217" s="17">
        <v>-0.41630267413694949</v>
      </c>
      <c r="BF217" s="17">
        <v>0.30630031761521498</v>
      </c>
      <c r="BK217" s="20">
        <v>-3.6534400786150129E-3</v>
      </c>
      <c r="BL217" s="20">
        <v>1.0037014958302182</v>
      </c>
      <c r="BN217" s="21">
        <f t="shared" si="11"/>
        <v>1</v>
      </c>
    </row>
    <row r="218" spans="1:66">
      <c r="A218" s="14">
        <v>11.89</v>
      </c>
      <c r="B218" s="14">
        <v>18.350000000000001</v>
      </c>
      <c r="C218" s="14">
        <v>77.319999999999993</v>
      </c>
      <c r="D218" s="14">
        <v>432.2</v>
      </c>
      <c r="E218" s="14">
        <v>0.1154</v>
      </c>
      <c r="F218" s="14">
        <v>6.6360000000000002E-2</v>
      </c>
      <c r="G218" s="14">
        <v>3.1419999999999997E-2</v>
      </c>
      <c r="H218" s="14">
        <v>13.25</v>
      </c>
      <c r="I218" s="14">
        <v>531.20000000000005</v>
      </c>
      <c r="J218" s="14">
        <v>0.1138</v>
      </c>
      <c r="M218" s="16">
        <v>0</v>
      </c>
      <c r="O218" s="12">
        <f t="shared" si="9"/>
        <v>1</v>
      </c>
      <c r="P218" s="12">
        <f t="shared" si="10"/>
        <v>0</v>
      </c>
      <c r="R218" s="17">
        <v>-1.4643074708783446</v>
      </c>
      <c r="S218" s="17">
        <v>1.0359333700219733</v>
      </c>
      <c r="T218" s="17">
        <v>0.4503249130137873</v>
      </c>
      <c r="U218" s="17">
        <v>0.47751119115197871</v>
      </c>
      <c r="V218" s="17">
        <v>1.5052132201123889</v>
      </c>
      <c r="W218" s="17">
        <v>-1.2567352733816861</v>
      </c>
      <c r="X218" s="17">
        <v>-1.4659127711484521</v>
      </c>
      <c r="Y218" s="17">
        <v>0.877385815472147</v>
      </c>
      <c r="Z218" s="17">
        <v>1.7463530467411736</v>
      </c>
      <c r="AA218" s="17">
        <v>1.2163845753889837</v>
      </c>
      <c r="AB218" s="17">
        <v>-0.28839333793737798</v>
      </c>
      <c r="AC218" s="17">
        <v>1.0652147513376473</v>
      </c>
      <c r="AD218" s="17">
        <v>-0.81583654438301023</v>
      </c>
      <c r="AE218" s="17">
        <v>1.6894094608623824</v>
      </c>
      <c r="AF218" s="17">
        <v>0.2496334827590041</v>
      </c>
      <c r="AG218" s="17">
        <v>0.29010426800531797</v>
      </c>
      <c r="AH218" s="17">
        <v>0.55723475600471262</v>
      </c>
      <c r="AI218" s="17">
        <v>-1.603629768829455</v>
      </c>
      <c r="AJ218" s="17">
        <v>-0.55690825498325469</v>
      </c>
      <c r="AK218" s="17">
        <v>0.41256201738018505</v>
      </c>
      <c r="AM218" s="17">
        <v>-0.68171176864934624</v>
      </c>
      <c r="AN218" s="17">
        <v>0.69458391048695656</v>
      </c>
      <c r="AO218" s="17">
        <v>0.82677043706561448</v>
      </c>
      <c r="AP218" s="17">
        <v>0.29251090341013453</v>
      </c>
      <c r="AQ218" s="17">
        <v>0.86470597223972745</v>
      </c>
      <c r="AR218" s="17">
        <v>-0.46607195803332629</v>
      </c>
      <c r="AS218" s="17">
        <v>-0.72012570683057842</v>
      </c>
      <c r="AT218" s="17">
        <v>0.88184241688311049</v>
      </c>
      <c r="AU218" s="17">
        <v>0.59559056026378043</v>
      </c>
      <c r="AV218" s="17">
        <v>0.93779927180269596</v>
      </c>
      <c r="AW218" s="17">
        <v>-0.84942510909028668</v>
      </c>
      <c r="AX218" s="17">
        <v>0.92374190426603009</v>
      </c>
      <c r="AY218" s="17">
        <v>-0.69648095328528614</v>
      </c>
      <c r="AZ218" s="17">
        <v>0.86654259085898466</v>
      </c>
      <c r="BA218" s="17">
        <v>0.93127820179678178</v>
      </c>
      <c r="BB218" s="17">
        <v>0.88476148026531676</v>
      </c>
      <c r="BC218" s="17">
        <v>0.3095692711644828</v>
      </c>
      <c r="BD218" s="17">
        <v>-0.929928909759139</v>
      </c>
      <c r="BE218" s="17">
        <v>-0.40119782489580613</v>
      </c>
      <c r="BF218" s="17">
        <v>0.29233136608050569</v>
      </c>
      <c r="BK218" s="20">
        <v>0.54816908402392728</v>
      </c>
      <c r="BL218" s="20">
        <v>0.45178743079761163</v>
      </c>
      <c r="BN218" s="21">
        <f t="shared" si="11"/>
        <v>0</v>
      </c>
    </row>
    <row r="219" spans="1:66">
      <c r="A219" s="14">
        <v>10.199999999999999</v>
      </c>
      <c r="B219" s="14">
        <v>17.48</v>
      </c>
      <c r="C219" s="14">
        <v>65.05</v>
      </c>
      <c r="D219" s="14">
        <v>321.2</v>
      </c>
      <c r="E219" s="14">
        <v>5.9069999999999998E-2</v>
      </c>
      <c r="F219" s="14">
        <v>5.774E-2</v>
      </c>
      <c r="G219" s="14">
        <v>1.0710000000000001E-2</v>
      </c>
      <c r="H219" s="14">
        <v>11.48</v>
      </c>
      <c r="I219" s="14">
        <v>403.7</v>
      </c>
      <c r="J219" s="14">
        <v>3.5709999999999999E-2</v>
      </c>
      <c r="M219" s="16">
        <v>0</v>
      </c>
      <c r="O219" s="12">
        <f t="shared" si="9"/>
        <v>1</v>
      </c>
      <c r="P219" s="12">
        <f t="shared" si="10"/>
        <v>0</v>
      </c>
      <c r="R219" s="17">
        <v>-0.86216493245391179</v>
      </c>
      <c r="S219" s="17">
        <v>0.86592397083683859</v>
      </c>
      <c r="T219" s="17">
        <v>1.1492407566427856</v>
      </c>
      <c r="U219" s="17">
        <v>0.30971288832147947</v>
      </c>
      <c r="V219" s="17">
        <v>1.322038261257461</v>
      </c>
      <c r="W219" s="17">
        <v>-0.54000870393571332</v>
      </c>
      <c r="X219" s="17">
        <v>-0.93446499101467595</v>
      </c>
      <c r="Y219" s="17">
        <v>1.3623707400649003</v>
      </c>
      <c r="Z219" s="17">
        <v>0.73556995189170193</v>
      </c>
      <c r="AA219" s="17">
        <v>1.6983871669386827</v>
      </c>
      <c r="AB219" s="17">
        <v>-1.2113068807979621</v>
      </c>
      <c r="AC219" s="17">
        <v>1.5906603286575782</v>
      </c>
      <c r="AD219" s="17">
        <v>-0.8593627097567913</v>
      </c>
      <c r="AE219" s="17">
        <v>1.3374666300864129</v>
      </c>
      <c r="AF219" s="17">
        <v>1.6049118769290147</v>
      </c>
      <c r="AG219" s="17">
        <v>1.3481853892245086</v>
      </c>
      <c r="AH219" s="17">
        <v>0.33128292594394448</v>
      </c>
      <c r="AI219" s="17">
        <v>-1.6572512841003593</v>
      </c>
      <c r="AJ219" s="17">
        <v>-0.4315878441673433</v>
      </c>
      <c r="AK219" s="17">
        <v>-1.6303218115250875</v>
      </c>
      <c r="AM219" s="17">
        <v>-0.69261622637827003</v>
      </c>
      <c r="AN219" s="17">
        <v>0.70460748535199469</v>
      </c>
      <c r="AO219" s="17">
        <v>0.82963828595028599</v>
      </c>
      <c r="AP219" s="17">
        <v>0.29916969866284782</v>
      </c>
      <c r="AQ219" s="17">
        <v>0.87202808660523934</v>
      </c>
      <c r="AR219" s="17">
        <v>-0.47681580799941842</v>
      </c>
      <c r="AS219" s="17">
        <v>-0.7305886919797786</v>
      </c>
      <c r="AT219" s="17">
        <v>0.8881187093207672</v>
      </c>
      <c r="AU219" s="17">
        <v>0.6076528876538555</v>
      </c>
      <c r="AV219" s="17">
        <v>0.94204137404419908</v>
      </c>
      <c r="AW219" s="17">
        <v>-0.85610208331856308</v>
      </c>
      <c r="AX219" s="17">
        <v>0.92856393736690002</v>
      </c>
      <c r="AY219" s="17">
        <v>-0.7061049531377388</v>
      </c>
      <c r="AZ219" s="17">
        <v>0.87395545943741082</v>
      </c>
      <c r="BA219" s="17">
        <v>0.93541276305460164</v>
      </c>
      <c r="BB219" s="17">
        <v>0.89052218760543544</v>
      </c>
      <c r="BC219" s="17">
        <v>0.31671733591992296</v>
      </c>
      <c r="BD219" s="17">
        <v>-0.93471364264746304</v>
      </c>
      <c r="BE219" s="17">
        <v>-0.40946297953483007</v>
      </c>
      <c r="BF219" s="17">
        <v>0.15924782850003383</v>
      </c>
      <c r="BK219" s="20">
        <v>-3.9596167656671073E-2</v>
      </c>
      <c r="BL219" s="20">
        <v>1.0395997279592903</v>
      </c>
      <c r="BN219" s="21">
        <f t="shared" si="11"/>
        <v>1</v>
      </c>
    </row>
    <row r="220" spans="1:66">
      <c r="A220" s="14">
        <v>19.8</v>
      </c>
      <c r="B220" s="14">
        <v>21.56</v>
      </c>
      <c r="C220" s="14">
        <v>129.69999999999999</v>
      </c>
      <c r="D220" s="14">
        <v>1230</v>
      </c>
      <c r="E220" s="14">
        <v>0.13059999999999999</v>
      </c>
      <c r="F220" s="14">
        <v>0.12720000000000001</v>
      </c>
      <c r="G220" s="14">
        <v>8.6910000000000001E-2</v>
      </c>
      <c r="H220" s="14">
        <v>25.73</v>
      </c>
      <c r="I220" s="14">
        <v>2009</v>
      </c>
      <c r="J220" s="14">
        <v>0.182</v>
      </c>
      <c r="M220" s="16">
        <v>1</v>
      </c>
      <c r="O220" s="12">
        <f t="shared" si="9"/>
        <v>0</v>
      </c>
      <c r="P220" s="12">
        <f t="shared" si="10"/>
        <v>1</v>
      </c>
      <c r="R220" s="17">
        <v>-1.4643074708783446</v>
      </c>
      <c r="S220" s="17">
        <v>1.0359333700219733</v>
      </c>
      <c r="T220" s="17">
        <v>0.4503249130137873</v>
      </c>
      <c r="U220" s="17">
        <v>0.47751119115197871</v>
      </c>
      <c r="V220" s="17">
        <v>1.5052132201123889</v>
      </c>
      <c r="W220" s="17">
        <v>-1.2567352733816861</v>
      </c>
      <c r="X220" s="17">
        <v>-1.4659127711484521</v>
      </c>
      <c r="Y220" s="17">
        <v>0.877385815472147</v>
      </c>
      <c r="Z220" s="17">
        <v>1.7463530467411736</v>
      </c>
      <c r="AA220" s="17">
        <v>1.2163845753889837</v>
      </c>
      <c r="AB220" s="17">
        <v>-0.28839333793737798</v>
      </c>
      <c r="AC220" s="17">
        <v>1.0652147513376473</v>
      </c>
      <c r="AD220" s="17">
        <v>-0.81583654438301023</v>
      </c>
      <c r="AE220" s="17">
        <v>1.6894094608623824</v>
      </c>
      <c r="AF220" s="17">
        <v>0.2496334827590041</v>
      </c>
      <c r="AG220" s="17">
        <v>0.29010426800531797</v>
      </c>
      <c r="AH220" s="17">
        <v>0.55723475600471262</v>
      </c>
      <c r="AI220" s="17">
        <v>-1.603629768829455</v>
      </c>
      <c r="AJ220" s="17">
        <v>-0.55690825498325469</v>
      </c>
      <c r="AK220" s="17">
        <v>0.41256201738018505</v>
      </c>
      <c r="AM220" s="17">
        <v>-0.82567514177480783</v>
      </c>
      <c r="AN220" s="17">
        <v>0.78491116547654671</v>
      </c>
      <c r="AO220" s="17">
        <v>0.82573659079993511</v>
      </c>
      <c r="AP220" s="17">
        <v>0.38704514613421886</v>
      </c>
      <c r="AQ220" s="17">
        <v>0.92076049040217378</v>
      </c>
      <c r="AR220" s="17">
        <v>-0.68071849952519592</v>
      </c>
      <c r="AS220" s="17">
        <v>-0.84517404331377954</v>
      </c>
      <c r="AT220" s="17">
        <v>0.896555094948986</v>
      </c>
      <c r="AU220" s="17">
        <v>0.81469488997840189</v>
      </c>
      <c r="AV220" s="17">
        <v>0.95149502650818363</v>
      </c>
      <c r="AW220" s="17">
        <v>-0.81964145361265062</v>
      </c>
      <c r="AX220" s="17">
        <v>0.93658452394046565</v>
      </c>
      <c r="AY220" s="17">
        <v>-0.75766714246751998</v>
      </c>
      <c r="AZ220" s="17">
        <v>0.93010411373556623</v>
      </c>
      <c r="BA220" s="17">
        <v>0.90410447359423829</v>
      </c>
      <c r="BB220" s="17">
        <v>0.85586930898657876</v>
      </c>
      <c r="BC220" s="17">
        <v>0.42168593482310146</v>
      </c>
      <c r="BD220" s="17">
        <v>-0.95783739708242421</v>
      </c>
      <c r="BE220" s="17">
        <v>-0.49198753692172376</v>
      </c>
      <c r="BF220" s="17">
        <v>-0.56005152131878222</v>
      </c>
      <c r="BK220" s="20">
        <v>0.1171589118023911</v>
      </c>
      <c r="BL220" s="20">
        <v>0.883216213584754</v>
      </c>
      <c r="BN220" s="21">
        <f t="shared" si="11"/>
        <v>1</v>
      </c>
    </row>
    <row r="221" spans="1:66">
      <c r="A221" s="14">
        <v>19.53</v>
      </c>
      <c r="B221" s="14">
        <v>32.47</v>
      </c>
      <c r="C221" s="14">
        <v>128</v>
      </c>
      <c r="D221" s="14">
        <v>1223</v>
      </c>
      <c r="E221" s="14">
        <v>0.113</v>
      </c>
      <c r="F221" s="14">
        <v>0.1145</v>
      </c>
      <c r="G221" s="14">
        <v>6.6369999999999998E-2</v>
      </c>
      <c r="H221" s="14">
        <v>27.9</v>
      </c>
      <c r="I221" s="14">
        <v>2477</v>
      </c>
      <c r="J221" s="14">
        <v>0.16250000000000001</v>
      </c>
      <c r="M221" s="16">
        <v>1</v>
      </c>
      <c r="O221" s="12">
        <f t="shared" si="9"/>
        <v>0</v>
      </c>
      <c r="P221" s="12">
        <f t="shared" si="10"/>
        <v>1</v>
      </c>
      <c r="R221" s="17">
        <v>-0.86216493245391179</v>
      </c>
      <c r="S221" s="17">
        <v>0.86592397083683859</v>
      </c>
      <c r="T221" s="17">
        <v>1.1492407566427856</v>
      </c>
      <c r="U221" s="17">
        <v>0.30971288832147947</v>
      </c>
      <c r="V221" s="17">
        <v>1.322038261257461</v>
      </c>
      <c r="W221" s="17">
        <v>-0.54000870393571332</v>
      </c>
      <c r="X221" s="17">
        <v>-0.93446499101467595</v>
      </c>
      <c r="Y221" s="17">
        <v>1.3623707400649003</v>
      </c>
      <c r="Z221" s="17">
        <v>0.73556995189170193</v>
      </c>
      <c r="AA221" s="17">
        <v>1.6983871669386827</v>
      </c>
      <c r="AB221" s="17">
        <v>-1.2113068807979621</v>
      </c>
      <c r="AC221" s="17">
        <v>1.5906603286575782</v>
      </c>
      <c r="AD221" s="17">
        <v>-0.8593627097567913</v>
      </c>
      <c r="AE221" s="17">
        <v>1.3374666300864129</v>
      </c>
      <c r="AF221" s="17">
        <v>1.6049118769290147</v>
      </c>
      <c r="AG221" s="17">
        <v>1.3481853892245086</v>
      </c>
      <c r="AH221" s="17">
        <v>0.33128292594394448</v>
      </c>
      <c r="AI221" s="17">
        <v>-1.6572512841003593</v>
      </c>
      <c r="AJ221" s="17">
        <v>-0.4315878441673433</v>
      </c>
      <c r="AK221" s="17">
        <v>0.36873418580412454</v>
      </c>
      <c r="AM221" s="17">
        <v>-0.74345910464052578</v>
      </c>
      <c r="AN221" s="17">
        <v>0.72067322038026338</v>
      </c>
      <c r="AO221" s="17">
        <v>0.81487734057112715</v>
      </c>
      <c r="AP221" s="17">
        <v>0.32591689739061835</v>
      </c>
      <c r="AQ221" s="17">
        <v>0.88061643426943015</v>
      </c>
      <c r="AR221" s="17">
        <v>-0.56610586661796614</v>
      </c>
      <c r="AS221" s="17">
        <v>-0.77135382767358651</v>
      </c>
      <c r="AT221" s="17">
        <v>0.87118106215426172</v>
      </c>
      <c r="AU221" s="17">
        <v>0.70562578770485929</v>
      </c>
      <c r="AV221" s="17">
        <v>0.93324784321249543</v>
      </c>
      <c r="AW221" s="17">
        <v>-0.81078549365335484</v>
      </c>
      <c r="AX221" s="17">
        <v>0.91657293873324053</v>
      </c>
      <c r="AY221" s="17">
        <v>-0.70447737682623424</v>
      </c>
      <c r="AZ221" s="17">
        <v>0.88855611279724178</v>
      </c>
      <c r="BA221" s="17">
        <v>0.90147532458630564</v>
      </c>
      <c r="BB221" s="17">
        <v>0.84916327521141988</v>
      </c>
      <c r="BC221" s="17">
        <v>0.35180986087764216</v>
      </c>
      <c r="BD221" s="17">
        <v>-0.9345676922647097</v>
      </c>
      <c r="BE221" s="17">
        <v>-0.42849802885203936</v>
      </c>
      <c r="BF221" s="17">
        <v>0.35717099425581927</v>
      </c>
      <c r="BK221" s="20">
        <v>6.5076108033528729E-2</v>
      </c>
      <c r="BL221" s="20">
        <v>0.93496909766166658</v>
      </c>
      <c r="BN221" s="21">
        <f t="shared" si="11"/>
        <v>1</v>
      </c>
    </row>
    <row r="222" spans="1:66">
      <c r="A222" s="14">
        <v>13.65</v>
      </c>
      <c r="B222" s="14">
        <v>13.16</v>
      </c>
      <c r="C222" s="14">
        <v>87.88</v>
      </c>
      <c r="D222" s="14">
        <v>568.9</v>
      </c>
      <c r="E222" s="14">
        <v>8.7110000000000007E-2</v>
      </c>
      <c r="F222" s="14">
        <v>3.8879999999999998E-2</v>
      </c>
      <c r="G222" s="14">
        <v>2.563E-2</v>
      </c>
      <c r="H222" s="14">
        <v>15.34</v>
      </c>
      <c r="I222" s="14">
        <v>706.2</v>
      </c>
      <c r="J222" s="14">
        <v>8.0560000000000007E-2</v>
      </c>
      <c r="M222" s="16">
        <v>0</v>
      </c>
      <c r="O222" s="12">
        <f t="shared" si="9"/>
        <v>1</v>
      </c>
      <c r="P222" s="12">
        <f t="shared" si="10"/>
        <v>0</v>
      </c>
      <c r="R222" s="17">
        <v>-0.86216493245391179</v>
      </c>
      <c r="S222" s="17">
        <v>0.86592397083683859</v>
      </c>
      <c r="T222" s="17">
        <v>1.1492407566427856</v>
      </c>
      <c r="U222" s="17">
        <v>0.30971288832147947</v>
      </c>
      <c r="V222" s="17">
        <v>1.322038261257461</v>
      </c>
      <c r="W222" s="17">
        <v>-0.54000870393571332</v>
      </c>
      <c r="X222" s="17">
        <v>-0.93446499101467595</v>
      </c>
      <c r="Y222" s="17">
        <v>1.3623707400649003</v>
      </c>
      <c r="Z222" s="17">
        <v>0.73556995189170193</v>
      </c>
      <c r="AA222" s="17">
        <v>1.6983871669386827</v>
      </c>
      <c r="AB222" s="17">
        <v>-1.2113068807979621</v>
      </c>
      <c r="AC222" s="17">
        <v>1.5906603286575782</v>
      </c>
      <c r="AD222" s="17">
        <v>-0.8593627097567913</v>
      </c>
      <c r="AE222" s="17">
        <v>1.3374666300864129</v>
      </c>
      <c r="AF222" s="17">
        <v>1.6049118769290147</v>
      </c>
      <c r="AG222" s="17">
        <v>1.3481853892245086</v>
      </c>
      <c r="AH222" s="17">
        <v>0.33128292594394448</v>
      </c>
      <c r="AI222" s="17">
        <v>-1.6572512841003593</v>
      </c>
      <c r="AJ222" s="17">
        <v>-0.4315878441673433</v>
      </c>
      <c r="AK222" s="17">
        <v>0.36873422441288028</v>
      </c>
      <c r="AM222" s="17">
        <v>-0.58973061595536846</v>
      </c>
      <c r="AN222" s="17">
        <v>0.64987596381886303</v>
      </c>
      <c r="AO222" s="17">
        <v>0.83456883386435365</v>
      </c>
      <c r="AP222" s="17">
        <v>0.24855625477395416</v>
      </c>
      <c r="AQ222" s="17">
        <v>0.83366040848650957</v>
      </c>
      <c r="AR222" s="17">
        <v>-0.33644965228825519</v>
      </c>
      <c r="AS222" s="17">
        <v>-0.64136782793337366</v>
      </c>
      <c r="AT222" s="17">
        <v>0.88176871521734768</v>
      </c>
      <c r="AU222" s="17">
        <v>0.43766258789143786</v>
      </c>
      <c r="AV222" s="17">
        <v>0.93518054006159346</v>
      </c>
      <c r="AW222" s="17">
        <v>-0.87108093644000439</v>
      </c>
      <c r="AX222" s="17">
        <v>0.92265813369159388</v>
      </c>
      <c r="AY222" s="17">
        <v>-0.6726296827017062</v>
      </c>
      <c r="AZ222" s="17">
        <v>0.8267121251446925</v>
      </c>
      <c r="BA222" s="17">
        <v>0.94691747442160046</v>
      </c>
      <c r="BB222" s="17">
        <v>0.90431812898999298</v>
      </c>
      <c r="BC222" s="17">
        <v>0.25561749608897083</v>
      </c>
      <c r="BD222" s="17">
        <v>-0.91640407930581935</v>
      </c>
      <c r="BE222" s="17">
        <v>-0.36049518796428542</v>
      </c>
      <c r="BF222" s="17">
        <v>0.22007424511355814</v>
      </c>
      <c r="BK222" s="20">
        <v>0.61549373825958342</v>
      </c>
      <c r="BL222" s="20">
        <v>0.38447635807314084</v>
      </c>
      <c r="BN222" s="21">
        <f t="shared" si="11"/>
        <v>0</v>
      </c>
    </row>
    <row r="223" spans="1:66">
      <c r="A223" s="14">
        <v>13.56</v>
      </c>
      <c r="B223" s="14">
        <v>13.9</v>
      </c>
      <c r="C223" s="14">
        <v>88.59</v>
      </c>
      <c r="D223" s="14">
        <v>561.29999999999995</v>
      </c>
      <c r="E223" s="14">
        <v>0.1192</v>
      </c>
      <c r="F223" s="14">
        <v>7.8600000000000003E-2</v>
      </c>
      <c r="G223" s="14">
        <v>4.4510000000000001E-2</v>
      </c>
      <c r="H223" s="14">
        <v>14.98</v>
      </c>
      <c r="I223" s="14">
        <v>686.6</v>
      </c>
      <c r="J223" s="14">
        <v>9.0899999999999995E-2</v>
      </c>
      <c r="M223" s="16">
        <v>0</v>
      </c>
      <c r="O223" s="12">
        <f t="shared" si="9"/>
        <v>1</v>
      </c>
      <c r="P223" s="12">
        <f t="shared" si="10"/>
        <v>0</v>
      </c>
      <c r="R223" s="17">
        <v>-0.86216493245391179</v>
      </c>
      <c r="S223" s="17">
        <v>0.86592397083683859</v>
      </c>
      <c r="T223" s="17">
        <v>1.1492407566427856</v>
      </c>
      <c r="U223" s="17">
        <v>0.30971288832147947</v>
      </c>
      <c r="V223" s="17">
        <v>1.322038261257461</v>
      </c>
      <c r="W223" s="17">
        <v>-0.54000870393571332</v>
      </c>
      <c r="X223" s="17">
        <v>-0.93446499101467595</v>
      </c>
      <c r="Y223" s="17">
        <v>1.3623707400649003</v>
      </c>
      <c r="Z223" s="17">
        <v>0.73556995189170193</v>
      </c>
      <c r="AA223" s="17">
        <v>1.6983871669386827</v>
      </c>
      <c r="AB223" s="17">
        <v>-1.2113068807979621</v>
      </c>
      <c r="AC223" s="17">
        <v>1.5906603286575782</v>
      </c>
      <c r="AD223" s="17">
        <v>-0.8593627097567913</v>
      </c>
      <c r="AE223" s="17">
        <v>1.3374666300864129</v>
      </c>
      <c r="AF223" s="17">
        <v>1.6049118769290147</v>
      </c>
      <c r="AG223" s="17">
        <v>1.3481853892245086</v>
      </c>
      <c r="AH223" s="17">
        <v>0.33128292594394448</v>
      </c>
      <c r="AI223" s="17">
        <v>-1.6572512841003593</v>
      </c>
      <c r="AJ223" s="17">
        <v>-0.4315878441673433</v>
      </c>
      <c r="AK223" s="17">
        <v>0.36873422441269288</v>
      </c>
      <c r="AM223" s="17">
        <v>-0.85979222298192015</v>
      </c>
      <c r="AN223" s="17">
        <v>0.75165873908718805</v>
      </c>
      <c r="AO223" s="17">
        <v>0.45388973848089187</v>
      </c>
      <c r="AP223" s="17">
        <v>0.40402954510491834</v>
      </c>
      <c r="AQ223" s="17">
        <v>0.89264178316134357</v>
      </c>
      <c r="AR223" s="17">
        <v>-0.78590601691879081</v>
      </c>
      <c r="AS223" s="17">
        <v>-0.86461427384656919</v>
      </c>
      <c r="AT223" s="17">
        <v>0.75325441076513122</v>
      </c>
      <c r="AU223" s="17">
        <v>0.89962332344020557</v>
      </c>
      <c r="AV223" s="17">
        <v>0.86500518888184796</v>
      </c>
      <c r="AW223" s="17">
        <v>-0.46853726635237775</v>
      </c>
      <c r="AX223" s="17">
        <v>0.82583498086933638</v>
      </c>
      <c r="AY223" s="17">
        <v>-0.6709327557193856</v>
      </c>
      <c r="AZ223" s="17">
        <v>0.91777266547453973</v>
      </c>
      <c r="BA223" s="17">
        <v>0.51930671951152085</v>
      </c>
      <c r="BB223" s="17">
        <v>0.49509876164067251</v>
      </c>
      <c r="BC223" s="17">
        <v>0.45631657110692347</v>
      </c>
      <c r="BD223" s="17">
        <v>-0.92002226585642244</v>
      </c>
      <c r="BE223" s="17">
        <v>-0.47525301623102972</v>
      </c>
      <c r="BF223" s="17">
        <v>-0.36251517113118964</v>
      </c>
      <c r="BK223" s="20">
        <v>0.51493042624889662</v>
      </c>
      <c r="BL223" s="20">
        <v>0.48506816799215752</v>
      </c>
      <c r="BN223" s="21">
        <f t="shared" si="11"/>
        <v>0</v>
      </c>
    </row>
    <row r="224" spans="1:66">
      <c r="A224" s="14">
        <v>10.18</v>
      </c>
      <c r="B224" s="14">
        <v>17.53</v>
      </c>
      <c r="C224" s="14">
        <v>65.12</v>
      </c>
      <c r="D224" s="14">
        <v>313.10000000000002</v>
      </c>
      <c r="E224" s="14">
        <v>8.5019999999999998E-2</v>
      </c>
      <c r="F224" s="14">
        <v>1.7680000000000001E-2</v>
      </c>
      <c r="G224" s="14">
        <v>1.915E-2</v>
      </c>
      <c r="H224" s="14">
        <v>11.17</v>
      </c>
      <c r="I224" s="14">
        <v>375.6</v>
      </c>
      <c r="J224" s="14">
        <v>5.5750000000000001E-2</v>
      </c>
      <c r="M224" s="16">
        <v>0</v>
      </c>
      <c r="O224" s="12">
        <f t="shared" si="9"/>
        <v>1</v>
      </c>
      <c r="P224" s="12">
        <f t="shared" si="10"/>
        <v>0</v>
      </c>
      <c r="R224" s="17">
        <v>-1.4643074708783446</v>
      </c>
      <c r="S224" s="17">
        <v>1.0359333700219733</v>
      </c>
      <c r="T224" s="17">
        <v>0.4503249130137873</v>
      </c>
      <c r="U224" s="17">
        <v>0.47751119115197871</v>
      </c>
      <c r="V224" s="17">
        <v>1.5052132201123889</v>
      </c>
      <c r="W224" s="17">
        <v>-1.2567352733816861</v>
      </c>
      <c r="X224" s="17">
        <v>-1.4659127711484521</v>
      </c>
      <c r="Y224" s="17">
        <v>0.877385815472147</v>
      </c>
      <c r="Z224" s="17">
        <v>1.7463530467411736</v>
      </c>
      <c r="AA224" s="17">
        <v>1.2163845753889837</v>
      </c>
      <c r="AB224" s="17">
        <v>-0.28839333793737798</v>
      </c>
      <c r="AC224" s="17">
        <v>1.0652147513376473</v>
      </c>
      <c r="AD224" s="17">
        <v>-0.81583654438301023</v>
      </c>
      <c r="AE224" s="17">
        <v>1.6894094608623824</v>
      </c>
      <c r="AF224" s="17">
        <v>0.2496334827590041</v>
      </c>
      <c r="AG224" s="17">
        <v>0.29010426800531797</v>
      </c>
      <c r="AH224" s="17">
        <v>0.55723475600471262</v>
      </c>
      <c r="AI224" s="17">
        <v>-1.603629768829455</v>
      </c>
      <c r="AJ224" s="17">
        <v>-0.55690825498325469</v>
      </c>
      <c r="AK224" s="17">
        <v>0.41256201738018505</v>
      </c>
      <c r="AM224" s="17">
        <v>-0.83986441594389971</v>
      </c>
      <c r="AN224" s="17">
        <v>0.76026367327240807</v>
      </c>
      <c r="AO224" s="17">
        <v>0.7335014889912892</v>
      </c>
      <c r="AP224" s="17">
        <v>0.39096689965289932</v>
      </c>
      <c r="AQ224" s="17">
        <v>0.90177546075127835</v>
      </c>
      <c r="AR224" s="17">
        <v>-0.73687272680097804</v>
      </c>
      <c r="AS224" s="17">
        <v>-0.85084116424449452</v>
      </c>
      <c r="AT224" s="17">
        <v>0.82480323864294092</v>
      </c>
      <c r="AU224" s="17">
        <v>0.86262369341174538</v>
      </c>
      <c r="AV224" s="17">
        <v>0.90961165209021388</v>
      </c>
      <c r="AW224" s="17">
        <v>-0.65415343301130191</v>
      </c>
      <c r="AX224" s="17">
        <v>0.88306172401572303</v>
      </c>
      <c r="AY224" s="17">
        <v>-0.70511131360951274</v>
      </c>
      <c r="AZ224" s="17">
        <v>0.91965394329348216</v>
      </c>
      <c r="BA224" s="17">
        <v>0.74736715397707365</v>
      </c>
      <c r="BB224" s="17">
        <v>0.69350257884681388</v>
      </c>
      <c r="BC224" s="17">
        <v>0.43512129951544637</v>
      </c>
      <c r="BD224" s="17">
        <v>-0.93640248170489815</v>
      </c>
      <c r="BE224" s="17">
        <v>-0.47633567613957756</v>
      </c>
      <c r="BF224" s="17">
        <v>0.43711687892191248</v>
      </c>
      <c r="BK224" s="20">
        <v>0.95952536587548232</v>
      </c>
      <c r="BL224" s="20">
        <v>4.0763992539508333E-2</v>
      </c>
      <c r="BN224" s="21">
        <f t="shared" si="11"/>
        <v>0</v>
      </c>
    </row>
    <row r="225" spans="1:66">
      <c r="A225" s="14">
        <v>15.75</v>
      </c>
      <c r="B225" s="14">
        <v>20.25</v>
      </c>
      <c r="C225" s="14">
        <v>102.6</v>
      </c>
      <c r="D225" s="14">
        <v>761.3</v>
      </c>
      <c r="E225" s="14">
        <v>0.12039999999999999</v>
      </c>
      <c r="F225" s="14">
        <v>0.1147</v>
      </c>
      <c r="G225" s="14">
        <v>6.4619999999999997E-2</v>
      </c>
      <c r="H225" s="14">
        <v>19.559999999999999</v>
      </c>
      <c r="I225" s="14">
        <v>1088</v>
      </c>
      <c r="J225" s="14">
        <v>0.1479</v>
      </c>
      <c r="M225" s="16">
        <v>1</v>
      </c>
      <c r="O225" s="12">
        <f t="shared" si="9"/>
        <v>0</v>
      </c>
      <c r="P225" s="12">
        <f t="shared" si="10"/>
        <v>1</v>
      </c>
      <c r="R225" s="17">
        <v>-0.86216493245391179</v>
      </c>
      <c r="S225" s="17">
        <v>0.86592397083683859</v>
      </c>
      <c r="T225" s="17">
        <v>1.1492407566427856</v>
      </c>
      <c r="U225" s="17">
        <v>0.30971288832147947</v>
      </c>
      <c r="V225" s="17">
        <v>1.322038261257461</v>
      </c>
      <c r="W225" s="17">
        <v>-0.54000870393571332</v>
      </c>
      <c r="X225" s="17">
        <v>-0.93446499101467595</v>
      </c>
      <c r="Y225" s="17">
        <v>1.3623707400649003</v>
      </c>
      <c r="Z225" s="17">
        <v>0.73556995189170193</v>
      </c>
      <c r="AA225" s="17">
        <v>1.6983871669386827</v>
      </c>
      <c r="AB225" s="17">
        <v>-1.2113068807979621</v>
      </c>
      <c r="AC225" s="17">
        <v>1.5906603286575782</v>
      </c>
      <c r="AD225" s="17">
        <v>-0.8593627097567913</v>
      </c>
      <c r="AE225" s="17">
        <v>1.3374666300864129</v>
      </c>
      <c r="AF225" s="17">
        <v>1.6049118769290147</v>
      </c>
      <c r="AG225" s="17">
        <v>1.3481853892245086</v>
      </c>
      <c r="AH225" s="17">
        <v>0.33128292594394448</v>
      </c>
      <c r="AI225" s="17">
        <v>-1.6572512841003593</v>
      </c>
      <c r="AJ225" s="17">
        <v>-0.4315878441673433</v>
      </c>
      <c r="AK225" s="17">
        <v>0.36873422441298942</v>
      </c>
      <c r="AM225" s="17">
        <v>-0.72773220873763944</v>
      </c>
      <c r="AN225" s="17">
        <v>0.70635636498295662</v>
      </c>
      <c r="AO225" s="17">
        <v>0.79554754396868799</v>
      </c>
      <c r="AP225" s="17">
        <v>0.31539546210639929</v>
      </c>
      <c r="AQ225" s="17">
        <v>0.87044083300225861</v>
      </c>
      <c r="AR225" s="17">
        <v>-0.54847305743399366</v>
      </c>
      <c r="AS225" s="17">
        <v>-0.75649688840187901</v>
      </c>
      <c r="AT225" s="17">
        <v>0.86202345667299152</v>
      </c>
      <c r="AU225" s="17">
        <v>0.68747844757244925</v>
      </c>
      <c r="AV225" s="17">
        <v>0.92686014834503883</v>
      </c>
      <c r="AW225" s="17">
        <v>-0.8014145583748431</v>
      </c>
      <c r="AX225" s="17">
        <v>0.90934219785070525</v>
      </c>
      <c r="AY225" s="17">
        <v>-0.69094033537110944</v>
      </c>
      <c r="AZ225" s="17">
        <v>0.8784384899246489</v>
      </c>
      <c r="BA225" s="17">
        <v>0.89493530043235181</v>
      </c>
      <c r="BB225" s="17">
        <v>0.84075137457349625</v>
      </c>
      <c r="BC225" s="17">
        <v>0.34027321302174451</v>
      </c>
      <c r="BD225" s="17">
        <v>-0.92776128098117949</v>
      </c>
      <c r="BE225" s="17">
        <v>-0.41614939431839459</v>
      </c>
      <c r="BF225" s="17">
        <v>0.44840949770199029</v>
      </c>
      <c r="BK225" s="20">
        <v>0.19399105136074402</v>
      </c>
      <c r="BL225" s="20">
        <v>0.80609436802576862</v>
      </c>
      <c r="BN225" s="21">
        <f t="shared" si="11"/>
        <v>1</v>
      </c>
    </row>
    <row r="226" spans="1:66">
      <c r="A226" s="14">
        <v>13.27</v>
      </c>
      <c r="B226" s="14">
        <v>17.02</v>
      </c>
      <c r="C226" s="14">
        <v>84.55</v>
      </c>
      <c r="D226" s="14">
        <v>546.4</v>
      </c>
      <c r="E226" s="14">
        <v>4.9939999999999998E-2</v>
      </c>
      <c r="F226" s="14">
        <v>3.5540000000000002E-2</v>
      </c>
      <c r="G226" s="14">
        <v>2.4559999999999998E-2</v>
      </c>
      <c r="H226" s="14">
        <v>15.14</v>
      </c>
      <c r="I226" s="14">
        <v>708.8</v>
      </c>
      <c r="J226" s="14">
        <v>9.6780000000000005E-2</v>
      </c>
      <c r="M226" s="16">
        <v>0</v>
      </c>
      <c r="O226" s="12">
        <f t="shared" si="9"/>
        <v>1</v>
      </c>
      <c r="P226" s="12">
        <f t="shared" si="10"/>
        <v>0</v>
      </c>
      <c r="R226" s="17">
        <v>-0.86216493245391179</v>
      </c>
      <c r="S226" s="17">
        <v>0.86592397083683859</v>
      </c>
      <c r="T226" s="17">
        <v>1.1492407566427856</v>
      </c>
      <c r="U226" s="17">
        <v>0.30971288832147947</v>
      </c>
      <c r="V226" s="17">
        <v>1.322038261257461</v>
      </c>
      <c r="W226" s="17">
        <v>-0.54000870393571332</v>
      </c>
      <c r="X226" s="17">
        <v>-0.93446499101467595</v>
      </c>
      <c r="Y226" s="17">
        <v>1.3623707400649003</v>
      </c>
      <c r="Z226" s="17">
        <v>0.73556995189170193</v>
      </c>
      <c r="AA226" s="17">
        <v>1.6983871669386827</v>
      </c>
      <c r="AB226" s="17">
        <v>-1.2113068807979621</v>
      </c>
      <c r="AC226" s="17">
        <v>1.5906603286575782</v>
      </c>
      <c r="AD226" s="17">
        <v>-0.8593627097567913</v>
      </c>
      <c r="AE226" s="17">
        <v>1.3374666300864129</v>
      </c>
      <c r="AF226" s="17">
        <v>1.6049118769290147</v>
      </c>
      <c r="AG226" s="17">
        <v>1.3481853892245086</v>
      </c>
      <c r="AH226" s="17">
        <v>0.33128292594394448</v>
      </c>
      <c r="AI226" s="17">
        <v>-1.6572512841003593</v>
      </c>
      <c r="AJ226" s="17">
        <v>-0.4315878441673433</v>
      </c>
      <c r="AK226" s="17">
        <v>0.36873414124893167</v>
      </c>
      <c r="AM226" s="17">
        <v>-0.8628750877308996</v>
      </c>
      <c r="AN226" s="17">
        <v>0.75568581910022281</v>
      </c>
      <c r="AO226" s="17">
        <v>0.5406413995659769</v>
      </c>
      <c r="AP226" s="17">
        <v>0.40736490751379689</v>
      </c>
      <c r="AQ226" s="17">
        <v>0.89540424726550172</v>
      </c>
      <c r="AR226" s="17">
        <v>-0.78953777827831462</v>
      </c>
      <c r="AS226" s="17">
        <v>-0.86766200546208927</v>
      </c>
      <c r="AT226" s="17">
        <v>0.7575646168008765</v>
      </c>
      <c r="AU226" s="17">
        <v>0.90211956690210204</v>
      </c>
      <c r="AV226" s="17">
        <v>0.86830780201876234</v>
      </c>
      <c r="AW226" s="17">
        <v>-0.47313036379623319</v>
      </c>
      <c r="AX226" s="17">
        <v>0.82960464992053384</v>
      </c>
      <c r="AY226" s="17">
        <v>-0.67527883106681719</v>
      </c>
      <c r="AZ226" s="17">
        <v>0.92009792883454611</v>
      </c>
      <c r="BA226" s="17">
        <v>0.52440336040530733</v>
      </c>
      <c r="BB226" s="17">
        <v>0.49989836470000326</v>
      </c>
      <c r="BC226" s="17">
        <v>0.45991668345071585</v>
      </c>
      <c r="BD226" s="17">
        <v>-0.92237040666786374</v>
      </c>
      <c r="BE226" s="17">
        <v>-0.47903446342607209</v>
      </c>
      <c r="BF226" s="17">
        <v>5.1207338014004941E-2</v>
      </c>
      <c r="BK226" s="20">
        <v>0.72811381736547132</v>
      </c>
      <c r="BL226" s="20">
        <v>0.27188931412688233</v>
      </c>
      <c r="BN226" s="21">
        <f t="shared" si="11"/>
        <v>0</v>
      </c>
    </row>
    <row r="227" spans="1:66">
      <c r="A227" s="14">
        <v>14.34</v>
      </c>
      <c r="B227" s="14">
        <v>13.47</v>
      </c>
      <c r="C227" s="14">
        <v>92.51</v>
      </c>
      <c r="D227" s="14">
        <v>641.20000000000005</v>
      </c>
      <c r="E227" s="14">
        <v>7.6240000000000002E-2</v>
      </c>
      <c r="F227" s="14">
        <v>5.7239999999999999E-2</v>
      </c>
      <c r="G227" s="14">
        <v>4.6030000000000001E-2</v>
      </c>
      <c r="H227" s="14">
        <v>16.77</v>
      </c>
      <c r="I227" s="14">
        <v>873.2</v>
      </c>
      <c r="J227" s="14">
        <v>0.1087</v>
      </c>
      <c r="M227" s="16">
        <v>0</v>
      </c>
      <c r="O227" s="12">
        <f t="shared" si="9"/>
        <v>1</v>
      </c>
      <c r="P227" s="12">
        <f t="shared" si="10"/>
        <v>0</v>
      </c>
      <c r="R227" s="17">
        <v>-1.4643074708783446</v>
      </c>
      <c r="S227" s="17">
        <v>1.0359333700219733</v>
      </c>
      <c r="T227" s="17">
        <v>0.4503249130137873</v>
      </c>
      <c r="U227" s="17">
        <v>0.47751119115197871</v>
      </c>
      <c r="V227" s="17">
        <v>1.5052132201123889</v>
      </c>
      <c r="W227" s="17">
        <v>-1.2567352733816861</v>
      </c>
      <c r="X227" s="17">
        <v>-1.4659127711484521</v>
      </c>
      <c r="Y227" s="17">
        <v>0.877385815472147</v>
      </c>
      <c r="Z227" s="17">
        <v>1.7463530467411736</v>
      </c>
      <c r="AA227" s="17">
        <v>1.2163845753889837</v>
      </c>
      <c r="AB227" s="17">
        <v>-0.28839333793737798</v>
      </c>
      <c r="AC227" s="17">
        <v>1.0652147513376473</v>
      </c>
      <c r="AD227" s="17">
        <v>-0.81583654438301023</v>
      </c>
      <c r="AE227" s="17">
        <v>1.6894094608623824</v>
      </c>
      <c r="AF227" s="17">
        <v>0.2496334827590041</v>
      </c>
      <c r="AG227" s="17">
        <v>0.29010426800531797</v>
      </c>
      <c r="AH227" s="17">
        <v>0.55723475600471262</v>
      </c>
      <c r="AI227" s="17">
        <v>-1.603629768829455</v>
      </c>
      <c r="AJ227" s="17">
        <v>-0.55690825498325469</v>
      </c>
      <c r="AK227" s="17">
        <v>-1.5873696211105877</v>
      </c>
      <c r="AM227" s="17">
        <v>-0.82680811605064464</v>
      </c>
      <c r="AN227" s="17">
        <v>0.76400964732419052</v>
      </c>
      <c r="AO227" s="17">
        <v>0.79062282734406653</v>
      </c>
      <c r="AP227" s="17">
        <v>0.38283009044362432</v>
      </c>
      <c r="AQ227" s="17">
        <v>0.90594064130712149</v>
      </c>
      <c r="AR227" s="17">
        <v>-0.70456476802482171</v>
      </c>
      <c r="AS227" s="17">
        <v>-0.84179916422024892</v>
      </c>
      <c r="AT227" s="17">
        <v>0.85528181250873747</v>
      </c>
      <c r="AU227" s="17">
        <v>0.83599673957768261</v>
      </c>
      <c r="AV227" s="17">
        <v>0.92748605755677704</v>
      </c>
      <c r="AW227" s="17">
        <v>-0.73223176834278414</v>
      </c>
      <c r="AX227" s="17">
        <v>0.90620493425122117</v>
      </c>
      <c r="AY227" s="17">
        <v>-0.72189365481658185</v>
      </c>
      <c r="AZ227" s="17">
        <v>0.92013725659501233</v>
      </c>
      <c r="BA227" s="17">
        <v>0.82834282137489701</v>
      </c>
      <c r="BB227" s="17">
        <v>0.77246725664926641</v>
      </c>
      <c r="BC227" s="17">
        <v>0.42224146603511287</v>
      </c>
      <c r="BD227" s="17">
        <v>-0.94364574942851198</v>
      </c>
      <c r="BE227" s="17">
        <v>-0.47603558990835759</v>
      </c>
      <c r="BF227" s="17">
        <v>0.52286716034204805</v>
      </c>
      <c r="BK227" s="20">
        <v>0.85265433705635041</v>
      </c>
      <c r="BL227" s="20">
        <v>0.14731842180810331</v>
      </c>
      <c r="BN227" s="21">
        <f t="shared" si="11"/>
        <v>0</v>
      </c>
    </row>
    <row r="228" spans="1:66">
      <c r="A228" s="14">
        <v>10.44</v>
      </c>
      <c r="B228" s="14">
        <v>15.46</v>
      </c>
      <c r="C228" s="14">
        <v>66.62</v>
      </c>
      <c r="D228" s="14">
        <v>329.6</v>
      </c>
      <c r="E228" s="14">
        <v>7.7219999999999997E-2</v>
      </c>
      <c r="F228" s="14">
        <v>6.6429999999999996E-3</v>
      </c>
      <c r="G228" s="14">
        <v>1.2160000000000001E-2</v>
      </c>
      <c r="H228" s="14">
        <v>11.52</v>
      </c>
      <c r="I228" s="14">
        <v>395.4</v>
      </c>
      <c r="J228" s="14">
        <v>4.4639999999999999E-2</v>
      </c>
      <c r="M228" s="16">
        <v>0</v>
      </c>
      <c r="O228" s="12">
        <f t="shared" si="9"/>
        <v>1</v>
      </c>
      <c r="P228" s="12">
        <f t="shared" si="10"/>
        <v>0</v>
      </c>
      <c r="R228" s="17">
        <v>-1.4643074708783446</v>
      </c>
      <c r="S228" s="17">
        <v>1.0359333700219733</v>
      </c>
      <c r="T228" s="17">
        <v>0.4503249130137873</v>
      </c>
      <c r="U228" s="17">
        <v>0.47751119115197871</v>
      </c>
      <c r="V228" s="17">
        <v>1.5052132201123889</v>
      </c>
      <c r="W228" s="17">
        <v>-1.2567352733816861</v>
      </c>
      <c r="X228" s="17">
        <v>-1.4659127711484521</v>
      </c>
      <c r="Y228" s="17">
        <v>0.877385815472147</v>
      </c>
      <c r="Z228" s="17">
        <v>1.7463530467411736</v>
      </c>
      <c r="AA228" s="17">
        <v>1.2163845753889837</v>
      </c>
      <c r="AB228" s="17">
        <v>-0.28839333793737798</v>
      </c>
      <c r="AC228" s="17">
        <v>1.0652147513376473</v>
      </c>
      <c r="AD228" s="17">
        <v>-0.81583654438301023</v>
      </c>
      <c r="AE228" s="17">
        <v>1.6894094608623824</v>
      </c>
      <c r="AF228" s="17">
        <v>0.2496334827590041</v>
      </c>
      <c r="AG228" s="17">
        <v>0.29010426800531797</v>
      </c>
      <c r="AH228" s="17">
        <v>0.55723475600471262</v>
      </c>
      <c r="AI228" s="17">
        <v>-1.603629768829455</v>
      </c>
      <c r="AJ228" s="17">
        <v>-0.55690825498325469</v>
      </c>
      <c r="AK228" s="17">
        <v>0.41256201738018505</v>
      </c>
      <c r="AM228" s="17">
        <v>-0.8743685116011517</v>
      </c>
      <c r="AN228" s="17">
        <v>0.75960933310811507</v>
      </c>
      <c r="AO228" s="17">
        <v>0.33884620182462805</v>
      </c>
      <c r="AP228" s="17">
        <v>0.41782492909340718</v>
      </c>
      <c r="AQ228" s="17">
        <v>0.89686450009316065</v>
      </c>
      <c r="AR228" s="17">
        <v>-0.81071063898207707</v>
      </c>
      <c r="AS228" s="17">
        <v>-0.87726403714837364</v>
      </c>
      <c r="AT228" s="17">
        <v>0.73498193558148595</v>
      </c>
      <c r="AU228" s="17">
        <v>0.91650175481368035</v>
      </c>
      <c r="AV228" s="17">
        <v>0.85467746366428388</v>
      </c>
      <c r="AW228" s="17">
        <v>-0.40193831849930961</v>
      </c>
      <c r="AX228" s="17">
        <v>0.81131869803237988</v>
      </c>
      <c r="AY228" s="17">
        <v>-0.67017053419480443</v>
      </c>
      <c r="AZ228" s="17">
        <v>0.92340620077356306</v>
      </c>
      <c r="BA228" s="17">
        <v>0.42525348727384521</v>
      </c>
      <c r="BB228" s="17">
        <v>0.42057171197685772</v>
      </c>
      <c r="BC228" s="17">
        <v>0.47362549496201128</v>
      </c>
      <c r="BD228" s="17">
        <v>-0.92004594894991265</v>
      </c>
      <c r="BE228" s="17">
        <v>-0.4852691540393918</v>
      </c>
      <c r="BF228" s="17">
        <v>0.43692173846515314</v>
      </c>
      <c r="BK228" s="20">
        <v>-9.3077780211696867E-2</v>
      </c>
      <c r="BL228" s="20">
        <v>1.0930301525041202</v>
      </c>
      <c r="BN228" s="21">
        <f t="shared" si="11"/>
        <v>1</v>
      </c>
    </row>
    <row r="229" spans="1:66">
      <c r="A229" s="14">
        <v>15</v>
      </c>
      <c r="B229" s="14">
        <v>15.51</v>
      </c>
      <c r="C229" s="14">
        <v>97.45</v>
      </c>
      <c r="D229" s="14">
        <v>684.5</v>
      </c>
      <c r="E229" s="14">
        <v>0.1096</v>
      </c>
      <c r="F229" s="14">
        <v>6.5049999999999997E-2</v>
      </c>
      <c r="G229" s="14">
        <v>3.78E-2</v>
      </c>
      <c r="H229" s="14">
        <v>16.41</v>
      </c>
      <c r="I229" s="14">
        <v>808.2</v>
      </c>
      <c r="J229" s="14">
        <v>0.13789999999999999</v>
      </c>
      <c r="M229" s="16">
        <v>0</v>
      </c>
      <c r="O229" s="12">
        <f t="shared" si="9"/>
        <v>1</v>
      </c>
      <c r="P229" s="12">
        <f t="shared" si="10"/>
        <v>0</v>
      </c>
      <c r="R229" s="17">
        <v>-0.86216493245391179</v>
      </c>
      <c r="S229" s="17">
        <v>0.86592397083683859</v>
      </c>
      <c r="T229" s="17">
        <v>1.1492407566427856</v>
      </c>
      <c r="U229" s="17">
        <v>0.30971288832147947</v>
      </c>
      <c r="V229" s="17">
        <v>1.322038261257461</v>
      </c>
      <c r="W229" s="17">
        <v>-0.54000870393571332</v>
      </c>
      <c r="X229" s="17">
        <v>-0.93446499101467595</v>
      </c>
      <c r="Y229" s="17">
        <v>1.3623707400649003</v>
      </c>
      <c r="Z229" s="17">
        <v>0.73556995189170193</v>
      </c>
      <c r="AA229" s="17">
        <v>1.6983871669386827</v>
      </c>
      <c r="AB229" s="17">
        <v>-1.2113068807979621</v>
      </c>
      <c r="AC229" s="17">
        <v>1.5906603286575782</v>
      </c>
      <c r="AD229" s="17">
        <v>-0.8593627097567913</v>
      </c>
      <c r="AE229" s="17">
        <v>1.3374666300864129</v>
      </c>
      <c r="AF229" s="17">
        <v>1.6049118769290147</v>
      </c>
      <c r="AG229" s="17">
        <v>1.3481853892245086</v>
      </c>
      <c r="AH229" s="17">
        <v>0.33128292594394448</v>
      </c>
      <c r="AI229" s="17">
        <v>-1.6572512841003593</v>
      </c>
      <c r="AJ229" s="17">
        <v>-0.4315878441673433</v>
      </c>
      <c r="AK229" s="17">
        <v>0.36873422441298942</v>
      </c>
      <c r="AM229" s="17">
        <v>-0.8720976265266025</v>
      </c>
      <c r="AN229" s="17">
        <v>0.7620893287342082</v>
      </c>
      <c r="AO229" s="17">
        <v>0.34923268736503493</v>
      </c>
      <c r="AP229" s="17">
        <v>0.41641521869155407</v>
      </c>
      <c r="AQ229" s="17">
        <v>0.89913215391344892</v>
      </c>
      <c r="AR229" s="17">
        <v>-0.80441798568521872</v>
      </c>
      <c r="AS229" s="17">
        <v>-0.87586352831093017</v>
      </c>
      <c r="AT229" s="17">
        <v>0.75113728732517804</v>
      </c>
      <c r="AU229" s="17">
        <v>0.9122617551920813</v>
      </c>
      <c r="AV229" s="17">
        <v>0.86525082748405591</v>
      </c>
      <c r="AW229" s="17">
        <v>-0.44268390355171827</v>
      </c>
      <c r="AX229" s="17">
        <v>0.82476843137266254</v>
      </c>
      <c r="AY229" s="17">
        <v>-0.67749087806224129</v>
      </c>
      <c r="AZ229" s="17">
        <v>0.92427239549438789</v>
      </c>
      <c r="BA229" s="17">
        <v>0.48119123481441217</v>
      </c>
      <c r="BB229" s="17">
        <v>0.46580357243515952</v>
      </c>
      <c r="BC229" s="17">
        <v>0.47092048612871318</v>
      </c>
      <c r="BD229" s="17">
        <v>-0.92376424018370162</v>
      </c>
      <c r="BE229" s="17">
        <v>-0.48640658945895993</v>
      </c>
      <c r="BF229" s="17">
        <v>-0.17867873512315929</v>
      </c>
      <c r="BK229" s="20">
        <v>1.0555919507782445</v>
      </c>
      <c r="BL229" s="20">
        <v>-5.5692582494118563E-2</v>
      </c>
      <c r="BN229" s="21">
        <f t="shared" si="11"/>
        <v>0</v>
      </c>
    </row>
    <row r="230" spans="1:66">
      <c r="A230" s="14">
        <v>12.62</v>
      </c>
      <c r="B230" s="14">
        <v>23.97</v>
      </c>
      <c r="C230" s="14">
        <v>81.349999999999994</v>
      </c>
      <c r="D230" s="14">
        <v>496.4</v>
      </c>
      <c r="E230" s="14">
        <v>7.5289999999999996E-2</v>
      </c>
      <c r="F230" s="14">
        <v>5.4379999999999998E-2</v>
      </c>
      <c r="G230" s="14">
        <v>2.036E-2</v>
      </c>
      <c r="H230" s="14">
        <v>14.2</v>
      </c>
      <c r="I230" s="14">
        <v>624</v>
      </c>
      <c r="J230" s="14">
        <v>0.11799999999999999</v>
      </c>
      <c r="M230" s="16">
        <v>0</v>
      </c>
      <c r="O230" s="12">
        <f t="shared" si="9"/>
        <v>1</v>
      </c>
      <c r="P230" s="12">
        <f t="shared" si="10"/>
        <v>0</v>
      </c>
      <c r="R230" s="17">
        <v>-1.4643074708783446</v>
      </c>
      <c r="S230" s="17">
        <v>1.0359333700219733</v>
      </c>
      <c r="T230" s="17">
        <v>0.4503249130137873</v>
      </c>
      <c r="U230" s="17">
        <v>0.47751119115197871</v>
      </c>
      <c r="V230" s="17">
        <v>1.5052132201123889</v>
      </c>
      <c r="W230" s="17">
        <v>-1.2567352733816861</v>
      </c>
      <c r="X230" s="17">
        <v>-1.4659127711484521</v>
      </c>
      <c r="Y230" s="17">
        <v>0.877385815472147</v>
      </c>
      <c r="Z230" s="17">
        <v>1.7463530467411736</v>
      </c>
      <c r="AA230" s="17">
        <v>1.2163845753889837</v>
      </c>
      <c r="AB230" s="17">
        <v>-0.28839333793737798</v>
      </c>
      <c r="AC230" s="17">
        <v>1.0652147513376473</v>
      </c>
      <c r="AD230" s="17">
        <v>-0.81583654438301023</v>
      </c>
      <c r="AE230" s="17">
        <v>1.6894094608623824</v>
      </c>
      <c r="AF230" s="17">
        <v>0.2496334827590041</v>
      </c>
      <c r="AG230" s="17">
        <v>0.29010426800531797</v>
      </c>
      <c r="AH230" s="17">
        <v>0.55723475600471262</v>
      </c>
      <c r="AI230" s="17">
        <v>-1.603629768829455</v>
      </c>
      <c r="AJ230" s="17">
        <v>-0.55690825498325469</v>
      </c>
      <c r="AK230" s="17">
        <v>0.41256201737803533</v>
      </c>
      <c r="AM230" s="17">
        <v>-0.80354919962425653</v>
      </c>
      <c r="AN230" s="17">
        <v>0.72431887595283551</v>
      </c>
      <c r="AO230" s="17">
        <v>0.64272134406310633</v>
      </c>
      <c r="AP230" s="17">
        <v>0.35946655962887109</v>
      </c>
      <c r="AQ230" s="17">
        <v>0.8775372920288883</v>
      </c>
      <c r="AR230" s="17">
        <v>-0.69001108531214306</v>
      </c>
      <c r="AS230" s="17">
        <v>-0.81665047620946996</v>
      </c>
      <c r="AT230" s="17">
        <v>0.80112705971547171</v>
      </c>
      <c r="AU230" s="17">
        <v>0.82448881516293826</v>
      </c>
      <c r="AV230" s="17">
        <v>0.89145315760691846</v>
      </c>
      <c r="AW230" s="17">
        <v>-0.63936988290724361</v>
      </c>
      <c r="AX230" s="17">
        <v>0.86296208684673315</v>
      </c>
      <c r="AY230" s="17">
        <v>-0.67162165568051646</v>
      </c>
      <c r="AZ230" s="17">
        <v>0.89692728415869127</v>
      </c>
      <c r="BA230" s="17">
        <v>0.73668229127233709</v>
      </c>
      <c r="BB230" s="17">
        <v>0.67977187880745582</v>
      </c>
      <c r="BC230" s="17">
        <v>0.39987780067571166</v>
      </c>
      <c r="BD230" s="17">
        <v>-0.91905255392294072</v>
      </c>
      <c r="BE230" s="17">
        <v>-0.44242692096705422</v>
      </c>
      <c r="BF230" s="17">
        <v>4.8359290705117464E-2</v>
      </c>
      <c r="BK230" s="20">
        <v>-3.2230388761162299E-2</v>
      </c>
      <c r="BL230" s="20">
        <v>1.0320503238751892</v>
      </c>
      <c r="BN230" s="21">
        <f t="shared" si="11"/>
        <v>1</v>
      </c>
    </row>
    <row r="231" spans="1:66">
      <c r="A231" s="14">
        <v>12.83</v>
      </c>
      <c r="B231" s="14">
        <v>22.33</v>
      </c>
      <c r="C231" s="14">
        <v>85.26</v>
      </c>
      <c r="D231" s="14">
        <v>503.2</v>
      </c>
      <c r="E231" s="14">
        <v>0.1799</v>
      </c>
      <c r="F231" s="14">
        <v>0.16950000000000001</v>
      </c>
      <c r="G231" s="14">
        <v>6.8610000000000004E-2</v>
      </c>
      <c r="H231" s="14">
        <v>15.2</v>
      </c>
      <c r="I231" s="14">
        <v>706</v>
      </c>
      <c r="J231" s="14">
        <v>0.19769999999999999</v>
      </c>
      <c r="M231" s="16">
        <v>1</v>
      </c>
      <c r="O231" s="12">
        <f t="shared" si="9"/>
        <v>0</v>
      </c>
      <c r="P231" s="12">
        <f t="shared" si="10"/>
        <v>1</v>
      </c>
      <c r="R231" s="17">
        <v>-1.4643074708783446</v>
      </c>
      <c r="S231" s="17">
        <v>1.0359333700219733</v>
      </c>
      <c r="T231" s="17">
        <v>0.4503249130137873</v>
      </c>
      <c r="U231" s="17">
        <v>0.47751119115197871</v>
      </c>
      <c r="V231" s="17">
        <v>1.5052132201123889</v>
      </c>
      <c r="W231" s="17">
        <v>-1.2567352733816861</v>
      </c>
      <c r="X231" s="17">
        <v>-1.4659127711484521</v>
      </c>
      <c r="Y231" s="17">
        <v>0.877385815472147</v>
      </c>
      <c r="Z231" s="17">
        <v>1.7463530467411736</v>
      </c>
      <c r="AA231" s="17">
        <v>1.2163845753889837</v>
      </c>
      <c r="AB231" s="17">
        <v>-0.28839333793737798</v>
      </c>
      <c r="AC231" s="17">
        <v>1.0652147513376473</v>
      </c>
      <c r="AD231" s="17">
        <v>-0.81583654438301023</v>
      </c>
      <c r="AE231" s="17">
        <v>1.6894094608623824</v>
      </c>
      <c r="AF231" s="17">
        <v>0.2496334827590041</v>
      </c>
      <c r="AG231" s="17">
        <v>0.29010426800531797</v>
      </c>
      <c r="AH231" s="17">
        <v>0.55723475600471262</v>
      </c>
      <c r="AI231" s="17">
        <v>-1.603629768829455</v>
      </c>
      <c r="AJ231" s="17">
        <v>-0.55690825498325469</v>
      </c>
      <c r="AK231" s="17">
        <v>0.41256201738018505</v>
      </c>
      <c r="AM231" s="17">
        <v>-0.87989211774805043</v>
      </c>
      <c r="AN231" s="17">
        <v>0.76300284345322489</v>
      </c>
      <c r="AO231" s="17">
        <v>0.54339885082769479</v>
      </c>
      <c r="AP231" s="17">
        <v>0.42343896861752628</v>
      </c>
      <c r="AQ231" s="17">
        <v>0.8987102080026047</v>
      </c>
      <c r="AR231" s="17">
        <v>-0.81992446497551597</v>
      </c>
      <c r="AS231" s="17">
        <v>-0.8821265527445088</v>
      </c>
      <c r="AT231" s="17">
        <v>0.72802427933420399</v>
      </c>
      <c r="AU231" s="17">
        <v>0.92248134221148737</v>
      </c>
      <c r="AV231" s="17">
        <v>0.85081717853084271</v>
      </c>
      <c r="AW231" s="17">
        <v>-0.37529564017516337</v>
      </c>
      <c r="AX231" s="17">
        <v>0.80578816230302175</v>
      </c>
      <c r="AY231" s="17">
        <v>-0.67028453348996775</v>
      </c>
      <c r="AZ231" s="17">
        <v>0.92569347752006459</v>
      </c>
      <c r="BA231" s="17">
        <v>0.38646090979917863</v>
      </c>
      <c r="BB231" s="17">
        <v>0.390439619499237</v>
      </c>
      <c r="BC231" s="17">
        <v>0.480580197440648</v>
      </c>
      <c r="BD231" s="17">
        <v>-0.92027802186523533</v>
      </c>
      <c r="BE231" s="17">
        <v>-0.48947446152467922</v>
      </c>
      <c r="BF231" s="17">
        <v>0.53196956534430917</v>
      </c>
      <c r="BK231" s="20">
        <v>0.36489520815569371</v>
      </c>
      <c r="BL231" s="20">
        <v>0.6352216932531628</v>
      </c>
      <c r="BN231" s="21">
        <f t="shared" si="11"/>
        <v>1</v>
      </c>
    </row>
    <row r="232" spans="1:66">
      <c r="A232" s="14">
        <v>17.05</v>
      </c>
      <c r="B232" s="14">
        <v>19.079999999999998</v>
      </c>
      <c r="C232" s="14">
        <v>113.4</v>
      </c>
      <c r="D232" s="14">
        <v>895</v>
      </c>
      <c r="E232" s="14">
        <v>0.15720000000000001</v>
      </c>
      <c r="F232" s="14">
        <v>0.191</v>
      </c>
      <c r="G232" s="14">
        <v>0.109</v>
      </c>
      <c r="H232" s="14">
        <v>19.59</v>
      </c>
      <c r="I232" s="14">
        <v>1189</v>
      </c>
      <c r="J232" s="14">
        <v>0.25430000000000003</v>
      </c>
      <c r="M232" s="16">
        <v>1</v>
      </c>
      <c r="O232" s="12">
        <f t="shared" si="9"/>
        <v>0</v>
      </c>
      <c r="P232" s="12">
        <f t="shared" si="10"/>
        <v>1</v>
      </c>
      <c r="R232" s="17">
        <v>-1.4643074708783446</v>
      </c>
      <c r="S232" s="17">
        <v>1.0359333700219733</v>
      </c>
      <c r="T232" s="17">
        <v>0.4503249130137873</v>
      </c>
      <c r="U232" s="17">
        <v>0.47751119115197871</v>
      </c>
      <c r="V232" s="17">
        <v>1.5052132201123889</v>
      </c>
      <c r="W232" s="17">
        <v>-1.2567352733816861</v>
      </c>
      <c r="X232" s="17">
        <v>-1.4659127711484521</v>
      </c>
      <c r="Y232" s="17">
        <v>0.877385815472147</v>
      </c>
      <c r="Z232" s="17">
        <v>1.7463530467411736</v>
      </c>
      <c r="AA232" s="17">
        <v>1.2163845753889837</v>
      </c>
      <c r="AB232" s="17">
        <v>-0.28839333793737798</v>
      </c>
      <c r="AC232" s="17">
        <v>1.0652147513376473</v>
      </c>
      <c r="AD232" s="17">
        <v>-0.81583654438301023</v>
      </c>
      <c r="AE232" s="17">
        <v>1.6894094608623824</v>
      </c>
      <c r="AF232" s="17">
        <v>0.2496334827590041</v>
      </c>
      <c r="AG232" s="17">
        <v>0.29010426800531797</v>
      </c>
      <c r="AH232" s="17">
        <v>0.55723475600471262</v>
      </c>
      <c r="AI232" s="17">
        <v>-1.603629768829455</v>
      </c>
      <c r="AJ232" s="17">
        <v>-0.55690825498325469</v>
      </c>
      <c r="AK232" s="17">
        <v>0.41256201738018505</v>
      </c>
      <c r="AM232" s="17">
        <v>-0.91807086278542394</v>
      </c>
      <c r="AN232" s="17">
        <v>0.74913571465844142</v>
      </c>
      <c r="AO232" s="17">
        <v>0.34467209933243126</v>
      </c>
      <c r="AP232" s="17">
        <v>0.46056008982465535</v>
      </c>
      <c r="AQ232" s="17">
        <v>0.87978642841326893</v>
      </c>
      <c r="AR232" s="17">
        <v>-0.8987936883880675</v>
      </c>
      <c r="AS232" s="17">
        <v>-0.91179833256233633</v>
      </c>
      <c r="AT232" s="17">
        <v>0.43623091452728624</v>
      </c>
      <c r="AU232" s="17">
        <v>0.96709720438322799</v>
      </c>
      <c r="AV232" s="17">
        <v>0.63848360269076465</v>
      </c>
      <c r="AW232" s="17">
        <v>0.27013461041527354</v>
      </c>
      <c r="AX232" s="17">
        <v>0.53946882292086695</v>
      </c>
      <c r="AY232" s="17">
        <v>-0.58141934487100622</v>
      </c>
      <c r="AZ232" s="17">
        <v>0.92543530692456488</v>
      </c>
      <c r="BA232" s="17">
        <v>-0.5032512227833984</v>
      </c>
      <c r="BB232" s="17">
        <v>-0.33798220754293895</v>
      </c>
      <c r="BC232" s="17">
        <v>0.5357469939438545</v>
      </c>
      <c r="BD232" s="17">
        <v>-0.86786857908773074</v>
      </c>
      <c r="BE232" s="17">
        <v>-0.49384175944843522</v>
      </c>
      <c r="BF232" s="17">
        <v>0.91928270790960975</v>
      </c>
      <c r="BK232" s="20">
        <v>-1.6974177655873352E-2</v>
      </c>
      <c r="BL232" s="20">
        <v>1.0170236349770723</v>
      </c>
      <c r="BN232" s="21">
        <f t="shared" si="11"/>
        <v>1</v>
      </c>
    </row>
    <row r="233" spans="1:66">
      <c r="A233" s="14">
        <v>11.32</v>
      </c>
      <c r="B233" s="14">
        <v>27.08</v>
      </c>
      <c r="C233" s="14">
        <v>71.760000000000005</v>
      </c>
      <c r="D233" s="14">
        <v>395.7</v>
      </c>
      <c r="E233" s="14">
        <v>3.8129999999999997E-2</v>
      </c>
      <c r="F233" s="14">
        <v>1.6330000000000001E-2</v>
      </c>
      <c r="G233" s="14">
        <v>3.1250000000000002E-3</v>
      </c>
      <c r="H233" s="14">
        <v>12.08</v>
      </c>
      <c r="I233" s="14">
        <v>452.3</v>
      </c>
      <c r="J233" s="14">
        <v>2.0830000000000001E-2</v>
      </c>
      <c r="M233" s="16">
        <v>0</v>
      </c>
      <c r="O233" s="12">
        <f t="shared" si="9"/>
        <v>1</v>
      </c>
      <c r="P233" s="12">
        <f t="shared" si="10"/>
        <v>0</v>
      </c>
      <c r="R233" s="17">
        <v>-1.4643074708783446</v>
      </c>
      <c r="S233" s="17">
        <v>1.0359333700219733</v>
      </c>
      <c r="T233" s="17">
        <v>0.4503249130137873</v>
      </c>
      <c r="U233" s="17">
        <v>0.47751119115197871</v>
      </c>
      <c r="V233" s="17">
        <v>1.5052132201123889</v>
      </c>
      <c r="W233" s="17">
        <v>-1.2567352733816861</v>
      </c>
      <c r="X233" s="17">
        <v>-1.4659127711484521</v>
      </c>
      <c r="Y233" s="17">
        <v>0.877385815472147</v>
      </c>
      <c r="Z233" s="17">
        <v>1.7463530467411736</v>
      </c>
      <c r="AA233" s="17">
        <v>1.2163845753889837</v>
      </c>
      <c r="AB233" s="17">
        <v>-0.28839333793737798</v>
      </c>
      <c r="AC233" s="17">
        <v>1.0652147513376473</v>
      </c>
      <c r="AD233" s="17">
        <v>-0.81583654438301023</v>
      </c>
      <c r="AE233" s="17">
        <v>1.6894094608623824</v>
      </c>
      <c r="AF233" s="17">
        <v>0.2496334827590041</v>
      </c>
      <c r="AG233" s="17">
        <v>0.29010426800531797</v>
      </c>
      <c r="AH233" s="17">
        <v>0.55723475600471262</v>
      </c>
      <c r="AI233" s="17">
        <v>-1.603629768829455</v>
      </c>
      <c r="AJ233" s="17">
        <v>-0.55690825498325469</v>
      </c>
      <c r="AK233" s="17">
        <v>-1.5873090505226026</v>
      </c>
      <c r="AM233" s="17">
        <v>-0.90947066224261597</v>
      </c>
      <c r="AN233" s="17">
        <v>0.78360193009635082</v>
      </c>
      <c r="AO233" s="17">
        <v>1.5296774504569268E-4</v>
      </c>
      <c r="AP233" s="17">
        <v>0.45775224922765684</v>
      </c>
      <c r="AQ233" s="17">
        <v>0.90981314133954028</v>
      </c>
      <c r="AR233" s="17">
        <v>-0.86851011342756046</v>
      </c>
      <c r="AS233" s="17">
        <v>-0.90860647201179257</v>
      </c>
      <c r="AT233" s="17">
        <v>0.68295196312216033</v>
      </c>
      <c r="AU233" s="17">
        <v>0.95130612523581914</v>
      </c>
      <c r="AV233" s="17">
        <v>0.82581727657119497</v>
      </c>
      <c r="AW233" s="17">
        <v>-0.20045359245415786</v>
      </c>
      <c r="AX233" s="17">
        <v>0.76954213912858438</v>
      </c>
      <c r="AY233" s="17">
        <v>-0.67181056645723691</v>
      </c>
      <c r="AZ233" s="17">
        <v>0.93868464178780187</v>
      </c>
      <c r="BA233" s="17">
        <v>0.12342344614263699</v>
      </c>
      <c r="BB233" s="17">
        <v>0.18999075580142905</v>
      </c>
      <c r="BC233" s="17">
        <v>0.52253884007362117</v>
      </c>
      <c r="BD233" s="17">
        <v>-0.92212867059511217</v>
      </c>
      <c r="BE233" s="17">
        <v>-0.51544953589568543</v>
      </c>
      <c r="BF233" s="17">
        <v>-0.70936241052831428</v>
      </c>
      <c r="BK233" s="20">
        <v>0.58959426976049512</v>
      </c>
      <c r="BL233" s="20">
        <v>0.4104779406213856</v>
      </c>
      <c r="BN233" s="21">
        <f t="shared" si="11"/>
        <v>0</v>
      </c>
    </row>
    <row r="234" spans="1:66">
      <c r="A234" s="14">
        <v>11.22</v>
      </c>
      <c r="B234" s="14">
        <v>33.81</v>
      </c>
      <c r="C234" s="14">
        <v>70.790000000000006</v>
      </c>
      <c r="D234" s="14">
        <v>386.8</v>
      </c>
      <c r="E234" s="14">
        <v>3.5740000000000001E-2</v>
      </c>
      <c r="F234" s="14">
        <v>4.9670000000000001E-3</v>
      </c>
      <c r="G234" s="14">
        <v>6.4339999999999996E-3</v>
      </c>
      <c r="H234" s="14">
        <v>12.36</v>
      </c>
      <c r="I234" s="14">
        <v>470.9</v>
      </c>
      <c r="J234" s="14">
        <v>3.0020000000000002E-2</v>
      </c>
      <c r="M234" s="16">
        <v>0</v>
      </c>
      <c r="O234" s="12">
        <f t="shared" si="9"/>
        <v>1</v>
      </c>
      <c r="P234" s="12">
        <f t="shared" si="10"/>
        <v>0</v>
      </c>
      <c r="R234" s="17">
        <v>-0.86216493245391179</v>
      </c>
      <c r="S234" s="17">
        <v>0.86592397083683859</v>
      </c>
      <c r="T234" s="17">
        <v>1.1492407566427856</v>
      </c>
      <c r="U234" s="17">
        <v>0.30971288832147947</v>
      </c>
      <c r="V234" s="17">
        <v>1.322038261257461</v>
      </c>
      <c r="W234" s="17">
        <v>-0.54000870393571332</v>
      </c>
      <c r="X234" s="17">
        <v>-0.93446499101467595</v>
      </c>
      <c r="Y234" s="17">
        <v>1.3623707400649003</v>
      </c>
      <c r="Z234" s="17">
        <v>0.73556995189170193</v>
      </c>
      <c r="AA234" s="17">
        <v>1.6983871669386827</v>
      </c>
      <c r="AB234" s="17">
        <v>-1.2113068807979621</v>
      </c>
      <c r="AC234" s="17">
        <v>1.5906603286575782</v>
      </c>
      <c r="AD234" s="17">
        <v>-0.8593627097567913</v>
      </c>
      <c r="AE234" s="17">
        <v>1.3374666300864129</v>
      </c>
      <c r="AF234" s="17">
        <v>1.6049118769290147</v>
      </c>
      <c r="AG234" s="17">
        <v>1.3481853892245086</v>
      </c>
      <c r="AH234" s="17">
        <v>0.33128292594394448</v>
      </c>
      <c r="AI234" s="17">
        <v>-1.6572512841003593</v>
      </c>
      <c r="AJ234" s="17">
        <v>-0.4315878441673433</v>
      </c>
      <c r="AK234" s="17">
        <v>0.36853492194077075</v>
      </c>
      <c r="AM234" s="17">
        <v>-0.80222132292793458</v>
      </c>
      <c r="AN234" s="17">
        <v>0.72961428050574162</v>
      </c>
      <c r="AO234" s="17">
        <v>0.65171216840398438</v>
      </c>
      <c r="AP234" s="17">
        <v>0.35975345484128818</v>
      </c>
      <c r="AQ234" s="17">
        <v>0.88200689381067221</v>
      </c>
      <c r="AR234" s="17">
        <v>-0.68258226756321205</v>
      </c>
      <c r="AS234" s="17">
        <v>-0.81669271272733546</v>
      </c>
      <c r="AT234" s="17">
        <v>0.81620897736164733</v>
      </c>
      <c r="AU234" s="17">
        <v>0.81787250181925297</v>
      </c>
      <c r="AV234" s="17">
        <v>0.90129756080617995</v>
      </c>
      <c r="AW234" s="17">
        <v>-0.67114376600656867</v>
      </c>
      <c r="AX234" s="17">
        <v>0.87507272374848111</v>
      </c>
      <c r="AY234" s="17">
        <v>-0.68162994763997442</v>
      </c>
      <c r="AZ234" s="17">
        <v>0.8996813730420552</v>
      </c>
      <c r="BA234" s="17">
        <v>0.77050480693265688</v>
      </c>
      <c r="BB234" s="17">
        <v>0.71226391026936287</v>
      </c>
      <c r="BC234" s="17">
        <v>0.39882799058895363</v>
      </c>
      <c r="BD234" s="17">
        <v>-0.9242533148295341</v>
      </c>
      <c r="BE234" s="17">
        <v>-0.44579758531553854</v>
      </c>
      <c r="BF234" s="17">
        <v>-0.17581812368093386</v>
      </c>
      <c r="BK234" s="20">
        <v>0.9682683667147487</v>
      </c>
      <c r="BL234" s="20">
        <v>3.1590211066327832E-2</v>
      </c>
      <c r="BN234" s="21">
        <f t="shared" si="11"/>
        <v>0</v>
      </c>
    </row>
    <row r="235" spans="1:66">
      <c r="A235" s="14">
        <v>20.51</v>
      </c>
      <c r="B235" s="14">
        <v>27.81</v>
      </c>
      <c r="C235" s="14">
        <v>134.4</v>
      </c>
      <c r="D235" s="14">
        <v>1319</v>
      </c>
      <c r="E235" s="14">
        <v>0.1074</v>
      </c>
      <c r="F235" s="14">
        <v>0.15540000000000001</v>
      </c>
      <c r="G235" s="14">
        <v>8.3400000000000002E-2</v>
      </c>
      <c r="H235" s="14">
        <v>24.47</v>
      </c>
      <c r="I235" s="14">
        <v>1872</v>
      </c>
      <c r="J235" s="14">
        <v>0.15629999999999999</v>
      </c>
      <c r="M235" s="16">
        <v>1</v>
      </c>
      <c r="O235" s="12">
        <f t="shared" si="9"/>
        <v>0</v>
      </c>
      <c r="P235" s="12">
        <f t="shared" si="10"/>
        <v>1</v>
      </c>
      <c r="R235" s="17">
        <v>-1.4643074708783446</v>
      </c>
      <c r="S235" s="17">
        <v>1.0359333700219733</v>
      </c>
      <c r="T235" s="17">
        <v>0.4503249130137873</v>
      </c>
      <c r="U235" s="17">
        <v>0.47751119115197871</v>
      </c>
      <c r="V235" s="17">
        <v>1.5052132201123889</v>
      </c>
      <c r="W235" s="17">
        <v>-1.2567352733816861</v>
      </c>
      <c r="X235" s="17">
        <v>-1.4659127711484521</v>
      </c>
      <c r="Y235" s="17">
        <v>0.877385815472147</v>
      </c>
      <c r="Z235" s="17">
        <v>1.7463530467411736</v>
      </c>
      <c r="AA235" s="17">
        <v>1.2163845753889837</v>
      </c>
      <c r="AB235" s="17">
        <v>-0.28839333793737798</v>
      </c>
      <c r="AC235" s="17">
        <v>1.0652147513376473</v>
      </c>
      <c r="AD235" s="17">
        <v>-0.81583654438301023</v>
      </c>
      <c r="AE235" s="17">
        <v>1.6894094608623824</v>
      </c>
      <c r="AF235" s="17">
        <v>0.2496334827590041</v>
      </c>
      <c r="AG235" s="17">
        <v>0.29010426800531797</v>
      </c>
      <c r="AH235" s="17">
        <v>0.55723475600471262</v>
      </c>
      <c r="AI235" s="17">
        <v>-1.603629768829455</v>
      </c>
      <c r="AJ235" s="17">
        <v>-0.55690825498325469</v>
      </c>
      <c r="AK235" s="17">
        <v>0.41256201738018505</v>
      </c>
      <c r="AM235" s="17">
        <v>-0.81102987991452347</v>
      </c>
      <c r="AN235" s="17">
        <v>0.73511121147423053</v>
      </c>
      <c r="AO235" s="17">
        <v>0.63055408132726232</v>
      </c>
      <c r="AP235" s="17">
        <v>0.36631343380913695</v>
      </c>
      <c r="AQ235" s="17">
        <v>0.88545286351545216</v>
      </c>
      <c r="AR235" s="17">
        <v>-0.69638656559487677</v>
      </c>
      <c r="AS235" s="17">
        <v>-0.82439451865540203</v>
      </c>
      <c r="AT235" s="17">
        <v>0.81464682057726667</v>
      </c>
      <c r="AU235" s="17">
        <v>0.82973157096638483</v>
      </c>
      <c r="AV235" s="17">
        <v>0.90091908817510546</v>
      </c>
      <c r="AW235" s="17">
        <v>-0.66035357791515481</v>
      </c>
      <c r="AX235" s="17">
        <v>0.87409024518580547</v>
      </c>
      <c r="AY235" s="17">
        <v>-0.6843986250755365</v>
      </c>
      <c r="AZ235" s="17">
        <v>0.90362356879394423</v>
      </c>
      <c r="BA235" s="17">
        <v>0.75812259187585618</v>
      </c>
      <c r="BB235" s="17">
        <v>0.70098578606157091</v>
      </c>
      <c r="BC235" s="17">
        <v>0.40680475513394493</v>
      </c>
      <c r="BD235" s="17">
        <v>-0.92583295572385738</v>
      </c>
      <c r="BE235" s="17">
        <v>-0.45152178076920146</v>
      </c>
      <c r="BF235" s="17">
        <v>0.31248262299059604</v>
      </c>
      <c r="BK235" s="20">
        <v>1.0366447757516581</v>
      </c>
      <c r="BL235" s="20">
        <v>-3.6569269618067585E-2</v>
      </c>
      <c r="BN235" s="21">
        <f t="shared" si="11"/>
        <v>0</v>
      </c>
    </row>
    <row r="236" spans="1:66">
      <c r="A236" s="14">
        <v>9.5670000000000002</v>
      </c>
      <c r="B236" s="14">
        <v>15.91</v>
      </c>
      <c r="C236" s="14">
        <v>60.21</v>
      </c>
      <c r="D236" s="14">
        <v>279.60000000000002</v>
      </c>
      <c r="E236" s="14">
        <v>4.0869999999999997E-2</v>
      </c>
      <c r="F236" s="14">
        <v>1.652E-2</v>
      </c>
      <c r="G236" s="14">
        <v>1.6670000000000001E-2</v>
      </c>
      <c r="H236" s="14">
        <v>10.51</v>
      </c>
      <c r="I236" s="14">
        <v>335.9</v>
      </c>
      <c r="J236" s="14">
        <v>7.2220000000000006E-2</v>
      </c>
      <c r="M236" s="16">
        <v>0</v>
      </c>
      <c r="O236" s="12">
        <f t="shared" si="9"/>
        <v>1</v>
      </c>
      <c r="P236" s="12">
        <f t="shared" si="10"/>
        <v>0</v>
      </c>
      <c r="R236" s="17">
        <v>-1.4643074708783446</v>
      </c>
      <c r="S236" s="17">
        <v>1.0359333700219733</v>
      </c>
      <c r="T236" s="17">
        <v>0.4503249130137873</v>
      </c>
      <c r="U236" s="17">
        <v>0.47751119115197871</v>
      </c>
      <c r="V236" s="17">
        <v>1.5052132201123889</v>
      </c>
      <c r="W236" s="17">
        <v>-1.2567352733816861</v>
      </c>
      <c r="X236" s="17">
        <v>-1.4659127711484521</v>
      </c>
      <c r="Y236" s="17">
        <v>0.877385815472147</v>
      </c>
      <c r="Z236" s="17">
        <v>1.7463530467411736</v>
      </c>
      <c r="AA236" s="17">
        <v>1.2163845753889837</v>
      </c>
      <c r="AB236" s="17">
        <v>-0.28839333793737798</v>
      </c>
      <c r="AC236" s="17">
        <v>1.0652147513376473</v>
      </c>
      <c r="AD236" s="17">
        <v>-0.81583654438301023</v>
      </c>
      <c r="AE236" s="17">
        <v>1.6894094608623824</v>
      </c>
      <c r="AF236" s="17">
        <v>0.2496334827590041</v>
      </c>
      <c r="AG236" s="17">
        <v>0.29010426800531797</v>
      </c>
      <c r="AH236" s="17">
        <v>0.55723475600471262</v>
      </c>
      <c r="AI236" s="17">
        <v>-1.603629768829455</v>
      </c>
      <c r="AJ236" s="17">
        <v>-0.55690825498325469</v>
      </c>
      <c r="AK236" s="17">
        <v>0.41256201738018505</v>
      </c>
      <c r="AM236" s="17">
        <v>-0.64730124789011678</v>
      </c>
      <c r="AN236" s="17">
        <v>0.65906590430734435</v>
      </c>
      <c r="AO236" s="17">
        <v>0.7942596662290764</v>
      </c>
      <c r="AP236" s="17">
        <v>0.27174706946994531</v>
      </c>
      <c r="AQ236" s="17">
        <v>0.83695195639429887</v>
      </c>
      <c r="AR236" s="17">
        <v>-0.43761644098883434</v>
      </c>
      <c r="AS236" s="17">
        <v>-0.68583454781026498</v>
      </c>
      <c r="AT236" s="17">
        <v>0.85499790678195509</v>
      </c>
      <c r="AU236" s="17">
        <v>0.56344337981621395</v>
      </c>
      <c r="AV236" s="17">
        <v>0.91921444234926408</v>
      </c>
      <c r="AW236" s="17">
        <v>-0.81859360620481969</v>
      </c>
      <c r="AX236" s="17">
        <v>0.90265844720336164</v>
      </c>
      <c r="AY236" s="17">
        <v>-0.66041171911541663</v>
      </c>
      <c r="AZ236" s="17">
        <v>0.8392002847889356</v>
      </c>
      <c r="BA236" s="17">
        <v>0.91081350164518915</v>
      </c>
      <c r="BB236" s="17">
        <v>0.85754595543899159</v>
      </c>
      <c r="BC236" s="17">
        <v>0.28794923813719014</v>
      </c>
      <c r="BD236" s="17">
        <v>-0.91027464684357307</v>
      </c>
      <c r="BE236" s="17">
        <v>-0.37370508423125243</v>
      </c>
      <c r="BF236" s="17">
        <v>0.15011011785925782</v>
      </c>
      <c r="BK236" s="20">
        <v>9.9743101388368362E-3</v>
      </c>
      <c r="BL236" s="20">
        <v>0.99005216965897735</v>
      </c>
      <c r="BN236" s="21">
        <f t="shared" si="11"/>
        <v>1</v>
      </c>
    </row>
    <row r="237" spans="1:66">
      <c r="A237" s="14">
        <v>14.03</v>
      </c>
      <c r="B237" s="14">
        <v>21.25</v>
      </c>
      <c r="C237" s="14">
        <v>89.79</v>
      </c>
      <c r="D237" s="14">
        <v>603.4</v>
      </c>
      <c r="E237" s="14">
        <v>6.9449999999999998E-2</v>
      </c>
      <c r="F237" s="14">
        <v>1.4619999999999999E-2</v>
      </c>
      <c r="G237" s="14">
        <v>1.8960000000000001E-2</v>
      </c>
      <c r="H237" s="14">
        <v>15.33</v>
      </c>
      <c r="I237" s="14">
        <v>715.5</v>
      </c>
      <c r="J237" s="14">
        <v>7.9630000000000006E-2</v>
      </c>
      <c r="M237" s="16">
        <v>0</v>
      </c>
      <c r="O237" s="12">
        <f t="shared" si="9"/>
        <v>1</v>
      </c>
      <c r="P237" s="12">
        <f t="shared" si="10"/>
        <v>0</v>
      </c>
      <c r="R237" s="17">
        <v>-1.4643074708783446</v>
      </c>
      <c r="S237" s="17">
        <v>1.0359333700219733</v>
      </c>
      <c r="T237" s="17">
        <v>-1.5496750869862126</v>
      </c>
      <c r="U237" s="17">
        <v>0.47751119115197871</v>
      </c>
      <c r="V237" s="17">
        <v>1.5052132201123889</v>
      </c>
      <c r="W237" s="17">
        <v>-1.2567352733816861</v>
      </c>
      <c r="X237" s="17">
        <v>-1.4659127711484521</v>
      </c>
      <c r="Y237" s="17">
        <v>0.877385815472147</v>
      </c>
      <c r="Z237" s="17">
        <v>1.7463530467411736</v>
      </c>
      <c r="AA237" s="17">
        <v>1.2163845753889837</v>
      </c>
      <c r="AB237" s="17">
        <v>-0.28839333793737798</v>
      </c>
      <c r="AC237" s="17">
        <v>1.0652147513376473</v>
      </c>
      <c r="AD237" s="17">
        <v>-0.81583654438301023</v>
      </c>
      <c r="AE237" s="17">
        <v>1.6894094608623824</v>
      </c>
      <c r="AF237" s="17">
        <v>0.2496334827590041</v>
      </c>
      <c r="AG237" s="17">
        <v>0.29010426800531797</v>
      </c>
      <c r="AH237" s="17">
        <v>0.55723475600471262</v>
      </c>
      <c r="AI237" s="17">
        <v>-1.603629768829455</v>
      </c>
      <c r="AJ237" s="17">
        <v>-0.55690825498325469</v>
      </c>
      <c r="AK237" s="17">
        <v>-1.5874379826198148</v>
      </c>
      <c r="AM237" s="17">
        <v>-0.84582403505082204</v>
      </c>
      <c r="AN237" s="17">
        <v>0.76347860248570976</v>
      </c>
      <c r="AO237" s="17">
        <v>0.65866350917315863</v>
      </c>
      <c r="AP237" s="17">
        <v>0.39598865101157688</v>
      </c>
      <c r="AQ237" s="17">
        <v>0.90351913729006006</v>
      </c>
      <c r="AR237" s="17">
        <v>-0.74722909338103438</v>
      </c>
      <c r="AS237" s="17">
        <v>-0.85591693258375745</v>
      </c>
      <c r="AT237" s="17">
        <v>0.82143154797289797</v>
      </c>
      <c r="AU237" s="17">
        <v>0.87069307532712603</v>
      </c>
      <c r="AV237" s="17">
        <v>0.907981031903632</v>
      </c>
      <c r="AW237" s="17">
        <v>-0.64020292833181958</v>
      </c>
      <c r="AX237" s="17">
        <v>0.8806187444168877</v>
      </c>
      <c r="AY237" s="17">
        <v>-0.70574171647198469</v>
      </c>
      <c r="AZ237" s="17">
        <v>0.9218621392984484</v>
      </c>
      <c r="BA237" s="17">
        <v>0.73114951611138257</v>
      </c>
      <c r="BB237" s="17">
        <v>0.67887729953059917</v>
      </c>
      <c r="BC237" s="17">
        <v>0.44137928178010799</v>
      </c>
      <c r="BD237" s="17">
        <v>-0.93681092346520234</v>
      </c>
      <c r="BE237" s="17">
        <v>-0.48021775275576462</v>
      </c>
      <c r="BF237" s="17">
        <v>0.32475523482345647</v>
      </c>
      <c r="BK237" s="20">
        <v>-1.437766443654202E-2</v>
      </c>
      <c r="BL237" s="20">
        <v>1.0144035351840619</v>
      </c>
      <c r="BN237" s="21">
        <f t="shared" si="11"/>
        <v>1</v>
      </c>
    </row>
    <row r="238" spans="1:66">
      <c r="A238" s="14">
        <v>23.21</v>
      </c>
      <c r="B238" s="14">
        <v>26.97</v>
      </c>
      <c r="C238" s="14">
        <v>153.5</v>
      </c>
      <c r="D238" s="14">
        <v>1670</v>
      </c>
      <c r="E238" s="14">
        <v>0.16819999999999999</v>
      </c>
      <c r="F238" s="14">
        <v>0.19500000000000001</v>
      </c>
      <c r="G238" s="14">
        <v>0.1237</v>
      </c>
      <c r="H238" s="14">
        <v>31.01</v>
      </c>
      <c r="I238" s="14">
        <v>2944</v>
      </c>
      <c r="J238" s="14">
        <v>0.25929999999999997</v>
      </c>
      <c r="M238" s="16">
        <v>1</v>
      </c>
      <c r="O238" s="12">
        <f t="shared" si="9"/>
        <v>0</v>
      </c>
      <c r="P238" s="12">
        <f t="shared" si="10"/>
        <v>1</v>
      </c>
      <c r="R238" s="17">
        <v>-0.86216493245391179</v>
      </c>
      <c r="S238" s="17">
        <v>0.86592397083683859</v>
      </c>
      <c r="T238" s="17">
        <v>1.1492407566427856</v>
      </c>
      <c r="U238" s="17">
        <v>0.30971288832147947</v>
      </c>
      <c r="V238" s="17">
        <v>1.322038261257461</v>
      </c>
      <c r="W238" s="17">
        <v>-0.54000870393571332</v>
      </c>
      <c r="X238" s="17">
        <v>-0.93446499101467595</v>
      </c>
      <c r="Y238" s="17">
        <v>1.3623707400649003</v>
      </c>
      <c r="Z238" s="17">
        <v>0.73556995189170193</v>
      </c>
      <c r="AA238" s="17">
        <v>1.6983871669386827</v>
      </c>
      <c r="AB238" s="17">
        <v>-1.2113068807979621</v>
      </c>
      <c r="AC238" s="17">
        <v>1.5906603286575782</v>
      </c>
      <c r="AD238" s="17">
        <v>-0.8593627097567913</v>
      </c>
      <c r="AE238" s="17">
        <v>1.3374666300864129</v>
      </c>
      <c r="AF238" s="17">
        <v>1.6049118769290147</v>
      </c>
      <c r="AG238" s="17">
        <v>1.3481853892245086</v>
      </c>
      <c r="AH238" s="17">
        <v>0.33128292594394448</v>
      </c>
      <c r="AI238" s="17">
        <v>-1.6572512841003593</v>
      </c>
      <c r="AJ238" s="17">
        <v>-0.4315878441673433</v>
      </c>
      <c r="AK238" s="17">
        <v>0.36566030452793208</v>
      </c>
      <c r="AM238" s="17">
        <v>-0.79514670494505757</v>
      </c>
      <c r="AN238" s="17">
        <v>0.73486040792116714</v>
      </c>
      <c r="AO238" s="17">
        <v>0.7525755530450734</v>
      </c>
      <c r="AP238" s="17">
        <v>0.35664369529362105</v>
      </c>
      <c r="AQ238" s="17">
        <v>0.8869487764357934</v>
      </c>
      <c r="AR238" s="17">
        <v>-0.66265472149893501</v>
      </c>
      <c r="AS238" s="17">
        <v>-0.81246877548528706</v>
      </c>
      <c r="AT238" s="17">
        <v>0.83867530473639729</v>
      </c>
      <c r="AU238" s="17">
        <v>0.79989445065440534</v>
      </c>
      <c r="AV238" s="17">
        <v>0.91530687010972134</v>
      </c>
      <c r="AW238" s="17">
        <v>-0.72172492855812365</v>
      </c>
      <c r="AX238" s="17">
        <v>0.8926303788284522</v>
      </c>
      <c r="AY238" s="17">
        <v>-0.69547360972875027</v>
      </c>
      <c r="AZ238" s="17">
        <v>0.90177800480482662</v>
      </c>
      <c r="BA238" s="17">
        <v>0.82149186327411827</v>
      </c>
      <c r="BB238" s="17">
        <v>0.76305868647850872</v>
      </c>
      <c r="BC238" s="17">
        <v>0.39282159828639873</v>
      </c>
      <c r="BD238" s="17">
        <v>-0.9310293836851784</v>
      </c>
      <c r="BE238" s="17">
        <v>-0.44799802501263181</v>
      </c>
      <c r="BF238" s="17">
        <v>0.24349578115951198</v>
      </c>
      <c r="BK238" s="20">
        <v>1.0348463027833275</v>
      </c>
      <c r="BL238" s="20">
        <v>-3.4867307068066442E-2</v>
      </c>
      <c r="BN238" s="21">
        <f t="shared" si="11"/>
        <v>0</v>
      </c>
    </row>
    <row r="239" spans="1:66">
      <c r="A239" s="14">
        <v>20.48</v>
      </c>
      <c r="B239" s="14">
        <v>21.46</v>
      </c>
      <c r="C239" s="14">
        <v>132.5</v>
      </c>
      <c r="D239" s="14">
        <v>1306</v>
      </c>
      <c r="E239" s="14">
        <v>8.3479999999999999E-2</v>
      </c>
      <c r="F239" s="14">
        <v>9.042E-2</v>
      </c>
      <c r="G239" s="14">
        <v>6.0220000000000003E-2</v>
      </c>
      <c r="H239" s="14">
        <v>24.22</v>
      </c>
      <c r="I239" s="14">
        <v>1750</v>
      </c>
      <c r="J239" s="14">
        <v>0.14449999999999999</v>
      </c>
      <c r="M239" s="16">
        <v>1</v>
      </c>
      <c r="O239" s="12">
        <f t="shared" si="9"/>
        <v>0</v>
      </c>
      <c r="P239" s="12">
        <f t="shared" si="10"/>
        <v>1</v>
      </c>
      <c r="R239" s="17">
        <v>-1.4643074708783446</v>
      </c>
      <c r="S239" s="17">
        <v>1.0359333700219733</v>
      </c>
      <c r="T239" s="17">
        <v>0.4503249130137873</v>
      </c>
      <c r="U239" s="17">
        <v>0.47751119115197871</v>
      </c>
      <c r="V239" s="17">
        <v>1.5052132201123889</v>
      </c>
      <c r="W239" s="17">
        <v>-1.2567352733816861</v>
      </c>
      <c r="X239" s="17">
        <v>-1.4659127711484521</v>
      </c>
      <c r="Y239" s="17">
        <v>0.877385815472147</v>
      </c>
      <c r="Z239" s="17">
        <v>1.7463530467411736</v>
      </c>
      <c r="AA239" s="17">
        <v>1.2163845753889837</v>
      </c>
      <c r="AB239" s="17">
        <v>-0.28839333793737798</v>
      </c>
      <c r="AC239" s="17">
        <v>1.0652147513376473</v>
      </c>
      <c r="AD239" s="17">
        <v>-0.81583654438301023</v>
      </c>
      <c r="AE239" s="17">
        <v>1.6894094608623824</v>
      </c>
      <c r="AF239" s="17">
        <v>0.2496334827590041</v>
      </c>
      <c r="AG239" s="17">
        <v>0.29010426800531797</v>
      </c>
      <c r="AH239" s="17">
        <v>0.55723475600471262</v>
      </c>
      <c r="AI239" s="17">
        <v>-1.603629768829455</v>
      </c>
      <c r="AJ239" s="17">
        <v>-0.55690825498325469</v>
      </c>
      <c r="AK239" s="17">
        <v>0.41256201738018505</v>
      </c>
      <c r="AM239" s="17">
        <v>-0.78003372509269897</v>
      </c>
      <c r="AN239" s="17">
        <v>0.73002040485734288</v>
      </c>
      <c r="AO239" s="17">
        <v>0.7370303468619902</v>
      </c>
      <c r="AP239" s="17">
        <v>0.34699964992523807</v>
      </c>
      <c r="AQ239" s="17">
        <v>0.88463350718171807</v>
      </c>
      <c r="AR239" s="17">
        <v>-0.63485810357816896</v>
      </c>
      <c r="AS239" s="17">
        <v>-0.80025838120991921</v>
      </c>
      <c r="AT239" s="17">
        <v>0.84867711135945301</v>
      </c>
      <c r="AU239" s="17">
        <v>0.77413493447458903</v>
      </c>
      <c r="AV239" s="17">
        <v>0.9207973001148323</v>
      </c>
      <c r="AW239" s="17">
        <v>-0.75112013498430152</v>
      </c>
      <c r="AX239" s="17">
        <v>0.90004954040796503</v>
      </c>
      <c r="AY239" s="17">
        <v>-0.69756548621382264</v>
      </c>
      <c r="AZ239" s="17">
        <v>0.89754690816819005</v>
      </c>
      <c r="BA239" s="17">
        <v>0.84983685947457255</v>
      </c>
      <c r="BB239" s="17">
        <v>0.79213748481651491</v>
      </c>
      <c r="BC239" s="17">
        <v>0.38012075872487117</v>
      </c>
      <c r="BD239" s="17">
        <v>-0.93179437725118319</v>
      </c>
      <c r="BE239" s="17">
        <v>-0.44161071894960785</v>
      </c>
      <c r="BF239" s="17">
        <v>0.35918137329595079</v>
      </c>
      <c r="BK239" s="20">
        <v>1.0254335616498591</v>
      </c>
      <c r="BL239" s="20">
        <v>-2.5432017595380864E-2</v>
      </c>
      <c r="BN239" s="21">
        <f t="shared" si="11"/>
        <v>0</v>
      </c>
    </row>
    <row r="240" spans="1:66">
      <c r="A240" s="14">
        <v>14.22</v>
      </c>
      <c r="B240" s="14">
        <v>27.85</v>
      </c>
      <c r="C240" s="14">
        <v>92.55</v>
      </c>
      <c r="D240" s="14">
        <v>623.9</v>
      </c>
      <c r="E240" s="14">
        <v>0.10390000000000001</v>
      </c>
      <c r="F240" s="14">
        <v>0.1103</v>
      </c>
      <c r="G240" s="14">
        <v>4.4080000000000001E-2</v>
      </c>
      <c r="H240" s="14">
        <v>15.75</v>
      </c>
      <c r="I240" s="14">
        <v>764</v>
      </c>
      <c r="J240" s="14">
        <v>8.2189999999999999E-2</v>
      </c>
      <c r="M240" s="16">
        <v>0</v>
      </c>
      <c r="O240" s="12">
        <f t="shared" si="9"/>
        <v>1</v>
      </c>
      <c r="P240" s="12">
        <f t="shared" si="10"/>
        <v>0</v>
      </c>
      <c r="R240" s="17">
        <v>-0.86216493245391179</v>
      </c>
      <c r="S240" s="17">
        <v>0.86592397083683859</v>
      </c>
      <c r="T240" s="17">
        <v>1.1492407566427856</v>
      </c>
      <c r="U240" s="17">
        <v>0.30971288832147947</v>
      </c>
      <c r="V240" s="17">
        <v>1.322038261257461</v>
      </c>
      <c r="W240" s="17">
        <v>-0.54000870393571332</v>
      </c>
      <c r="X240" s="17">
        <v>-0.93446499101467595</v>
      </c>
      <c r="Y240" s="17">
        <v>1.3623707400649003</v>
      </c>
      <c r="Z240" s="17">
        <v>0.73556995189170193</v>
      </c>
      <c r="AA240" s="17">
        <v>1.6983871669386827</v>
      </c>
      <c r="AB240" s="17">
        <v>-1.2113068807979621</v>
      </c>
      <c r="AC240" s="17">
        <v>1.5906603286575782</v>
      </c>
      <c r="AD240" s="17">
        <v>-0.8593627097567913</v>
      </c>
      <c r="AE240" s="17">
        <v>1.3374666300864129</v>
      </c>
      <c r="AF240" s="17">
        <v>1.6049118769290147</v>
      </c>
      <c r="AG240" s="17">
        <v>1.3481853892245086</v>
      </c>
      <c r="AH240" s="17">
        <v>0.33128292594394448</v>
      </c>
      <c r="AI240" s="17">
        <v>-1.6572512841003593</v>
      </c>
      <c r="AJ240" s="17">
        <v>-0.4315878441673433</v>
      </c>
      <c r="AK240" s="17">
        <v>0.36855157026799001</v>
      </c>
      <c r="AM240" s="17">
        <v>-0.88625972464125946</v>
      </c>
      <c r="AN240" s="17">
        <v>0.78225137535163447</v>
      </c>
      <c r="AO240" s="17">
        <v>0.61840035618708578</v>
      </c>
      <c r="AP240" s="17">
        <v>0.43362785292091627</v>
      </c>
      <c r="AQ240" s="17">
        <v>0.91240806364765348</v>
      </c>
      <c r="AR240" s="17">
        <v>-0.82106461604102288</v>
      </c>
      <c r="AS240" s="17">
        <v>-0.88998356832742476</v>
      </c>
      <c r="AT240" s="17">
        <v>0.77475101140564628</v>
      </c>
      <c r="AU240" s="17">
        <v>0.92296664788496474</v>
      </c>
      <c r="AV240" s="17">
        <v>0.88272000814601459</v>
      </c>
      <c r="AW240" s="17">
        <v>-0.47105022016052001</v>
      </c>
      <c r="AX240" s="17">
        <v>0.84510347271812303</v>
      </c>
      <c r="AY240" s="17">
        <v>-0.70026693002695706</v>
      </c>
      <c r="AZ240" s="17">
        <v>0.93508013174713789</v>
      </c>
      <c r="BA240" s="17">
        <v>0.514002694070822</v>
      </c>
      <c r="BB240" s="17">
        <v>0.49578287391826437</v>
      </c>
      <c r="BC240" s="17">
        <v>0.48926001468353547</v>
      </c>
      <c r="BD240" s="17">
        <v>-0.93523590703606663</v>
      </c>
      <c r="BE240" s="17">
        <v>-0.50607267834522329</v>
      </c>
      <c r="BF240" s="17">
        <v>0.50707817374097519</v>
      </c>
      <c r="BK240" s="20">
        <v>1.0248123248702221</v>
      </c>
      <c r="BL240" s="20">
        <v>-2.4710562093260394E-2</v>
      </c>
      <c r="BN240" s="21">
        <f t="shared" si="11"/>
        <v>0</v>
      </c>
    </row>
    <row r="241" spans="1:66">
      <c r="A241" s="14">
        <v>17.46</v>
      </c>
      <c r="B241" s="14">
        <v>39.28</v>
      </c>
      <c r="C241" s="14">
        <v>113.4</v>
      </c>
      <c r="D241" s="14">
        <v>920.6</v>
      </c>
      <c r="E241" s="14">
        <v>0.1298</v>
      </c>
      <c r="F241" s="14">
        <v>0.14169999999999999</v>
      </c>
      <c r="G241" s="14">
        <v>8.8109999999999994E-2</v>
      </c>
      <c r="H241" s="14">
        <v>22.51</v>
      </c>
      <c r="I241" s="14">
        <v>1408</v>
      </c>
      <c r="J241" s="14">
        <v>0.20660000000000001</v>
      </c>
      <c r="M241" s="16">
        <v>1</v>
      </c>
      <c r="O241" s="12">
        <f t="shared" si="9"/>
        <v>0</v>
      </c>
      <c r="P241" s="12">
        <f t="shared" si="10"/>
        <v>1</v>
      </c>
      <c r="R241" s="17">
        <v>-1.4643074708783446</v>
      </c>
      <c r="S241" s="17">
        <v>1.0359333700219733</v>
      </c>
      <c r="T241" s="17">
        <v>0.4503249130137873</v>
      </c>
      <c r="U241" s="17">
        <v>0.47751119115197871</v>
      </c>
      <c r="V241" s="17">
        <v>1.5052132201123889</v>
      </c>
      <c r="W241" s="17">
        <v>-1.2567352733816861</v>
      </c>
      <c r="X241" s="17">
        <v>-1.4659127711484521</v>
      </c>
      <c r="Y241" s="17">
        <v>0.877385815472147</v>
      </c>
      <c r="Z241" s="17">
        <v>1.7463530467411736</v>
      </c>
      <c r="AA241" s="17">
        <v>1.2163845753889837</v>
      </c>
      <c r="AB241" s="17">
        <v>-0.28839333793737798</v>
      </c>
      <c r="AC241" s="17">
        <v>1.0652147513376473</v>
      </c>
      <c r="AD241" s="17">
        <v>-0.81583654438301023</v>
      </c>
      <c r="AE241" s="17">
        <v>1.6894094608623824</v>
      </c>
      <c r="AF241" s="17">
        <v>0.2496334827590041</v>
      </c>
      <c r="AG241" s="17">
        <v>0.29010426800531797</v>
      </c>
      <c r="AH241" s="17">
        <v>0.55723475600471262</v>
      </c>
      <c r="AI241" s="17">
        <v>-1.603629768829455</v>
      </c>
      <c r="AJ241" s="17">
        <v>-0.55690825498325469</v>
      </c>
      <c r="AK241" s="17">
        <v>0.41256201738018505</v>
      </c>
      <c r="AM241" s="17">
        <v>-0.73130961081478474</v>
      </c>
      <c r="AN241" s="17">
        <v>0.70820989734669137</v>
      </c>
      <c r="AO241" s="17">
        <v>0.77467406638212766</v>
      </c>
      <c r="AP241" s="17">
        <v>0.31746876517707695</v>
      </c>
      <c r="AQ241" s="17">
        <v>0.87163876249445316</v>
      </c>
      <c r="AR241" s="17">
        <v>-0.55396718982842608</v>
      </c>
      <c r="AS241" s="17">
        <v>-0.75955187686312564</v>
      </c>
      <c r="AT241" s="17">
        <v>0.86175629276024457</v>
      </c>
      <c r="AU241" s="17">
        <v>0.69326977531546974</v>
      </c>
      <c r="AV241" s="17">
        <v>0.92683545633990017</v>
      </c>
      <c r="AW241" s="17">
        <v>-0.79946870520671387</v>
      </c>
      <c r="AX241" s="17">
        <v>0.90919664157670721</v>
      </c>
      <c r="AY241" s="17">
        <v>-0.69184950622441921</v>
      </c>
      <c r="AZ241" s="17">
        <v>0.87992443693413158</v>
      </c>
      <c r="BA241" s="17">
        <v>0.89325316757217543</v>
      </c>
      <c r="BB241" s="17">
        <v>0.83889186857799869</v>
      </c>
      <c r="BC241" s="17">
        <v>0.34282516942166841</v>
      </c>
      <c r="BD241" s="17">
        <v>-0.92826591728715568</v>
      </c>
      <c r="BE241" s="17">
        <v>-0.41798270312493929</v>
      </c>
      <c r="BF241" s="17">
        <v>8.006288817689243E-2</v>
      </c>
      <c r="BK241" s="20">
        <v>-5.6004785619186516E-2</v>
      </c>
      <c r="BL241" s="20">
        <v>1.0559850753455249</v>
      </c>
      <c r="BN241" s="21">
        <f t="shared" si="11"/>
        <v>1</v>
      </c>
    </row>
    <row r="242" spans="1:66">
      <c r="A242" s="14">
        <v>13.64</v>
      </c>
      <c r="B242" s="14">
        <v>15.6</v>
      </c>
      <c r="C242" s="14">
        <v>87.38</v>
      </c>
      <c r="D242" s="14">
        <v>575.29999999999995</v>
      </c>
      <c r="E242" s="14">
        <v>6.6299999999999998E-2</v>
      </c>
      <c r="F242" s="14">
        <v>4.7050000000000002E-2</v>
      </c>
      <c r="G242" s="14">
        <v>3.7310000000000003E-2</v>
      </c>
      <c r="H242" s="14">
        <v>14.85</v>
      </c>
      <c r="I242" s="14">
        <v>683.4</v>
      </c>
      <c r="J242" s="14">
        <v>9.2219999999999996E-2</v>
      </c>
      <c r="M242" s="16">
        <v>0</v>
      </c>
      <c r="O242" s="12">
        <f t="shared" si="9"/>
        <v>1</v>
      </c>
      <c r="P242" s="12">
        <f t="shared" si="10"/>
        <v>0</v>
      </c>
      <c r="R242" s="17">
        <v>-0.86216493245391179</v>
      </c>
      <c r="S242" s="17">
        <v>0.86592397083683859</v>
      </c>
      <c r="T242" s="17">
        <v>1.1492407566427856</v>
      </c>
      <c r="U242" s="17">
        <v>0.30971288832147947</v>
      </c>
      <c r="V242" s="17">
        <v>1.322038261257461</v>
      </c>
      <c r="W242" s="17">
        <v>-0.54000870393571332</v>
      </c>
      <c r="X242" s="17">
        <v>-0.93446499101467595</v>
      </c>
      <c r="Y242" s="17">
        <v>1.3623707400649003</v>
      </c>
      <c r="Z242" s="17">
        <v>0.73556995189170193</v>
      </c>
      <c r="AA242" s="17">
        <v>1.6983871669386827</v>
      </c>
      <c r="AB242" s="17">
        <v>-1.2113068807979621</v>
      </c>
      <c r="AC242" s="17">
        <v>1.5906603286575782</v>
      </c>
      <c r="AD242" s="17">
        <v>-0.8593627097567913</v>
      </c>
      <c r="AE242" s="17">
        <v>1.3374666300864129</v>
      </c>
      <c r="AF242" s="17">
        <v>1.6049118769290147</v>
      </c>
      <c r="AG242" s="17">
        <v>1.3481853892245086</v>
      </c>
      <c r="AH242" s="17">
        <v>0.33128292594394448</v>
      </c>
      <c r="AI242" s="17">
        <v>-1.6572512841003593</v>
      </c>
      <c r="AJ242" s="17">
        <v>-0.4315878441673433</v>
      </c>
      <c r="AK242" s="17">
        <v>0.36873422441298942</v>
      </c>
      <c r="AM242" s="17">
        <v>-0.87751594680770073</v>
      </c>
      <c r="AN242" s="17">
        <v>0.62957068374282488</v>
      </c>
      <c r="AO242" s="17">
        <v>0.71836398693667436</v>
      </c>
      <c r="AP242" s="17">
        <v>0.3969235646319319</v>
      </c>
      <c r="AQ242" s="17">
        <v>0.76992951363008677</v>
      </c>
      <c r="AR242" s="17">
        <v>-0.87335092506794387</v>
      </c>
      <c r="AS242" s="17">
        <v>-0.86266594886939485</v>
      </c>
      <c r="AT242" s="17">
        <v>7.4655225264564806E-2</v>
      </c>
      <c r="AU242" s="17">
        <v>0.95492160332472198</v>
      </c>
      <c r="AV242" s="17">
        <v>0.26448883896357223</v>
      </c>
      <c r="AW242" s="17">
        <v>0.56906695773989613</v>
      </c>
      <c r="AX242" s="17">
        <v>0.14543212890873095</v>
      </c>
      <c r="AY242" s="17">
        <v>-0.40320966494805249</v>
      </c>
      <c r="AZ242" s="17">
        <v>0.8547601310343782</v>
      </c>
      <c r="BA242" s="17">
        <v>-0.78106462147657807</v>
      </c>
      <c r="BB242" s="17">
        <v>-0.6433732648030448</v>
      </c>
      <c r="BC242" s="17">
        <v>0.47506273757824236</v>
      </c>
      <c r="BD242" s="17">
        <v>-0.70051546071024573</v>
      </c>
      <c r="BE242" s="17">
        <v>-0.40364738033334591</v>
      </c>
      <c r="BF242" s="17">
        <v>0.97390619927893052</v>
      </c>
      <c r="BK242" s="20">
        <v>0.83685256415032472</v>
      </c>
      <c r="BL242" s="20">
        <v>0.16304649540293117</v>
      </c>
      <c r="BN242" s="21">
        <f t="shared" si="11"/>
        <v>0</v>
      </c>
    </row>
    <row r="243" spans="1:66">
      <c r="A243" s="14">
        <v>12.42</v>
      </c>
      <c r="B243" s="14">
        <v>15.04</v>
      </c>
      <c r="C243" s="14">
        <v>78.61</v>
      </c>
      <c r="D243" s="14">
        <v>476.5</v>
      </c>
      <c r="E243" s="14">
        <v>3.3930000000000002E-2</v>
      </c>
      <c r="F243" s="14">
        <v>1.0529999999999999E-2</v>
      </c>
      <c r="G243" s="14">
        <v>1.108E-2</v>
      </c>
      <c r="H243" s="14">
        <v>13.2</v>
      </c>
      <c r="I243" s="14">
        <v>543.4</v>
      </c>
      <c r="J243" s="14">
        <v>4.052E-2</v>
      </c>
      <c r="M243" s="16">
        <v>0</v>
      </c>
      <c r="O243" s="12">
        <f t="shared" si="9"/>
        <v>1</v>
      </c>
      <c r="P243" s="12">
        <f t="shared" si="10"/>
        <v>0</v>
      </c>
      <c r="R243" s="17">
        <v>-0.86216493245391179</v>
      </c>
      <c r="S243" s="17">
        <v>0.86592397083683859</v>
      </c>
      <c r="T243" s="17">
        <v>1.1492407566427856</v>
      </c>
      <c r="U243" s="17">
        <v>0.30971288832147947</v>
      </c>
      <c r="V243" s="17">
        <v>1.322038261257461</v>
      </c>
      <c r="W243" s="17">
        <v>-0.54000870393571332</v>
      </c>
      <c r="X243" s="17">
        <v>-0.93446499101467595</v>
      </c>
      <c r="Y243" s="17">
        <v>1.3623707400649003</v>
      </c>
      <c r="Z243" s="17">
        <v>0.73556995189170193</v>
      </c>
      <c r="AA243" s="17">
        <v>1.6983871669386827</v>
      </c>
      <c r="AB243" s="17">
        <v>-1.2113068807979621</v>
      </c>
      <c r="AC243" s="17">
        <v>1.5906603286575782</v>
      </c>
      <c r="AD243" s="17">
        <v>-0.8593627097567913</v>
      </c>
      <c r="AE243" s="17">
        <v>1.3374666300864129</v>
      </c>
      <c r="AF243" s="17">
        <v>1.6049118769290147</v>
      </c>
      <c r="AG243" s="17">
        <v>1.3481853892245086</v>
      </c>
      <c r="AH243" s="17">
        <v>0.33128292594394448</v>
      </c>
      <c r="AI243" s="17">
        <v>-1.6572512841003593</v>
      </c>
      <c r="AJ243" s="17">
        <v>-0.4315878441673433</v>
      </c>
      <c r="AK243" s="17">
        <v>0.36873422441298942</v>
      </c>
      <c r="AM243" s="17">
        <v>-0.8305748049287851</v>
      </c>
      <c r="AN243" s="17">
        <v>0.76906537111000051</v>
      </c>
      <c r="AO243" s="17">
        <v>0.83730134649413301</v>
      </c>
      <c r="AP243" s="17">
        <v>0.38652766767589264</v>
      </c>
      <c r="AQ243" s="17">
        <v>0.90924519408767923</v>
      </c>
      <c r="AR243" s="17">
        <v>-0.70826630750741681</v>
      </c>
      <c r="AS243" s="17">
        <v>-0.84556958805221305</v>
      </c>
      <c r="AT243" s="17">
        <v>0.86045769568213759</v>
      </c>
      <c r="AU243" s="17">
        <v>0.83899758579488137</v>
      </c>
      <c r="AV243" s="17">
        <v>0.93081854359864857</v>
      </c>
      <c r="AW243" s="17">
        <v>-0.74030683708425804</v>
      </c>
      <c r="AX243" s="17">
        <v>0.91021037836509422</v>
      </c>
      <c r="AY243" s="17">
        <v>-0.72771058346455497</v>
      </c>
      <c r="AZ243" s="17">
        <v>0.92298525409804721</v>
      </c>
      <c r="BA243" s="17">
        <v>0.83555262669134844</v>
      </c>
      <c r="BB243" s="17">
        <v>0.78026928111884286</v>
      </c>
      <c r="BC243" s="17">
        <v>0.42603241998140334</v>
      </c>
      <c r="BD243" s="17">
        <v>-0.94617616604239974</v>
      </c>
      <c r="BE243" s="17">
        <v>-0.48073421544138306</v>
      </c>
      <c r="BF243" s="17">
        <v>0.63605502096268263</v>
      </c>
      <c r="BK243" s="20">
        <v>0.68538707065408411</v>
      </c>
      <c r="BL243" s="20">
        <v>0.31456841905187632</v>
      </c>
      <c r="BN243" s="21">
        <f t="shared" si="11"/>
        <v>0</v>
      </c>
    </row>
    <row r="244" spans="1:66">
      <c r="A244" s="14">
        <v>11.3</v>
      </c>
      <c r="B244" s="14">
        <v>18.190000000000001</v>
      </c>
      <c r="C244" s="14">
        <v>73.930000000000007</v>
      </c>
      <c r="D244" s="14">
        <v>389.4</v>
      </c>
      <c r="E244" s="14">
        <v>0.13250000000000001</v>
      </c>
      <c r="F244" s="14">
        <v>0.15479999999999999</v>
      </c>
      <c r="G244" s="14">
        <v>2.8539999999999999E-2</v>
      </c>
      <c r="H244" s="14">
        <v>12.58</v>
      </c>
      <c r="I244" s="14">
        <v>472.9</v>
      </c>
      <c r="J244" s="14">
        <v>0.12180000000000001</v>
      </c>
      <c r="M244" s="16">
        <v>0</v>
      </c>
      <c r="O244" s="12">
        <f t="shared" si="9"/>
        <v>1</v>
      </c>
      <c r="P244" s="12">
        <f t="shared" si="10"/>
        <v>0</v>
      </c>
      <c r="R244" s="17">
        <v>-1.4643074708783446</v>
      </c>
      <c r="S244" s="17">
        <v>1.0359333700219733</v>
      </c>
      <c r="T244" s="17">
        <v>0.4503249130137873</v>
      </c>
      <c r="U244" s="17">
        <v>0.47751119115197871</v>
      </c>
      <c r="V244" s="17">
        <v>1.5052132201123889</v>
      </c>
      <c r="W244" s="17">
        <v>-1.2567352733816861</v>
      </c>
      <c r="X244" s="17">
        <v>-1.4659127711484521</v>
      </c>
      <c r="Y244" s="17">
        <v>0.877385815472147</v>
      </c>
      <c r="Z244" s="17">
        <v>1.7463530467411736</v>
      </c>
      <c r="AA244" s="17">
        <v>1.2163845753889837</v>
      </c>
      <c r="AB244" s="17">
        <v>-0.28839333793737798</v>
      </c>
      <c r="AC244" s="17">
        <v>1.0652147513376473</v>
      </c>
      <c r="AD244" s="17">
        <v>-0.81583654438301023</v>
      </c>
      <c r="AE244" s="17">
        <v>1.6894094608623824</v>
      </c>
      <c r="AF244" s="17">
        <v>0.2496334827590041</v>
      </c>
      <c r="AG244" s="17">
        <v>0.29010426800531797</v>
      </c>
      <c r="AH244" s="17">
        <v>0.55723475600471262</v>
      </c>
      <c r="AI244" s="17">
        <v>-1.603629768829455</v>
      </c>
      <c r="AJ244" s="17">
        <v>-0.55690825498325469</v>
      </c>
      <c r="AK244" s="17">
        <v>0.41256201738018505</v>
      </c>
      <c r="AM244" s="17">
        <v>-0.87853849895304548</v>
      </c>
      <c r="AN244" s="17">
        <v>0.76977650828076793</v>
      </c>
      <c r="AO244" s="17">
        <v>0.57697226323301742</v>
      </c>
      <c r="AP244" s="17">
        <v>0.4237324007164352</v>
      </c>
      <c r="AQ244" s="17">
        <v>0.90414429473843227</v>
      </c>
      <c r="AR244" s="17">
        <v>-0.81284268363409573</v>
      </c>
      <c r="AS244" s="17">
        <v>-0.88207815930208244</v>
      </c>
      <c r="AT244" s="17">
        <v>0.75698579868965543</v>
      </c>
      <c r="AU244" s="17">
        <v>0.91777366395778937</v>
      </c>
      <c r="AV244" s="17">
        <v>0.87006045359199236</v>
      </c>
      <c r="AW244" s="17">
        <v>-0.44412405631579494</v>
      </c>
      <c r="AX244" s="17">
        <v>0.83002955702685455</v>
      </c>
      <c r="AY244" s="17">
        <v>-0.68500835058770804</v>
      </c>
      <c r="AZ244" s="17">
        <v>0.92860635785421763</v>
      </c>
      <c r="BA244" s="17">
        <v>0.48089177838567815</v>
      </c>
      <c r="BB244" s="17">
        <v>0.46686056528141945</v>
      </c>
      <c r="BC244" s="17">
        <v>0.47903119787739629</v>
      </c>
      <c r="BD244" s="17">
        <v>-0.92772239808579426</v>
      </c>
      <c r="BE244" s="17">
        <v>-0.49409187958527967</v>
      </c>
      <c r="BF244" s="17">
        <v>6.0060360521061562E-2</v>
      </c>
      <c r="BK244" s="20">
        <v>0.99520612177719281</v>
      </c>
      <c r="BL244" s="20">
        <v>4.9626004111911438E-3</v>
      </c>
      <c r="BN244" s="21">
        <f t="shared" si="11"/>
        <v>0</v>
      </c>
    </row>
    <row r="245" spans="1:66">
      <c r="A245" s="14">
        <v>13.75</v>
      </c>
      <c r="B245" s="14">
        <v>23.77</v>
      </c>
      <c r="C245" s="14">
        <v>88.54</v>
      </c>
      <c r="D245" s="14">
        <v>590</v>
      </c>
      <c r="E245" s="14">
        <v>6.8070000000000006E-2</v>
      </c>
      <c r="F245" s="14">
        <v>4.6969999999999998E-2</v>
      </c>
      <c r="G245" s="14">
        <v>2.3439999999999999E-2</v>
      </c>
      <c r="H245" s="14">
        <v>15.01</v>
      </c>
      <c r="I245" s="14">
        <v>706</v>
      </c>
      <c r="J245" s="14">
        <v>6.1060000000000003E-2</v>
      </c>
      <c r="M245" s="16">
        <v>0</v>
      </c>
      <c r="O245" s="12">
        <f t="shared" si="9"/>
        <v>1</v>
      </c>
      <c r="P245" s="12">
        <f t="shared" si="10"/>
        <v>0</v>
      </c>
      <c r="R245" s="17">
        <v>-0.86216493245391179</v>
      </c>
      <c r="S245" s="17">
        <v>0.86592397083683859</v>
      </c>
      <c r="T245" s="17">
        <v>1.1492407566427856</v>
      </c>
      <c r="U245" s="17">
        <v>0.30971288832147947</v>
      </c>
      <c r="V245" s="17">
        <v>1.322038261257461</v>
      </c>
      <c r="W245" s="17">
        <v>-0.54000870393571332</v>
      </c>
      <c r="X245" s="17">
        <v>-0.93446499101467595</v>
      </c>
      <c r="Y245" s="17">
        <v>1.3623707400649003</v>
      </c>
      <c r="Z245" s="17">
        <v>0.73556995189170193</v>
      </c>
      <c r="AA245" s="17">
        <v>1.6983871669386827</v>
      </c>
      <c r="AB245" s="17">
        <v>-1.2113068807979621</v>
      </c>
      <c r="AC245" s="17">
        <v>1.5906603286575782</v>
      </c>
      <c r="AD245" s="17">
        <v>-0.8593627097567913</v>
      </c>
      <c r="AE245" s="17">
        <v>1.3374666300864129</v>
      </c>
      <c r="AF245" s="17">
        <v>1.6049118769290147</v>
      </c>
      <c r="AG245" s="17">
        <v>1.3481853892245086</v>
      </c>
      <c r="AH245" s="17">
        <v>0.33128292594394448</v>
      </c>
      <c r="AI245" s="17">
        <v>-1.6572512841003593</v>
      </c>
      <c r="AJ245" s="17">
        <v>-0.4315878441673433</v>
      </c>
      <c r="AK245" s="17">
        <v>0.36873412774071901</v>
      </c>
      <c r="AM245" s="17">
        <v>-0.81128858144723703</v>
      </c>
      <c r="AN245" s="17">
        <v>0.74445131654655217</v>
      </c>
      <c r="AO245" s="17">
        <v>0.71835168685613737</v>
      </c>
      <c r="AP245" s="17">
        <v>0.36846650855605012</v>
      </c>
      <c r="AQ245" s="17">
        <v>0.89278029129573455</v>
      </c>
      <c r="AR245" s="17">
        <v>-0.68855428918183359</v>
      </c>
      <c r="AS245" s="17">
        <v>-0.82642128176305629</v>
      </c>
      <c r="AT245" s="17">
        <v>0.83594281767046119</v>
      </c>
      <c r="AU245" s="17">
        <v>0.82272688928307947</v>
      </c>
      <c r="AV245" s="17">
        <v>0.91457750144284289</v>
      </c>
      <c r="AW245" s="17">
        <v>-0.70408762974961581</v>
      </c>
      <c r="AX245" s="17">
        <v>0.89091660247454607</v>
      </c>
      <c r="AY245" s="17">
        <v>-0.70011215792417603</v>
      </c>
      <c r="AZ245" s="17">
        <v>0.90859487507735293</v>
      </c>
      <c r="BA245" s="17">
        <v>0.80277931231937982</v>
      </c>
      <c r="BB245" s="17">
        <v>0.74508985586835341</v>
      </c>
      <c r="BC245" s="17">
        <v>0.40725390038482751</v>
      </c>
      <c r="BD245" s="17">
        <v>-0.93353429452601222</v>
      </c>
      <c r="BE245" s="17">
        <v>-0.4582063387743765</v>
      </c>
      <c r="BF245" s="17">
        <v>8.4812780862246487E-2</v>
      </c>
      <c r="BK245" s="20">
        <v>0.83237241126612938</v>
      </c>
      <c r="BL245" s="20">
        <v>0.16766885724298575</v>
      </c>
      <c r="BN245" s="21">
        <f t="shared" si="11"/>
        <v>0</v>
      </c>
    </row>
    <row r="246" spans="1:66">
      <c r="A246" s="14">
        <v>19.399999999999999</v>
      </c>
      <c r="B246" s="14">
        <v>23.5</v>
      </c>
      <c r="C246" s="14">
        <v>129.1</v>
      </c>
      <c r="D246" s="14">
        <v>1155</v>
      </c>
      <c r="E246" s="14">
        <v>0.15579999999999999</v>
      </c>
      <c r="F246" s="14">
        <v>0.2049</v>
      </c>
      <c r="G246" s="14">
        <v>8.8859999999999995E-2</v>
      </c>
      <c r="H246" s="14">
        <v>21.65</v>
      </c>
      <c r="I246" s="14">
        <v>1417</v>
      </c>
      <c r="J246" s="14">
        <v>0.15640000000000001</v>
      </c>
      <c r="M246" s="16">
        <v>1</v>
      </c>
      <c r="O246" s="12">
        <f t="shared" si="9"/>
        <v>0</v>
      </c>
      <c r="P246" s="12">
        <f t="shared" si="10"/>
        <v>1</v>
      </c>
      <c r="R246" s="17">
        <v>-1.4643074708783446</v>
      </c>
      <c r="S246" s="17">
        <v>1.0359333700219733</v>
      </c>
      <c r="T246" s="17">
        <v>0.4503249130137873</v>
      </c>
      <c r="U246" s="17">
        <v>0.47751119115197871</v>
      </c>
      <c r="V246" s="17">
        <v>1.5052132201123889</v>
      </c>
      <c r="W246" s="17">
        <v>-1.2567352733816861</v>
      </c>
      <c r="X246" s="17">
        <v>-1.4659127711484521</v>
      </c>
      <c r="Y246" s="17">
        <v>0.877385815472147</v>
      </c>
      <c r="Z246" s="17">
        <v>1.7463530467411736</v>
      </c>
      <c r="AA246" s="17">
        <v>1.2163845753889837</v>
      </c>
      <c r="AB246" s="17">
        <v>-0.28839333793737798</v>
      </c>
      <c r="AC246" s="17">
        <v>1.0652147513376473</v>
      </c>
      <c r="AD246" s="17">
        <v>-0.81583654438301023</v>
      </c>
      <c r="AE246" s="17">
        <v>1.6894094608623824</v>
      </c>
      <c r="AF246" s="17">
        <v>0.2496334827590041</v>
      </c>
      <c r="AG246" s="17">
        <v>0.29010426800531797</v>
      </c>
      <c r="AH246" s="17">
        <v>0.55723475600471262</v>
      </c>
      <c r="AI246" s="17">
        <v>-1.603629768829455</v>
      </c>
      <c r="AJ246" s="17">
        <v>-0.55690825498325469</v>
      </c>
      <c r="AK246" s="17">
        <v>0.41256201738018505</v>
      </c>
      <c r="AM246" s="17">
        <v>-0.7547465208037103</v>
      </c>
      <c r="AN246" s="17">
        <v>0.71066905314661066</v>
      </c>
      <c r="AO246" s="17">
        <v>0.7547994710248519</v>
      </c>
      <c r="AP246" s="17">
        <v>0.32954963829528611</v>
      </c>
      <c r="AQ246" s="17">
        <v>0.8714440044898174</v>
      </c>
      <c r="AR246" s="17">
        <v>-0.60060059083152251</v>
      </c>
      <c r="AS246" s="17">
        <v>-0.77734427879679968</v>
      </c>
      <c r="AT246" s="17">
        <v>0.84126180080190338</v>
      </c>
      <c r="AU246" s="17">
        <v>0.74129717305841014</v>
      </c>
      <c r="AV246" s="17">
        <v>0.91474196413629538</v>
      </c>
      <c r="AW246" s="17">
        <v>-0.75171598473512158</v>
      </c>
      <c r="AX246" s="17">
        <v>0.89373366644130137</v>
      </c>
      <c r="AY246" s="17">
        <v>-0.68216561170980883</v>
      </c>
      <c r="AZ246" s="17">
        <v>0.88380072232071749</v>
      </c>
      <c r="BA246" s="17">
        <v>0.85215174033805274</v>
      </c>
      <c r="BB246" s="17">
        <v>0.7932735063219214</v>
      </c>
      <c r="BC246" s="17">
        <v>0.35993798628522422</v>
      </c>
      <c r="BD246" s="17">
        <v>-0.92369854292787856</v>
      </c>
      <c r="BE246" s="17">
        <v>-0.42367255799345699</v>
      </c>
      <c r="BF246" s="17">
        <v>7.7292071422870853E-2</v>
      </c>
      <c r="BK246" s="20">
        <v>0.64100755637011753</v>
      </c>
      <c r="BL246" s="20">
        <v>0.35892481315487323</v>
      </c>
      <c r="BN246" s="21">
        <f t="shared" si="11"/>
        <v>0</v>
      </c>
    </row>
    <row r="247" spans="1:66">
      <c r="A247" s="14">
        <v>10.48</v>
      </c>
      <c r="B247" s="14">
        <v>19.86</v>
      </c>
      <c r="C247" s="14">
        <v>66.72</v>
      </c>
      <c r="D247" s="14">
        <v>337.7</v>
      </c>
      <c r="E247" s="14">
        <v>5.9709999999999999E-2</v>
      </c>
      <c r="F247" s="14">
        <v>4.8309999999999999E-2</v>
      </c>
      <c r="G247" s="14">
        <v>3.0700000000000002E-2</v>
      </c>
      <c r="H247" s="14">
        <v>11.48</v>
      </c>
      <c r="I247" s="14">
        <v>402.8</v>
      </c>
      <c r="J247" s="14">
        <v>6.7360000000000003E-2</v>
      </c>
      <c r="M247" s="16">
        <v>0</v>
      </c>
      <c r="O247" s="12">
        <f t="shared" si="9"/>
        <v>1</v>
      </c>
      <c r="P247" s="12">
        <f t="shared" si="10"/>
        <v>0</v>
      </c>
      <c r="R247" s="17">
        <v>-1.4643074708783446</v>
      </c>
      <c r="S247" s="17">
        <v>1.0359333700219733</v>
      </c>
      <c r="T247" s="17">
        <v>0.4503249130137873</v>
      </c>
      <c r="U247" s="17">
        <v>0.47751119115197871</v>
      </c>
      <c r="V247" s="17">
        <v>1.5052132201123889</v>
      </c>
      <c r="W247" s="17">
        <v>-1.2567352733816861</v>
      </c>
      <c r="X247" s="17">
        <v>-1.4659127711484521</v>
      </c>
      <c r="Y247" s="17">
        <v>0.877385815472147</v>
      </c>
      <c r="Z247" s="17">
        <v>1.7463530467411736</v>
      </c>
      <c r="AA247" s="17">
        <v>1.2163845753889837</v>
      </c>
      <c r="AB247" s="17">
        <v>-0.28839333793737798</v>
      </c>
      <c r="AC247" s="17">
        <v>1.0652147513376473</v>
      </c>
      <c r="AD247" s="17">
        <v>-0.81583654438301023</v>
      </c>
      <c r="AE247" s="17">
        <v>1.6894094608623824</v>
      </c>
      <c r="AF247" s="17">
        <v>0.2496334827590041</v>
      </c>
      <c r="AG247" s="17">
        <v>0.29010426800531797</v>
      </c>
      <c r="AH247" s="17">
        <v>0.55723475600471262</v>
      </c>
      <c r="AI247" s="17">
        <v>-1.603629768829455</v>
      </c>
      <c r="AJ247" s="17">
        <v>-0.55690825498325469</v>
      </c>
      <c r="AK247" s="17">
        <v>0.41256201738018505</v>
      </c>
      <c r="AM247" s="17">
        <v>-0.68111940565336315</v>
      </c>
      <c r="AN247" s="17">
        <v>0.67568005287675748</v>
      </c>
      <c r="AO247" s="17">
        <v>0.76159806358869742</v>
      </c>
      <c r="AP247" s="17">
        <v>0.2886202374004288</v>
      </c>
      <c r="AQ247" s="17">
        <v>0.84862820788809989</v>
      </c>
      <c r="AR247" s="17">
        <v>-0.48638597592306276</v>
      </c>
      <c r="AS247" s="17">
        <v>-0.71487469263490055</v>
      </c>
      <c r="AT247" s="17">
        <v>0.85330070277512204</v>
      </c>
      <c r="AU247" s="17">
        <v>0.61988337409367489</v>
      </c>
      <c r="AV247" s="17">
        <v>0.91935061288243258</v>
      </c>
      <c r="AW247" s="17">
        <v>-0.80478752766552719</v>
      </c>
      <c r="AX247" s="17">
        <v>0.90183451588033314</v>
      </c>
      <c r="AY247" s="17">
        <v>-0.66860228782777342</v>
      </c>
      <c r="AZ247" s="17">
        <v>0.85409101697807788</v>
      </c>
      <c r="BA247" s="17">
        <v>0.89943118710791548</v>
      </c>
      <c r="BB247" s="17">
        <v>0.84452459251584056</v>
      </c>
      <c r="BC247" s="17">
        <v>0.30879579385663442</v>
      </c>
      <c r="BD247" s="17">
        <v>-0.91534960015184141</v>
      </c>
      <c r="BE247" s="17">
        <v>-0.38892851228867809</v>
      </c>
      <c r="BF247" s="17">
        <v>-0.13071541107645773</v>
      </c>
      <c r="BK247" s="20">
        <v>0.12453807995959111</v>
      </c>
      <c r="BL247" s="20">
        <v>0.87554626445355166</v>
      </c>
      <c r="BN247" s="21">
        <f t="shared" si="11"/>
        <v>1</v>
      </c>
    </row>
    <row r="248" spans="1:66">
      <c r="A248" s="14">
        <v>13.2</v>
      </c>
      <c r="B248" s="14">
        <v>17.43</v>
      </c>
      <c r="C248" s="14">
        <v>84.13</v>
      </c>
      <c r="D248" s="14">
        <v>541.6</v>
      </c>
      <c r="E248" s="14">
        <v>4.5240000000000002E-2</v>
      </c>
      <c r="F248" s="14">
        <v>4.3360000000000003E-2</v>
      </c>
      <c r="G248" s="14">
        <v>1.1050000000000001E-2</v>
      </c>
      <c r="H248" s="14">
        <v>13.94</v>
      </c>
      <c r="I248" s="14">
        <v>602</v>
      </c>
      <c r="J248" s="14">
        <v>4.9700000000000001E-2</v>
      </c>
      <c r="M248" s="16">
        <v>0</v>
      </c>
      <c r="O248" s="12">
        <f t="shared" si="9"/>
        <v>1</v>
      </c>
      <c r="P248" s="12">
        <f t="shared" si="10"/>
        <v>0</v>
      </c>
      <c r="R248" s="17">
        <v>-1.4643074708783446</v>
      </c>
      <c r="S248" s="17">
        <v>1.0359333700219733</v>
      </c>
      <c r="T248" s="17">
        <v>0.4503249130137873</v>
      </c>
      <c r="U248" s="17">
        <v>0.47751119115197871</v>
      </c>
      <c r="V248" s="17">
        <v>1.5052132201123889</v>
      </c>
      <c r="W248" s="17">
        <v>-1.2567352733816861</v>
      </c>
      <c r="X248" s="17">
        <v>-1.4659127711484521</v>
      </c>
      <c r="Y248" s="17">
        <v>0.877385815472147</v>
      </c>
      <c r="Z248" s="17">
        <v>1.7463530467411736</v>
      </c>
      <c r="AA248" s="17">
        <v>1.2163845753889837</v>
      </c>
      <c r="AB248" s="17">
        <v>-0.28839333793737798</v>
      </c>
      <c r="AC248" s="17">
        <v>1.0652147513376473</v>
      </c>
      <c r="AD248" s="17">
        <v>-0.81583654438301023</v>
      </c>
      <c r="AE248" s="17">
        <v>1.6894094608623824</v>
      </c>
      <c r="AF248" s="17">
        <v>0.2496334827590041</v>
      </c>
      <c r="AG248" s="17">
        <v>0.29010426800531797</v>
      </c>
      <c r="AH248" s="17">
        <v>0.55723475600471262</v>
      </c>
      <c r="AI248" s="17">
        <v>-1.603629768829455</v>
      </c>
      <c r="AJ248" s="17">
        <v>-0.55690825498325469</v>
      </c>
      <c r="AK248" s="17">
        <v>0.41256201738018505</v>
      </c>
      <c r="AM248" s="17">
        <v>-0.90283490505437503</v>
      </c>
      <c r="AN248" s="17">
        <v>0.78133955134663402</v>
      </c>
      <c r="AO248" s="17">
        <v>-5.5548271650527016E-3</v>
      </c>
      <c r="AP248" s="17">
        <v>0.44995252740840358</v>
      </c>
      <c r="AQ248" s="17">
        <v>0.90922829876708278</v>
      </c>
      <c r="AR248" s="17">
        <v>-0.85626788355942673</v>
      </c>
      <c r="AS248" s="17">
        <v>-0.90295950055445728</v>
      </c>
      <c r="AT248" s="17">
        <v>0.7063464130858591</v>
      </c>
      <c r="AU248" s="17">
        <v>0.94445255308466558</v>
      </c>
      <c r="AV248" s="17">
        <v>0.84034844006585663</v>
      </c>
      <c r="AW248" s="17">
        <v>-0.27195415058972711</v>
      </c>
      <c r="AX248" s="17">
        <v>0.78910721524893968</v>
      </c>
      <c r="AY248" s="17">
        <v>-0.67702032103688603</v>
      </c>
      <c r="AZ248" s="17">
        <v>0.93681836648091454</v>
      </c>
      <c r="BA248" s="17">
        <v>0.22984188528334584</v>
      </c>
      <c r="BB248" s="17">
        <v>0.27187727814938073</v>
      </c>
      <c r="BC248" s="17">
        <v>0.51238503283903003</v>
      </c>
      <c r="BD248" s="17">
        <v>-0.92452297130221184</v>
      </c>
      <c r="BE248" s="17">
        <v>-0.5111461870061148</v>
      </c>
      <c r="BF248" s="17">
        <v>-0.25023598891634641</v>
      </c>
      <c r="BK248" s="20">
        <v>-4.3718460627846269E-2</v>
      </c>
      <c r="BL248" s="20">
        <v>1.0436687001662854</v>
      </c>
      <c r="BN248" s="21">
        <f t="shared" si="11"/>
        <v>1</v>
      </c>
    </row>
    <row r="249" spans="1:66">
      <c r="A249" s="14">
        <v>12.89</v>
      </c>
      <c r="B249" s="14">
        <v>14.11</v>
      </c>
      <c r="C249" s="14">
        <v>84.95</v>
      </c>
      <c r="D249" s="14">
        <v>512.20000000000005</v>
      </c>
      <c r="E249" s="14">
        <v>0.1346</v>
      </c>
      <c r="F249" s="14">
        <v>0.13739999999999999</v>
      </c>
      <c r="G249" s="14">
        <v>3.9800000000000002E-2</v>
      </c>
      <c r="H249" s="14">
        <v>14.39</v>
      </c>
      <c r="I249" s="14">
        <v>639.1</v>
      </c>
      <c r="J249" s="14">
        <v>0.15609999999999999</v>
      </c>
      <c r="M249" s="16">
        <v>0</v>
      </c>
      <c r="O249" s="12">
        <f t="shared" si="9"/>
        <v>1</v>
      </c>
      <c r="P249" s="12">
        <f t="shared" si="10"/>
        <v>0</v>
      </c>
      <c r="R249" s="17">
        <v>-1.4643074708783446</v>
      </c>
      <c r="S249" s="17">
        <v>1.0359333700219733</v>
      </c>
      <c r="T249" s="17">
        <v>0.4503249130137873</v>
      </c>
      <c r="U249" s="17">
        <v>0.47751119115197871</v>
      </c>
      <c r="V249" s="17">
        <v>1.5052132201123889</v>
      </c>
      <c r="W249" s="17">
        <v>-1.2567352733816861</v>
      </c>
      <c r="X249" s="17">
        <v>-1.4659127711484521</v>
      </c>
      <c r="Y249" s="17">
        <v>0.877385815472147</v>
      </c>
      <c r="Z249" s="17">
        <v>1.7463530467411736</v>
      </c>
      <c r="AA249" s="17">
        <v>1.2163845753889837</v>
      </c>
      <c r="AB249" s="17">
        <v>-0.28839333793737798</v>
      </c>
      <c r="AC249" s="17">
        <v>1.0652147513376473</v>
      </c>
      <c r="AD249" s="17">
        <v>-0.81583654438301023</v>
      </c>
      <c r="AE249" s="17">
        <v>1.6894094608623824</v>
      </c>
      <c r="AF249" s="17">
        <v>0.2496334827590041</v>
      </c>
      <c r="AG249" s="17">
        <v>0.29010426800531797</v>
      </c>
      <c r="AH249" s="17">
        <v>0.55723475600471262</v>
      </c>
      <c r="AI249" s="17">
        <v>-1.603629768829455</v>
      </c>
      <c r="AJ249" s="17">
        <v>-0.55690825498325469</v>
      </c>
      <c r="AK249" s="17">
        <v>0.41256201737951603</v>
      </c>
      <c r="AM249" s="17">
        <v>-0.90698231209477365</v>
      </c>
      <c r="AN249" s="17">
        <v>0.79044458914008597</v>
      </c>
      <c r="AO249" s="17">
        <v>-0.57459142420524423</v>
      </c>
      <c r="AP249" s="17">
        <v>0.45656092375276053</v>
      </c>
      <c r="AQ249" s="17">
        <v>0.91534851650677118</v>
      </c>
      <c r="AR249" s="17">
        <v>-0.85988201749639659</v>
      </c>
      <c r="AS249" s="17">
        <v>-0.90748160966632552</v>
      </c>
      <c r="AT249" s="17">
        <v>0.7252983868657632</v>
      </c>
      <c r="AU249" s="17">
        <v>0.94642709402408343</v>
      </c>
      <c r="AV249" s="17">
        <v>0.85395969167604724</v>
      </c>
      <c r="AW249" s="17">
        <v>-0.30449327684744515</v>
      </c>
      <c r="AX249" s="17">
        <v>0.80560522288437519</v>
      </c>
      <c r="AY249" s="17">
        <v>-0.6898267332324578</v>
      </c>
      <c r="AZ249" s="17">
        <v>0.9411486483548771</v>
      </c>
      <c r="BA249" s="17">
        <v>0.27410382381648135</v>
      </c>
      <c r="BB249" s="17">
        <v>0.30810487401512315</v>
      </c>
      <c r="BC249" s="17">
        <v>0.51885213112171391</v>
      </c>
      <c r="BD249" s="17">
        <v>-0.93096652462178342</v>
      </c>
      <c r="BE249" s="17">
        <v>-0.51980586990247968</v>
      </c>
      <c r="BF249" s="17">
        <v>-0.64596273705404383</v>
      </c>
      <c r="BK249" s="20">
        <v>1.0470457782472034</v>
      </c>
      <c r="BL249" s="20">
        <v>-4.7105106881392939E-2</v>
      </c>
      <c r="BN249" s="21">
        <f t="shared" si="11"/>
        <v>0</v>
      </c>
    </row>
    <row r="250" spans="1:66">
      <c r="A250" s="14">
        <v>10.65</v>
      </c>
      <c r="B250" s="14">
        <v>25.22</v>
      </c>
      <c r="C250" s="14">
        <v>68.010000000000005</v>
      </c>
      <c r="D250" s="14">
        <v>347</v>
      </c>
      <c r="E250" s="14">
        <v>7.2340000000000002E-2</v>
      </c>
      <c r="F250" s="14">
        <v>2.3789999999999999E-2</v>
      </c>
      <c r="G250" s="14">
        <v>1.6150000000000001E-2</v>
      </c>
      <c r="H250" s="14">
        <v>12.25</v>
      </c>
      <c r="I250" s="14">
        <v>455.7</v>
      </c>
      <c r="J250" s="14">
        <v>6.1359999999999998E-2</v>
      </c>
      <c r="M250" s="16">
        <v>0</v>
      </c>
      <c r="O250" s="12">
        <f t="shared" si="9"/>
        <v>1</v>
      </c>
      <c r="P250" s="12">
        <f t="shared" si="10"/>
        <v>0</v>
      </c>
      <c r="R250" s="17">
        <v>-0.86216493245391179</v>
      </c>
      <c r="S250" s="17">
        <v>0.86592397083683859</v>
      </c>
      <c r="T250" s="17">
        <v>1.1492407566427856</v>
      </c>
      <c r="U250" s="17">
        <v>0.30971288832147947</v>
      </c>
      <c r="V250" s="17">
        <v>1.322038261257461</v>
      </c>
      <c r="W250" s="17">
        <v>-0.54000870393571332</v>
      </c>
      <c r="X250" s="17">
        <v>-0.93446499101467595</v>
      </c>
      <c r="Y250" s="17">
        <v>1.3623707400649003</v>
      </c>
      <c r="Z250" s="17">
        <v>0.73556995189170193</v>
      </c>
      <c r="AA250" s="17">
        <v>1.6983871669386827</v>
      </c>
      <c r="AB250" s="17">
        <v>-1.2113068807979621</v>
      </c>
      <c r="AC250" s="17">
        <v>1.5906603286575782</v>
      </c>
      <c r="AD250" s="17">
        <v>-0.8593627097567913</v>
      </c>
      <c r="AE250" s="17">
        <v>1.3374666300864129</v>
      </c>
      <c r="AF250" s="17">
        <v>1.6049118769290147</v>
      </c>
      <c r="AG250" s="17">
        <v>1.3481853892245086</v>
      </c>
      <c r="AH250" s="17">
        <v>0.33128292594394448</v>
      </c>
      <c r="AI250" s="17">
        <v>-1.6572512841003593</v>
      </c>
      <c r="AJ250" s="17">
        <v>-0.4315878441673433</v>
      </c>
      <c r="AK250" s="17">
        <v>0.36873421661724726</v>
      </c>
      <c r="AM250" s="17">
        <v>-0.7415434790820371</v>
      </c>
      <c r="AN250" s="17">
        <v>0.72146912324292867</v>
      </c>
      <c r="AO250" s="17">
        <v>0.7995876055402138</v>
      </c>
      <c r="AP250" s="17">
        <v>0.3251388517500739</v>
      </c>
      <c r="AQ250" s="17">
        <v>0.88141675301411337</v>
      </c>
      <c r="AR250" s="17">
        <v>-0.56111229619631608</v>
      </c>
      <c r="AS250" s="17">
        <v>-0.77014819545060365</v>
      </c>
      <c r="AT250" s="17">
        <v>0.87425566579210201</v>
      </c>
      <c r="AU250" s="17">
        <v>0.70034502771498031</v>
      </c>
      <c r="AV250" s="17">
        <v>0.93508190739036934</v>
      </c>
      <c r="AW250" s="17">
        <v>-0.81692791204594051</v>
      </c>
      <c r="AX250" s="17">
        <v>0.91886128219562546</v>
      </c>
      <c r="AY250" s="17">
        <v>-0.7067610013525315</v>
      </c>
      <c r="AZ250" s="17">
        <v>0.88883753839716229</v>
      </c>
      <c r="BA250" s="17">
        <v>0.90621888394993588</v>
      </c>
      <c r="BB250" s="17">
        <v>0.85482890410607881</v>
      </c>
      <c r="BC250" s="17">
        <v>0.35043659686394535</v>
      </c>
      <c r="BD250" s="17">
        <v>-0.935617241891469</v>
      </c>
      <c r="BE250" s="17">
        <v>-0.42871946879779443</v>
      </c>
      <c r="BF250" s="17">
        <v>0.15780052527445626</v>
      </c>
      <c r="BK250" s="20">
        <v>0.8807675469812436</v>
      </c>
      <c r="BL250" s="20">
        <v>0.1192093005962168</v>
      </c>
      <c r="BN250" s="21">
        <f t="shared" si="11"/>
        <v>0</v>
      </c>
    </row>
    <row r="251" spans="1:66">
      <c r="A251" s="14">
        <v>11.52</v>
      </c>
      <c r="B251" s="14">
        <v>14.93</v>
      </c>
      <c r="C251" s="14">
        <v>73.87</v>
      </c>
      <c r="D251" s="14">
        <v>406.3</v>
      </c>
      <c r="E251" s="14">
        <v>7.8079999999999997E-2</v>
      </c>
      <c r="F251" s="14">
        <v>4.3279999999999999E-2</v>
      </c>
      <c r="G251" s="14">
        <v>2.929E-2</v>
      </c>
      <c r="H251" s="14">
        <v>12.65</v>
      </c>
      <c r="I251" s="14">
        <v>491.8</v>
      </c>
      <c r="J251" s="14">
        <v>9.6079999999999999E-2</v>
      </c>
      <c r="M251" s="16">
        <v>0</v>
      </c>
      <c r="O251" s="12">
        <f t="shared" si="9"/>
        <v>1</v>
      </c>
      <c r="P251" s="12">
        <f t="shared" si="10"/>
        <v>0</v>
      </c>
      <c r="R251" s="17">
        <v>-0.86216493245391179</v>
      </c>
      <c r="S251" s="17">
        <v>0.86592397083683859</v>
      </c>
      <c r="T251" s="17">
        <v>1.1492407566427856</v>
      </c>
      <c r="U251" s="17">
        <v>0.30971288832147947</v>
      </c>
      <c r="V251" s="17">
        <v>1.322038261257461</v>
      </c>
      <c r="W251" s="17">
        <v>-0.54000870393571332</v>
      </c>
      <c r="X251" s="17">
        <v>-0.93446499101467595</v>
      </c>
      <c r="Y251" s="17">
        <v>1.3623707400649003</v>
      </c>
      <c r="Z251" s="17">
        <v>0.73556995189170193</v>
      </c>
      <c r="AA251" s="17">
        <v>1.6983871669386827</v>
      </c>
      <c r="AB251" s="17">
        <v>-1.2113068807979621</v>
      </c>
      <c r="AC251" s="17">
        <v>1.5906603286575782</v>
      </c>
      <c r="AD251" s="17">
        <v>-0.8593627097567913</v>
      </c>
      <c r="AE251" s="17">
        <v>1.3374666300864129</v>
      </c>
      <c r="AF251" s="17">
        <v>1.6049118769290147</v>
      </c>
      <c r="AG251" s="17">
        <v>1.3481853892245086</v>
      </c>
      <c r="AH251" s="17">
        <v>0.33128292594394448</v>
      </c>
      <c r="AI251" s="17">
        <v>-1.6572512841003593</v>
      </c>
      <c r="AJ251" s="17">
        <v>-0.4315878441673433</v>
      </c>
      <c r="AK251" s="17">
        <v>0.31774444458186102</v>
      </c>
      <c r="AM251" s="17">
        <v>-0.74432667406348418</v>
      </c>
      <c r="AN251" s="17">
        <v>0.72423151366712435</v>
      </c>
      <c r="AO251" s="17">
        <v>0.79900942146052989</v>
      </c>
      <c r="AP251" s="17">
        <v>0.32708777590345806</v>
      </c>
      <c r="AQ251" s="17">
        <v>0.8833545721678514</v>
      </c>
      <c r="AR251" s="17">
        <v>-0.56401390984828859</v>
      </c>
      <c r="AS251" s="17">
        <v>-0.77282248533818132</v>
      </c>
      <c r="AT251" s="17">
        <v>0.87620157942513932</v>
      </c>
      <c r="AU251" s="17">
        <v>0.70329755496718538</v>
      </c>
      <c r="AV251" s="17">
        <v>0.93638758950848711</v>
      </c>
      <c r="AW251" s="17">
        <v>-0.81920410817293687</v>
      </c>
      <c r="AX251" s="17">
        <v>0.92036625402397998</v>
      </c>
      <c r="AY251" s="17">
        <v>-0.70951293194781218</v>
      </c>
      <c r="AZ251" s="17">
        <v>0.89071818507652079</v>
      </c>
      <c r="BA251" s="17">
        <v>0.90781113151719872</v>
      </c>
      <c r="BB251" s="17">
        <v>0.85686927576690097</v>
      </c>
      <c r="BC251" s="17">
        <v>0.3525236555468223</v>
      </c>
      <c r="BD251" s="17">
        <v>-0.93693457308443295</v>
      </c>
      <c r="BE251" s="17">
        <v>-0.43110452496198981</v>
      </c>
      <c r="BF251" s="17">
        <v>0.16533742111533056</v>
      </c>
      <c r="BK251" s="20">
        <v>-3.5239680509645564E-2</v>
      </c>
      <c r="BL251" s="20">
        <v>1.0352613619698026</v>
      </c>
      <c r="BN251" s="21">
        <f t="shared" si="11"/>
        <v>1</v>
      </c>
    </row>
    <row r="252" spans="1:66">
      <c r="A252" s="14">
        <v>20.94</v>
      </c>
      <c r="B252" s="14">
        <v>23.56</v>
      </c>
      <c r="C252" s="14">
        <v>138.9</v>
      </c>
      <c r="D252" s="14">
        <v>1364</v>
      </c>
      <c r="E252" s="14">
        <v>0.16059999999999999</v>
      </c>
      <c r="F252" s="14">
        <v>0.2712</v>
      </c>
      <c r="G252" s="14">
        <v>0.13100000000000001</v>
      </c>
      <c r="H252" s="14">
        <v>25.58</v>
      </c>
      <c r="I252" s="14">
        <v>2010</v>
      </c>
      <c r="J252" s="14">
        <v>0.21049999999999999</v>
      </c>
      <c r="M252" s="16">
        <v>1</v>
      </c>
      <c r="O252" s="12">
        <f t="shared" si="9"/>
        <v>0</v>
      </c>
      <c r="P252" s="12">
        <f t="shared" si="10"/>
        <v>1</v>
      </c>
      <c r="R252" s="17">
        <v>-1.4643074708783446</v>
      </c>
      <c r="S252" s="17">
        <v>1.0359333700219733</v>
      </c>
      <c r="T252" s="17">
        <v>0.4503249130137873</v>
      </c>
      <c r="U252" s="17">
        <v>0.47751119115197871</v>
      </c>
      <c r="V252" s="17">
        <v>1.5052132201123889</v>
      </c>
      <c r="W252" s="17">
        <v>-1.2567352733816861</v>
      </c>
      <c r="X252" s="17">
        <v>-1.4659127711484521</v>
      </c>
      <c r="Y252" s="17">
        <v>0.877385815472147</v>
      </c>
      <c r="Z252" s="17">
        <v>1.7463530467411736</v>
      </c>
      <c r="AA252" s="17">
        <v>1.2163845753889837</v>
      </c>
      <c r="AB252" s="17">
        <v>-0.28839333793737798</v>
      </c>
      <c r="AC252" s="17">
        <v>1.0652147513376473</v>
      </c>
      <c r="AD252" s="17">
        <v>-0.81583654438301023</v>
      </c>
      <c r="AE252" s="17">
        <v>1.6894094608623824</v>
      </c>
      <c r="AF252" s="17">
        <v>0.2496334827590041</v>
      </c>
      <c r="AG252" s="17">
        <v>0.29010426800531797</v>
      </c>
      <c r="AH252" s="17">
        <v>0.55723475600471262</v>
      </c>
      <c r="AI252" s="17">
        <v>-1.603629768829455</v>
      </c>
      <c r="AJ252" s="17">
        <v>-0.55690825498325469</v>
      </c>
      <c r="AK252" s="17">
        <v>0.41256201738018505</v>
      </c>
      <c r="AM252" s="17">
        <v>-0.67648196641980418</v>
      </c>
      <c r="AN252" s="17">
        <v>0.67375647543781325</v>
      </c>
      <c r="AO252" s="17">
        <v>0.78490436608264402</v>
      </c>
      <c r="AP252" s="17">
        <v>0.2863087808460556</v>
      </c>
      <c r="AQ252" s="17">
        <v>0.8473658898000499</v>
      </c>
      <c r="AR252" s="17">
        <v>-0.47919597097302985</v>
      </c>
      <c r="AS252" s="17">
        <v>-0.71099110374132568</v>
      </c>
      <c r="AT252" s="17">
        <v>0.85419074570309905</v>
      </c>
      <c r="AU252" s="17">
        <v>0.61170410085475968</v>
      </c>
      <c r="AV252" s="17">
        <v>0.91976020715452955</v>
      </c>
      <c r="AW252" s="17">
        <v>-0.80782935070514272</v>
      </c>
      <c r="AX252" s="17">
        <v>0.90245873403492249</v>
      </c>
      <c r="AY252" s="17">
        <v>-0.66804269406814509</v>
      </c>
      <c r="AZ252" s="17">
        <v>0.8523218284549382</v>
      </c>
      <c r="BA252" s="17">
        <v>0.90189975662516075</v>
      </c>
      <c r="BB252" s="17">
        <v>0.84737941756834345</v>
      </c>
      <c r="BC252" s="17">
        <v>0.30586095044546652</v>
      </c>
      <c r="BD252" s="17">
        <v>-0.91497486985417076</v>
      </c>
      <c r="BE252" s="17">
        <v>-0.38702853310054663</v>
      </c>
      <c r="BF252" s="17">
        <v>-9.3621522652927638E-3</v>
      </c>
      <c r="BK252" s="20">
        <v>1.0843345053097284</v>
      </c>
      <c r="BL252" s="20">
        <v>-8.4108778964862227E-2</v>
      </c>
      <c r="BN252" s="21">
        <f t="shared" si="11"/>
        <v>0</v>
      </c>
    </row>
    <row r="253" spans="1:66">
      <c r="A253" s="14">
        <v>11.5</v>
      </c>
      <c r="B253" s="14">
        <v>18.45</v>
      </c>
      <c r="C253" s="14">
        <v>73.28</v>
      </c>
      <c r="D253" s="14">
        <v>407.4</v>
      </c>
      <c r="E253" s="14">
        <v>5.9909999999999998E-2</v>
      </c>
      <c r="F253" s="14">
        <v>2.6380000000000001E-2</v>
      </c>
      <c r="G253" s="14">
        <v>2.069E-2</v>
      </c>
      <c r="H253" s="14">
        <v>12.97</v>
      </c>
      <c r="I253" s="14">
        <v>508.9</v>
      </c>
      <c r="J253" s="14">
        <v>6.5439999999999998E-2</v>
      </c>
      <c r="M253" s="16">
        <v>0</v>
      </c>
      <c r="O253" s="12">
        <f t="shared" si="9"/>
        <v>1</v>
      </c>
      <c r="P253" s="12">
        <f t="shared" si="10"/>
        <v>0</v>
      </c>
      <c r="R253" s="17">
        <v>-1.4643074708783446</v>
      </c>
      <c r="S253" s="17">
        <v>1.0359333700219733</v>
      </c>
      <c r="T253" s="17">
        <v>-1.5496750869862126</v>
      </c>
      <c r="U253" s="17">
        <v>0.47751119115197871</v>
      </c>
      <c r="V253" s="17">
        <v>1.5052132201123889</v>
      </c>
      <c r="W253" s="17">
        <v>-1.2567352733816861</v>
      </c>
      <c r="X253" s="17">
        <v>-1.4659127711484521</v>
      </c>
      <c r="Y253" s="17">
        <v>0.877385815472147</v>
      </c>
      <c r="Z253" s="17">
        <v>1.7463530467411736</v>
      </c>
      <c r="AA253" s="17">
        <v>1.2163845753889837</v>
      </c>
      <c r="AB253" s="17">
        <v>-0.28839333793737798</v>
      </c>
      <c r="AC253" s="17">
        <v>1.0652147513376473</v>
      </c>
      <c r="AD253" s="17">
        <v>-0.81583654438301023</v>
      </c>
      <c r="AE253" s="17">
        <v>1.6894094608623824</v>
      </c>
      <c r="AF253" s="17">
        <v>0.2496334827590041</v>
      </c>
      <c r="AG253" s="17">
        <v>0.29010426800531797</v>
      </c>
      <c r="AH253" s="17">
        <v>0.55723475600471262</v>
      </c>
      <c r="AI253" s="17">
        <v>-1.603629768829455</v>
      </c>
      <c r="AJ253" s="17">
        <v>-0.55690825498325469</v>
      </c>
      <c r="AK253" s="17">
        <v>-1.5874379826198148</v>
      </c>
      <c r="AM253" s="17">
        <v>-0.88628323946862231</v>
      </c>
      <c r="AN253" s="17">
        <v>0.78128530279346453</v>
      </c>
      <c r="AO253" s="17">
        <v>0.51798985589298152</v>
      </c>
      <c r="AP253" s="17">
        <v>0.43342474757294597</v>
      </c>
      <c r="AQ253" s="17">
        <v>0.91169353172149337</v>
      </c>
      <c r="AR253" s="17">
        <v>-0.82174618462212146</v>
      </c>
      <c r="AS253" s="17">
        <v>-0.88985781907082961</v>
      </c>
      <c r="AT253" s="17">
        <v>0.77137127950644691</v>
      </c>
      <c r="AU253" s="17">
        <v>0.92341864215926195</v>
      </c>
      <c r="AV253" s="17">
        <v>0.8805508768102801</v>
      </c>
      <c r="AW253" s="17">
        <v>-0.46291622754227613</v>
      </c>
      <c r="AX253" s="17">
        <v>0.84234802926935981</v>
      </c>
      <c r="AY253" s="17">
        <v>-0.69835984359966308</v>
      </c>
      <c r="AZ253" s="17">
        <v>0.93466375518298317</v>
      </c>
      <c r="BA253" s="17">
        <v>0.5031993355274641</v>
      </c>
      <c r="BB253" s="17">
        <v>0.48686002714169135</v>
      </c>
      <c r="BC253" s="17">
        <v>0.48926745401364691</v>
      </c>
      <c r="BD253" s="17">
        <v>-0.93435066946716905</v>
      </c>
      <c r="BE253" s="17">
        <v>-0.50533131344727611</v>
      </c>
      <c r="BF253" s="17">
        <v>-0.23959495416907362</v>
      </c>
      <c r="BK253" s="20">
        <v>0.93792932899331094</v>
      </c>
      <c r="BL253" s="20">
        <v>6.2153140330202764E-2</v>
      </c>
      <c r="BN253" s="21">
        <f t="shared" si="11"/>
        <v>0</v>
      </c>
    </row>
    <row r="254" spans="1:66">
      <c r="A254" s="14">
        <v>19.73</v>
      </c>
      <c r="B254" s="14">
        <v>19.82</v>
      </c>
      <c r="C254" s="14">
        <v>130.69999999999999</v>
      </c>
      <c r="D254" s="14">
        <v>1206</v>
      </c>
      <c r="E254" s="14">
        <v>0.18490000000000001</v>
      </c>
      <c r="F254" s="14">
        <v>0.2417</v>
      </c>
      <c r="G254" s="14">
        <v>9.74E-2</v>
      </c>
      <c r="H254" s="14">
        <v>25.28</v>
      </c>
      <c r="I254" s="14">
        <v>1933</v>
      </c>
      <c r="J254" s="14">
        <v>0.25069999999999998</v>
      </c>
      <c r="M254" s="16">
        <v>1</v>
      </c>
      <c r="O254" s="12">
        <f t="shared" si="9"/>
        <v>0</v>
      </c>
      <c r="P254" s="12">
        <f t="shared" si="10"/>
        <v>1</v>
      </c>
      <c r="R254" s="17">
        <v>-0.86216493245391179</v>
      </c>
      <c r="S254" s="17">
        <v>0.86592397083683859</v>
      </c>
      <c r="T254" s="17">
        <v>1.1492407566427856</v>
      </c>
      <c r="U254" s="17">
        <v>0.30971288832147947</v>
      </c>
      <c r="V254" s="17">
        <v>1.322038261257461</v>
      </c>
      <c r="W254" s="17">
        <v>-0.54000870393571332</v>
      </c>
      <c r="X254" s="17">
        <v>-0.93446499101467595</v>
      </c>
      <c r="Y254" s="17">
        <v>1.3623707400649003</v>
      </c>
      <c r="Z254" s="17">
        <v>0.73556995189170193</v>
      </c>
      <c r="AA254" s="17">
        <v>1.6983871669386827</v>
      </c>
      <c r="AB254" s="17">
        <v>-1.2113068807979621</v>
      </c>
      <c r="AC254" s="17">
        <v>1.5906603286575782</v>
      </c>
      <c r="AD254" s="17">
        <v>-0.8593627097567913</v>
      </c>
      <c r="AE254" s="17">
        <v>1.3374666300864129</v>
      </c>
      <c r="AF254" s="17">
        <v>1.6049118769290147</v>
      </c>
      <c r="AG254" s="17">
        <v>1.3481853892245086</v>
      </c>
      <c r="AH254" s="17">
        <v>0.33128292594394448</v>
      </c>
      <c r="AI254" s="17">
        <v>-1.6572512841003593</v>
      </c>
      <c r="AJ254" s="17">
        <v>-0.4315878441673433</v>
      </c>
      <c r="AK254" s="17">
        <v>0.36873422441298831</v>
      </c>
      <c r="AM254" s="17">
        <v>-0.77645035485316027</v>
      </c>
      <c r="AN254" s="17">
        <v>0.72100971827489579</v>
      </c>
      <c r="AO254" s="17">
        <v>0.71856179899969752</v>
      </c>
      <c r="AP254" s="17">
        <v>0.34315100522190278</v>
      </c>
      <c r="AQ254" s="17">
        <v>0.87775440765488699</v>
      </c>
      <c r="AR254" s="17">
        <v>-0.63607466801804868</v>
      </c>
      <c r="AS254" s="17">
        <v>-0.79567847952350768</v>
      </c>
      <c r="AT254" s="17">
        <v>0.83497265846303759</v>
      </c>
      <c r="AU254" s="17">
        <v>0.77555958624626653</v>
      </c>
      <c r="AV254" s="17">
        <v>0.91184392618744969</v>
      </c>
      <c r="AW254" s="17">
        <v>-0.72706625835877459</v>
      </c>
      <c r="AX254" s="17">
        <v>0.88927604441453045</v>
      </c>
      <c r="AY254" s="17">
        <v>-0.68518769238066368</v>
      </c>
      <c r="AZ254" s="17">
        <v>0.89209686904735264</v>
      </c>
      <c r="BA254" s="17">
        <v>0.82816514211241066</v>
      </c>
      <c r="BB254" s="17">
        <v>0.76880598071244999</v>
      </c>
      <c r="BC254" s="17">
        <v>0.37702377025942319</v>
      </c>
      <c r="BD254" s="17">
        <v>-0.9256038724951976</v>
      </c>
      <c r="BE254" s="17">
        <v>-0.43469506756356402</v>
      </c>
      <c r="BF254" s="17">
        <v>0.28312346801754412</v>
      </c>
      <c r="BK254" s="20">
        <v>-5.8689139196768519E-2</v>
      </c>
      <c r="BL254" s="20">
        <v>1.0585373197989363</v>
      </c>
      <c r="BN254" s="21">
        <f t="shared" si="11"/>
        <v>1</v>
      </c>
    </row>
    <row r="255" spans="1:66">
      <c r="A255" s="14">
        <v>17.3</v>
      </c>
      <c r="B255" s="14">
        <v>17.079999999999998</v>
      </c>
      <c r="C255" s="14">
        <v>113</v>
      </c>
      <c r="D255" s="14">
        <v>928.2</v>
      </c>
      <c r="E255" s="14">
        <v>0.1041</v>
      </c>
      <c r="F255" s="14">
        <v>0.12659999999999999</v>
      </c>
      <c r="G255" s="14">
        <v>8.3529999999999993E-2</v>
      </c>
      <c r="H255" s="14">
        <v>19.850000000000001</v>
      </c>
      <c r="I255" s="14">
        <v>1222</v>
      </c>
      <c r="J255" s="14">
        <v>0.1857</v>
      </c>
      <c r="M255" s="16">
        <v>1</v>
      </c>
      <c r="O255" s="12">
        <f t="shared" si="9"/>
        <v>0</v>
      </c>
      <c r="P255" s="12">
        <f t="shared" si="10"/>
        <v>1</v>
      </c>
      <c r="R255" s="17">
        <v>-0.86216493245391179</v>
      </c>
      <c r="S255" s="17">
        <v>0.86592397083683859</v>
      </c>
      <c r="T255" s="17">
        <v>1.1492407566427856</v>
      </c>
      <c r="U255" s="17">
        <v>0.30971288832147947</v>
      </c>
      <c r="V255" s="17">
        <v>1.322038261257461</v>
      </c>
      <c r="W255" s="17">
        <v>-0.54000870393571332</v>
      </c>
      <c r="X255" s="17">
        <v>-0.93446499101467595</v>
      </c>
      <c r="Y255" s="17">
        <v>1.3623707400649003</v>
      </c>
      <c r="Z255" s="17">
        <v>0.73556995189170193</v>
      </c>
      <c r="AA255" s="17">
        <v>1.6983871669386827</v>
      </c>
      <c r="AB255" s="17">
        <v>-1.2113068807979621</v>
      </c>
      <c r="AC255" s="17">
        <v>1.5906603286575782</v>
      </c>
      <c r="AD255" s="17">
        <v>-0.8593627097567913</v>
      </c>
      <c r="AE255" s="17">
        <v>1.3374666300864129</v>
      </c>
      <c r="AF255" s="17">
        <v>1.6049118769290147</v>
      </c>
      <c r="AG255" s="17">
        <v>1.3481853892245086</v>
      </c>
      <c r="AH255" s="17">
        <v>0.33128292594394448</v>
      </c>
      <c r="AI255" s="17">
        <v>-1.6572512841003593</v>
      </c>
      <c r="AJ255" s="17">
        <v>-0.4315878441673433</v>
      </c>
      <c r="AK255" s="17">
        <v>0.36873422441298775</v>
      </c>
      <c r="AM255" s="17">
        <v>-0.79508504350787834</v>
      </c>
      <c r="AN255" s="17">
        <v>0.72919979475729435</v>
      </c>
      <c r="AO255" s="17">
        <v>0.66670186506134033</v>
      </c>
      <c r="AP255" s="17">
        <v>0.35541919475379241</v>
      </c>
      <c r="AQ255" s="17">
        <v>0.88244351908164942</v>
      </c>
      <c r="AR255" s="17">
        <v>-0.66783329870697694</v>
      </c>
      <c r="AS255" s="17">
        <v>-0.81126393723485313</v>
      </c>
      <c r="AT255" s="17">
        <v>0.82640311791393473</v>
      </c>
      <c r="AU255" s="17">
        <v>0.8047427787786412</v>
      </c>
      <c r="AV255" s="17">
        <v>0.90743769702999733</v>
      </c>
      <c r="AW255" s="17">
        <v>-0.69731831133024036</v>
      </c>
      <c r="AX255" s="17">
        <v>0.88298178322565146</v>
      </c>
      <c r="AY255" s="17">
        <v>-0.68607572266949002</v>
      </c>
      <c r="AZ255" s="17">
        <v>0.89867536191280128</v>
      </c>
      <c r="BA255" s="17">
        <v>0.79781434348854896</v>
      </c>
      <c r="BB255" s="17">
        <v>0.73883590494496443</v>
      </c>
      <c r="BC255" s="17">
        <v>0.39264032200297833</v>
      </c>
      <c r="BD255" s="17">
        <v>-0.92637938743790482</v>
      </c>
      <c r="BE255" s="17">
        <v>-0.44402787622061635</v>
      </c>
      <c r="BF255" s="17">
        <v>0.21870615856682701</v>
      </c>
      <c r="BK255" s="20">
        <v>-3.4372724753053148E-2</v>
      </c>
      <c r="BL255" s="20">
        <v>1.0344084401095934</v>
      </c>
      <c r="BN255" s="21">
        <f t="shared" si="11"/>
        <v>1</v>
      </c>
    </row>
    <row r="256" spans="1:66">
      <c r="A256" s="14">
        <v>19.45</v>
      </c>
      <c r="B256" s="14">
        <v>19.329999999999998</v>
      </c>
      <c r="C256" s="14">
        <v>126.5</v>
      </c>
      <c r="D256" s="14">
        <v>1169</v>
      </c>
      <c r="E256" s="14">
        <v>0.1188</v>
      </c>
      <c r="F256" s="14">
        <v>0.13789999999999999</v>
      </c>
      <c r="G256" s="14">
        <v>8.591E-2</v>
      </c>
      <c r="H256" s="14">
        <v>25.7</v>
      </c>
      <c r="I256" s="14">
        <v>1972</v>
      </c>
      <c r="J256" s="14">
        <v>0.19989999999999999</v>
      </c>
      <c r="M256" s="16">
        <v>1</v>
      </c>
      <c r="O256" s="12">
        <f t="shared" si="9"/>
        <v>0</v>
      </c>
      <c r="P256" s="12">
        <f t="shared" si="10"/>
        <v>1</v>
      </c>
      <c r="R256" s="17">
        <v>-0.86216493245391179</v>
      </c>
      <c r="S256" s="17">
        <v>0.86592397083683859</v>
      </c>
      <c r="T256" s="17">
        <v>1.1492407566427856</v>
      </c>
      <c r="U256" s="17">
        <v>0.30971288832147947</v>
      </c>
      <c r="V256" s="17">
        <v>1.322038261257461</v>
      </c>
      <c r="W256" s="17">
        <v>-0.54000870393571332</v>
      </c>
      <c r="X256" s="17">
        <v>-0.93446499101467595</v>
      </c>
      <c r="Y256" s="17">
        <v>1.3623707400649003</v>
      </c>
      <c r="Z256" s="17">
        <v>0.73556995189170193</v>
      </c>
      <c r="AA256" s="17">
        <v>1.6983871669386827</v>
      </c>
      <c r="AB256" s="17">
        <v>-1.2113068807979621</v>
      </c>
      <c r="AC256" s="17">
        <v>1.5906603286575782</v>
      </c>
      <c r="AD256" s="17">
        <v>-0.8593627097567913</v>
      </c>
      <c r="AE256" s="17">
        <v>1.3374666300864129</v>
      </c>
      <c r="AF256" s="17">
        <v>1.6049118769290147</v>
      </c>
      <c r="AG256" s="17">
        <v>1.3481853892245086</v>
      </c>
      <c r="AH256" s="17">
        <v>0.33128292594394448</v>
      </c>
      <c r="AI256" s="17">
        <v>-1.6572512841003593</v>
      </c>
      <c r="AJ256" s="17">
        <v>-0.4315878441673433</v>
      </c>
      <c r="AK256" s="17">
        <v>0.36139476509152846</v>
      </c>
      <c r="AM256" s="17">
        <v>-0.66002681077280578</v>
      </c>
      <c r="AN256" s="17">
        <v>0.67141446322579201</v>
      </c>
      <c r="AO256" s="17">
        <v>0.79990558886465202</v>
      </c>
      <c r="AP256" s="17">
        <v>0.27910704580676449</v>
      </c>
      <c r="AQ256" s="17">
        <v>0.84679160890326277</v>
      </c>
      <c r="AR256" s="17">
        <v>-0.44890302218055944</v>
      </c>
      <c r="AS256" s="17">
        <v>-0.69835750133125352</v>
      </c>
      <c r="AT256" s="17">
        <v>0.86402603777238363</v>
      </c>
      <c r="AU256" s="17">
        <v>0.57637063463925886</v>
      </c>
      <c r="AV256" s="17">
        <v>0.92564450868950665</v>
      </c>
      <c r="AW256" s="17">
        <v>-0.8284234840614394</v>
      </c>
      <c r="AX256" s="17">
        <v>0.9098700375631692</v>
      </c>
      <c r="AY256" s="17">
        <v>-0.67258523809873061</v>
      </c>
      <c r="AZ256" s="17">
        <v>0.84904315518540052</v>
      </c>
      <c r="BA256" s="17">
        <v>0.91745494972428321</v>
      </c>
      <c r="BB256" s="17">
        <v>0.8662824831519641</v>
      </c>
      <c r="BC256" s="17">
        <v>0.29575850388249375</v>
      </c>
      <c r="BD256" s="17">
        <v>-0.91724499423305994</v>
      </c>
      <c r="BE256" s="17">
        <v>-0.38317845938263173</v>
      </c>
      <c r="BF256" s="17">
        <v>-8.876024077163851E-4</v>
      </c>
      <c r="BK256" s="20">
        <v>0.49495135091750431</v>
      </c>
      <c r="BL256" s="20">
        <v>0.50522753144203858</v>
      </c>
      <c r="BN256" s="21">
        <f t="shared" si="11"/>
        <v>1</v>
      </c>
    </row>
    <row r="257" spans="1:66">
      <c r="A257" s="14">
        <v>13.96</v>
      </c>
      <c r="B257" s="14">
        <v>17.05</v>
      </c>
      <c r="C257" s="14">
        <v>91.43</v>
      </c>
      <c r="D257" s="14">
        <v>602.4</v>
      </c>
      <c r="E257" s="14">
        <v>0.12790000000000001</v>
      </c>
      <c r="F257" s="14">
        <v>9.7890000000000005E-2</v>
      </c>
      <c r="G257" s="14">
        <v>5.246E-2</v>
      </c>
      <c r="H257" s="14">
        <v>16.39</v>
      </c>
      <c r="I257" s="14">
        <v>826</v>
      </c>
      <c r="J257" s="14">
        <v>0.13739999999999999</v>
      </c>
      <c r="M257" s="16">
        <v>1</v>
      </c>
      <c r="O257" s="12">
        <f t="shared" si="9"/>
        <v>0</v>
      </c>
      <c r="P257" s="12">
        <f t="shared" si="10"/>
        <v>1</v>
      </c>
      <c r="R257" s="17">
        <v>-1.4643074708783446</v>
      </c>
      <c r="S257" s="17">
        <v>1.0359333700219733</v>
      </c>
      <c r="T257" s="17">
        <v>0.4503249130137873</v>
      </c>
      <c r="U257" s="17">
        <v>0.47751119115197871</v>
      </c>
      <c r="V257" s="17">
        <v>1.5052132201123889</v>
      </c>
      <c r="W257" s="17">
        <v>-1.2567352733816861</v>
      </c>
      <c r="X257" s="17">
        <v>-1.4659127711484521</v>
      </c>
      <c r="Y257" s="17">
        <v>0.877385815472147</v>
      </c>
      <c r="Z257" s="17">
        <v>1.7463530467411736</v>
      </c>
      <c r="AA257" s="17">
        <v>1.2163845753889837</v>
      </c>
      <c r="AB257" s="17">
        <v>-0.28839333793737798</v>
      </c>
      <c r="AC257" s="17">
        <v>1.0652147513376473</v>
      </c>
      <c r="AD257" s="17">
        <v>-0.81583654438301023</v>
      </c>
      <c r="AE257" s="17">
        <v>1.6894094608623824</v>
      </c>
      <c r="AF257" s="17">
        <v>0.2496334827590041</v>
      </c>
      <c r="AG257" s="17">
        <v>0.29010426800531797</v>
      </c>
      <c r="AH257" s="17">
        <v>0.55723475600471262</v>
      </c>
      <c r="AI257" s="17">
        <v>-1.603629768829455</v>
      </c>
      <c r="AJ257" s="17">
        <v>-0.55690825498325469</v>
      </c>
      <c r="AK257" s="17">
        <v>0.41256201738018505</v>
      </c>
      <c r="AM257" s="17">
        <v>-0.78555485086258781</v>
      </c>
      <c r="AN257" s="17">
        <v>0.73694359448980085</v>
      </c>
      <c r="AO257" s="17">
        <v>0.79399808537147254</v>
      </c>
      <c r="AP257" s="17">
        <v>0.35156197885452145</v>
      </c>
      <c r="AQ257" s="17">
        <v>0.88953291545938773</v>
      </c>
      <c r="AR257" s="17">
        <v>-0.63985243243750489</v>
      </c>
      <c r="AS257" s="17">
        <v>-0.80581223601971841</v>
      </c>
      <c r="AT257" s="17">
        <v>0.85545132561882353</v>
      </c>
      <c r="AU257" s="17">
        <v>0.77866470541660904</v>
      </c>
      <c r="AV257" s="17">
        <v>0.92532937555978334</v>
      </c>
      <c r="AW257" s="17">
        <v>-0.76086209140683636</v>
      </c>
      <c r="AX257" s="17">
        <v>0.90538113108952756</v>
      </c>
      <c r="AY257" s="17">
        <v>-0.70528523903366558</v>
      </c>
      <c r="AZ257" s="17">
        <v>0.90192895466235379</v>
      </c>
      <c r="BA257" s="17">
        <v>0.85804778534981607</v>
      </c>
      <c r="BB257" s="17">
        <v>0.80139499436199435</v>
      </c>
      <c r="BC257" s="17">
        <v>0.38480518396086166</v>
      </c>
      <c r="BD257" s="17">
        <v>-0.93554635552239684</v>
      </c>
      <c r="BE257" s="17">
        <v>-0.44755370350328805</v>
      </c>
      <c r="BF257" s="17">
        <v>0.44082842887693108</v>
      </c>
      <c r="BK257" s="20">
        <v>-1.1898101177107209E-2</v>
      </c>
      <c r="BL257" s="20">
        <v>1.0123303784902715</v>
      </c>
      <c r="BN257" s="21">
        <f t="shared" si="11"/>
        <v>1</v>
      </c>
    </row>
    <row r="258" spans="1:66">
      <c r="A258" s="14">
        <v>19.55</v>
      </c>
      <c r="B258" s="14">
        <v>28.77</v>
      </c>
      <c r="C258" s="14">
        <v>133.6</v>
      </c>
      <c r="D258" s="14">
        <v>1207</v>
      </c>
      <c r="E258" s="14">
        <v>0.20630000000000001</v>
      </c>
      <c r="F258" s="14">
        <v>0.1784</v>
      </c>
      <c r="G258" s="14">
        <v>0.1144</v>
      </c>
      <c r="H258" s="14">
        <v>25.05</v>
      </c>
      <c r="I258" s="14">
        <v>1926</v>
      </c>
      <c r="J258" s="14">
        <v>0.19409999999999999</v>
      </c>
      <c r="M258" s="16">
        <v>1</v>
      </c>
      <c r="O258" s="12">
        <f t="shared" si="9"/>
        <v>0</v>
      </c>
      <c r="P258" s="12">
        <f t="shared" si="10"/>
        <v>1</v>
      </c>
      <c r="R258" s="17">
        <v>-0.86216493245391179</v>
      </c>
      <c r="S258" s="17">
        <v>0.86592397083683859</v>
      </c>
      <c r="T258" s="17">
        <v>1.1492407566427856</v>
      </c>
      <c r="U258" s="17">
        <v>0.30971288832147947</v>
      </c>
      <c r="V258" s="17">
        <v>1.322038261257461</v>
      </c>
      <c r="W258" s="17">
        <v>-0.54000870393571332</v>
      </c>
      <c r="X258" s="17">
        <v>-0.93446499101467595</v>
      </c>
      <c r="Y258" s="17">
        <v>1.3623707400649003</v>
      </c>
      <c r="Z258" s="17">
        <v>0.73556995189170193</v>
      </c>
      <c r="AA258" s="17">
        <v>1.6983871669386827</v>
      </c>
      <c r="AB258" s="17">
        <v>-1.2113068807979621</v>
      </c>
      <c r="AC258" s="17">
        <v>1.5906603286575782</v>
      </c>
      <c r="AD258" s="17">
        <v>-0.8593627097567913</v>
      </c>
      <c r="AE258" s="17">
        <v>1.3374666300864129</v>
      </c>
      <c r="AF258" s="17">
        <v>1.6049118769290147</v>
      </c>
      <c r="AG258" s="17">
        <v>1.3481853892245086</v>
      </c>
      <c r="AH258" s="17">
        <v>0.33128292594394448</v>
      </c>
      <c r="AI258" s="17">
        <v>-1.6572512841003593</v>
      </c>
      <c r="AJ258" s="17">
        <v>-0.4315878441673433</v>
      </c>
      <c r="AK258" s="17">
        <v>0.36873422441290638</v>
      </c>
      <c r="AM258" s="17">
        <v>-0.79562766303984256</v>
      </c>
      <c r="AN258" s="17">
        <v>0.72433366996972026</v>
      </c>
      <c r="AO258" s="17">
        <v>0.70642763479608717</v>
      </c>
      <c r="AP258" s="17">
        <v>0.35473252977333708</v>
      </c>
      <c r="AQ258" s="17">
        <v>0.87843762571386064</v>
      </c>
      <c r="AR258" s="17">
        <v>-0.67341267577372366</v>
      </c>
      <c r="AS258" s="17">
        <v>-0.8106861771607875</v>
      </c>
      <c r="AT258" s="17">
        <v>0.81442707573641759</v>
      </c>
      <c r="AU258" s="17">
        <v>0.8098784090973199</v>
      </c>
      <c r="AV258" s="17">
        <v>0.89966519600285932</v>
      </c>
      <c r="AW258" s="17">
        <v>-0.67296178720981292</v>
      </c>
      <c r="AX258" s="17">
        <v>0.87345300824467331</v>
      </c>
      <c r="AY258" s="17">
        <v>-0.67751625293925488</v>
      </c>
      <c r="AZ258" s="17">
        <v>0.89604531109613483</v>
      </c>
      <c r="BA258" s="17">
        <v>0.7731565202081061</v>
      </c>
      <c r="BB258" s="17">
        <v>0.71432457955003925</v>
      </c>
      <c r="BC258" s="17">
        <v>0.39299589304330884</v>
      </c>
      <c r="BD258" s="17">
        <v>-0.92200094733751814</v>
      </c>
      <c r="BE258" s="17">
        <v>-0.44077914291058684</v>
      </c>
      <c r="BF258" s="17">
        <v>0.32299324101714028</v>
      </c>
      <c r="BK258" s="20">
        <v>0.99225804723431688</v>
      </c>
      <c r="BL258" s="20">
        <v>7.6792254197035649E-3</v>
      </c>
      <c r="BN258" s="21">
        <f t="shared" si="11"/>
        <v>0</v>
      </c>
    </row>
    <row r="259" spans="1:66">
      <c r="A259" s="14">
        <v>15.32</v>
      </c>
      <c r="B259" s="14">
        <v>17.27</v>
      </c>
      <c r="C259" s="14">
        <v>103.2</v>
      </c>
      <c r="D259" s="14">
        <v>713.3</v>
      </c>
      <c r="E259" s="14">
        <v>0.22839999999999999</v>
      </c>
      <c r="F259" s="14">
        <v>0.24479999999999999</v>
      </c>
      <c r="G259" s="14">
        <v>0.1242</v>
      </c>
      <c r="H259" s="14">
        <v>17.73</v>
      </c>
      <c r="I259" s="14">
        <v>928.8</v>
      </c>
      <c r="J259" s="14">
        <v>0.22289999999999999</v>
      </c>
      <c r="M259" s="16">
        <v>1</v>
      </c>
      <c r="O259" s="12">
        <f t="shared" ref="O259:O322" si="12">IF(M259=0,1,0)</f>
        <v>0</v>
      </c>
      <c r="P259" s="12">
        <f t="shared" ref="P259:P322" si="13">IF(M259=1,1,0)</f>
        <v>1</v>
      </c>
      <c r="R259" s="17">
        <v>-0.86216493245391179</v>
      </c>
      <c r="S259" s="17">
        <v>0.86592397083683859</v>
      </c>
      <c r="T259" s="17">
        <v>1.1492407566427856</v>
      </c>
      <c r="U259" s="17">
        <v>0.30971288832147947</v>
      </c>
      <c r="V259" s="17">
        <v>1.322038261257461</v>
      </c>
      <c r="W259" s="17">
        <v>-0.54000870393571332</v>
      </c>
      <c r="X259" s="17">
        <v>-0.93446499101467595</v>
      </c>
      <c r="Y259" s="17">
        <v>1.3623707400649003</v>
      </c>
      <c r="Z259" s="17">
        <v>0.73556995189170193</v>
      </c>
      <c r="AA259" s="17">
        <v>1.6983871669386827</v>
      </c>
      <c r="AB259" s="17">
        <v>-1.2113068807979621</v>
      </c>
      <c r="AC259" s="17">
        <v>1.5906603286575782</v>
      </c>
      <c r="AD259" s="17">
        <v>-0.8593627097567913</v>
      </c>
      <c r="AE259" s="17">
        <v>1.3374666300864129</v>
      </c>
      <c r="AF259" s="17">
        <v>1.6049118769290147</v>
      </c>
      <c r="AG259" s="17">
        <v>1.3481853892245086</v>
      </c>
      <c r="AH259" s="17">
        <v>0.33128292594394448</v>
      </c>
      <c r="AI259" s="17">
        <v>-1.6572512841003593</v>
      </c>
      <c r="AJ259" s="17">
        <v>-0.4315878441673433</v>
      </c>
      <c r="AK259" s="17">
        <v>0.36873422441259729</v>
      </c>
      <c r="AM259" s="17">
        <v>-0.85358122982646578</v>
      </c>
      <c r="AN259" s="17">
        <v>0.75568581922335176</v>
      </c>
      <c r="AO259" s="17">
        <v>0.58106594578202164</v>
      </c>
      <c r="AP259" s="17">
        <v>0.40006409752374272</v>
      </c>
      <c r="AQ259" s="17">
        <v>0.89663195459318357</v>
      </c>
      <c r="AR259" s="17">
        <v>-0.77003561727616066</v>
      </c>
      <c r="AS259" s="17">
        <v>-0.86047518975669068</v>
      </c>
      <c r="AT259" s="17">
        <v>0.78251271894276941</v>
      </c>
      <c r="AU259" s="17">
        <v>0.88809946945718876</v>
      </c>
      <c r="AV259" s="17">
        <v>0.88375048401440282</v>
      </c>
      <c r="AW259" s="17">
        <v>-0.54322905404455857</v>
      </c>
      <c r="AX259" s="17">
        <v>0.84972548588436725</v>
      </c>
      <c r="AY259" s="17">
        <v>-0.68458230187521085</v>
      </c>
      <c r="AZ259" s="17">
        <v>0.91897280142034099</v>
      </c>
      <c r="BA259" s="17">
        <v>0.61602410215241521</v>
      </c>
      <c r="BB259" s="17">
        <v>0.57637038088975467</v>
      </c>
      <c r="BC259" s="17">
        <v>0.44951105814292747</v>
      </c>
      <c r="BD259" s="17">
        <v>-0.92685220253140099</v>
      </c>
      <c r="BE259" s="17">
        <v>-0.47648094796497886</v>
      </c>
      <c r="BF259" s="17">
        <v>-0.26709151394357339</v>
      </c>
      <c r="BK259" s="20">
        <v>0.9849757485899262</v>
      </c>
      <c r="BL259" s="20">
        <v>1.4995983903448588E-2</v>
      </c>
      <c r="BN259" s="21">
        <f t="shared" si="11"/>
        <v>0</v>
      </c>
    </row>
    <row r="260" spans="1:66">
      <c r="A260" s="14">
        <v>15.66</v>
      </c>
      <c r="B260" s="14">
        <v>23.2</v>
      </c>
      <c r="C260" s="14">
        <v>110.2</v>
      </c>
      <c r="D260" s="14">
        <v>773.5</v>
      </c>
      <c r="E260" s="14">
        <v>0.31140000000000001</v>
      </c>
      <c r="F260" s="14">
        <v>0.31759999999999999</v>
      </c>
      <c r="G260" s="14">
        <v>0.13769999999999999</v>
      </c>
      <c r="H260" s="14">
        <v>19.850000000000001</v>
      </c>
      <c r="I260" s="14">
        <v>1226</v>
      </c>
      <c r="J260" s="14">
        <v>0.2462</v>
      </c>
      <c r="M260" s="16">
        <v>1</v>
      </c>
      <c r="O260" s="12">
        <f t="shared" si="12"/>
        <v>0</v>
      </c>
      <c r="P260" s="12">
        <f t="shared" si="13"/>
        <v>1</v>
      </c>
      <c r="R260" s="17">
        <v>-0.86216493245391179</v>
      </c>
      <c r="S260" s="17">
        <v>0.86592397083683859</v>
      </c>
      <c r="T260" s="17">
        <v>1.1492407566427856</v>
      </c>
      <c r="U260" s="17">
        <v>0.30971288832147947</v>
      </c>
      <c r="V260" s="17">
        <v>1.322038261257461</v>
      </c>
      <c r="W260" s="17">
        <v>-0.54000870393571332</v>
      </c>
      <c r="X260" s="17">
        <v>-0.93446499101467595</v>
      </c>
      <c r="Y260" s="17">
        <v>1.3623707400649003</v>
      </c>
      <c r="Z260" s="17">
        <v>0.73556995189170193</v>
      </c>
      <c r="AA260" s="17">
        <v>1.6983871669386827</v>
      </c>
      <c r="AB260" s="17">
        <v>-1.2113068807979621</v>
      </c>
      <c r="AC260" s="17">
        <v>1.5906603286575782</v>
      </c>
      <c r="AD260" s="17">
        <v>-0.8593627097567913</v>
      </c>
      <c r="AE260" s="17">
        <v>1.3374666300864129</v>
      </c>
      <c r="AF260" s="17">
        <v>1.6049118769290147</v>
      </c>
      <c r="AG260" s="17">
        <v>1.3481853892245086</v>
      </c>
      <c r="AH260" s="17">
        <v>0.33128292594394448</v>
      </c>
      <c r="AI260" s="17">
        <v>-1.6572512841003593</v>
      </c>
      <c r="AJ260" s="17">
        <v>-0.4315878441673433</v>
      </c>
      <c r="AK260" s="17">
        <v>0.362553708436398</v>
      </c>
      <c r="AM260" s="17">
        <v>-0.89092253246951503</v>
      </c>
      <c r="AN260" s="17">
        <v>0.7672222374172204</v>
      </c>
      <c r="AO260" s="17">
        <v>0.43382798860342042</v>
      </c>
      <c r="AP260" s="17">
        <v>0.43466856685590316</v>
      </c>
      <c r="AQ260" s="17">
        <v>0.90029657829057141</v>
      </c>
      <c r="AR260" s="17">
        <v>-0.83986598595787532</v>
      </c>
      <c r="AS260" s="17">
        <v>-0.89149878536395788</v>
      </c>
      <c r="AT260" s="17">
        <v>0.70103080167829424</v>
      </c>
      <c r="AU260" s="17">
        <v>0.93491311176011771</v>
      </c>
      <c r="AV260" s="17">
        <v>0.83423571566670762</v>
      </c>
      <c r="AW260" s="17">
        <v>-0.29037965906729701</v>
      </c>
      <c r="AX260" s="17">
        <v>0.78348377262069402</v>
      </c>
      <c r="AY260" s="17">
        <v>-0.66475000692422559</v>
      </c>
      <c r="AZ260" s="17">
        <v>0.92907620341311881</v>
      </c>
      <c r="BA260" s="17">
        <v>0.26217701098524687</v>
      </c>
      <c r="BB260" s="17">
        <v>0.29405846360713411</v>
      </c>
      <c r="BC260" s="17">
        <v>0.49514778791554215</v>
      </c>
      <c r="BD260" s="17">
        <v>-0.91773185380324385</v>
      </c>
      <c r="BE260" s="17">
        <v>-0.49622215073800474</v>
      </c>
      <c r="BF260" s="17">
        <v>0.55016648822045067</v>
      </c>
      <c r="BK260" s="20">
        <v>1.0293383517944814</v>
      </c>
      <c r="BL260" s="20">
        <v>-2.9441453438419002E-2</v>
      </c>
      <c r="BN260" s="21">
        <f t="shared" si="11"/>
        <v>0</v>
      </c>
    </row>
    <row r="261" spans="1:66">
      <c r="A261" s="14">
        <v>15.53</v>
      </c>
      <c r="B261" s="14">
        <v>33.56</v>
      </c>
      <c r="C261" s="14">
        <v>103.7</v>
      </c>
      <c r="D261" s="14">
        <v>744.9</v>
      </c>
      <c r="E261" s="14">
        <v>0.16389999999999999</v>
      </c>
      <c r="F261" s="14">
        <v>0.17510000000000001</v>
      </c>
      <c r="G261" s="14">
        <v>8.3989999999999995E-2</v>
      </c>
      <c r="H261" s="14">
        <v>18.489999999999998</v>
      </c>
      <c r="I261" s="14">
        <v>1035</v>
      </c>
      <c r="J261" s="14">
        <v>0.2014</v>
      </c>
      <c r="M261" s="16">
        <v>1</v>
      </c>
      <c r="O261" s="12">
        <f t="shared" si="12"/>
        <v>0</v>
      </c>
      <c r="P261" s="12">
        <f t="shared" si="13"/>
        <v>1</v>
      </c>
      <c r="R261" s="17">
        <v>-0.86216493245391179</v>
      </c>
      <c r="S261" s="17">
        <v>0.86592397083683859</v>
      </c>
      <c r="T261" s="17">
        <v>1.1492407566427856</v>
      </c>
      <c r="U261" s="17">
        <v>0.30971288832147947</v>
      </c>
      <c r="V261" s="17">
        <v>1.322038261257461</v>
      </c>
      <c r="W261" s="17">
        <v>-0.54000870393571332</v>
      </c>
      <c r="X261" s="17">
        <v>-0.93446499101467595</v>
      </c>
      <c r="Y261" s="17">
        <v>1.3623707400649003</v>
      </c>
      <c r="Z261" s="17">
        <v>0.73556995189170193</v>
      </c>
      <c r="AA261" s="17">
        <v>1.6983871669386827</v>
      </c>
      <c r="AB261" s="17">
        <v>-1.2113068807979621</v>
      </c>
      <c r="AC261" s="17">
        <v>1.5906603286575782</v>
      </c>
      <c r="AD261" s="17">
        <v>-0.8593627097567913</v>
      </c>
      <c r="AE261" s="17">
        <v>1.3374666300864129</v>
      </c>
      <c r="AF261" s="17">
        <v>1.6049118769290147</v>
      </c>
      <c r="AG261" s="17">
        <v>1.3481853892245086</v>
      </c>
      <c r="AH261" s="17">
        <v>0.33128292594394448</v>
      </c>
      <c r="AI261" s="17">
        <v>-1.6572512841003593</v>
      </c>
      <c r="AJ261" s="17">
        <v>-0.4315878441673433</v>
      </c>
      <c r="AK261" s="17">
        <v>0.36873422441298942</v>
      </c>
      <c r="AM261" s="17">
        <v>-0.71750926610352828</v>
      </c>
      <c r="AN261" s="17">
        <v>0.708739178124837</v>
      </c>
      <c r="AO261" s="17">
        <v>0.81693240702366654</v>
      </c>
      <c r="AP261" s="17">
        <v>0.31110591564088469</v>
      </c>
      <c r="AQ261" s="17">
        <v>0.87329467446215137</v>
      </c>
      <c r="AR261" s="17">
        <v>-0.52432078521799153</v>
      </c>
      <c r="AS261" s="17">
        <v>-0.74962681988881597</v>
      </c>
      <c r="AT261" s="17">
        <v>0.87502414876342249</v>
      </c>
      <c r="AU261" s="17">
        <v>0.66116367645617391</v>
      </c>
      <c r="AV261" s="17">
        <v>0.93468686525845723</v>
      </c>
      <c r="AW261" s="17">
        <v>-0.82724464076966964</v>
      </c>
      <c r="AX261" s="17">
        <v>0.91908168995979656</v>
      </c>
      <c r="AY261" s="17">
        <v>-0.70000447596870319</v>
      </c>
      <c r="AZ261" s="17">
        <v>0.87888811870888461</v>
      </c>
      <c r="BA261" s="17">
        <v>0.91475799899451915</v>
      </c>
      <c r="BB261" s="17">
        <v>0.86454431104786422</v>
      </c>
      <c r="BC261" s="17">
        <v>0.33327420412926184</v>
      </c>
      <c r="BD261" s="17">
        <v>-0.93209101666953365</v>
      </c>
      <c r="BE261" s="17">
        <v>-0.41608872415341674</v>
      </c>
      <c r="BF261" s="17">
        <v>0.28129893616623836</v>
      </c>
      <c r="BK261" s="20">
        <v>0.93377567881819146</v>
      </c>
      <c r="BL261" s="20">
        <v>6.6308486551186097E-2</v>
      </c>
      <c r="BN261" s="21">
        <f t="shared" si="11"/>
        <v>0</v>
      </c>
    </row>
    <row r="262" spans="1:66">
      <c r="A262" s="14">
        <v>20.309999999999999</v>
      </c>
      <c r="B262" s="14">
        <v>27.06</v>
      </c>
      <c r="C262" s="14">
        <v>132.9</v>
      </c>
      <c r="D262" s="14">
        <v>1288</v>
      </c>
      <c r="E262" s="14">
        <v>0.10879999999999999</v>
      </c>
      <c r="F262" s="14">
        <v>0.15190000000000001</v>
      </c>
      <c r="G262" s="14">
        <v>9.3329999999999996E-2</v>
      </c>
      <c r="H262" s="14">
        <v>24.33</v>
      </c>
      <c r="I262" s="14">
        <v>1844</v>
      </c>
      <c r="J262" s="14">
        <v>0.16969999999999999</v>
      </c>
      <c r="M262" s="16">
        <v>1</v>
      </c>
      <c r="O262" s="12">
        <f t="shared" si="12"/>
        <v>0</v>
      </c>
      <c r="P262" s="12">
        <f t="shared" si="13"/>
        <v>1</v>
      </c>
      <c r="R262" s="17">
        <v>-0.86216493245391179</v>
      </c>
      <c r="S262" s="17">
        <v>0.86592397083683859</v>
      </c>
      <c r="T262" s="17">
        <v>1.1492407566427856</v>
      </c>
      <c r="U262" s="17">
        <v>0.30971288832147947</v>
      </c>
      <c r="V262" s="17">
        <v>1.322038261257461</v>
      </c>
      <c r="W262" s="17">
        <v>-0.54000870393571332</v>
      </c>
      <c r="X262" s="17">
        <v>-0.93446499101467595</v>
      </c>
      <c r="Y262" s="17">
        <v>1.3623707400649003</v>
      </c>
      <c r="Z262" s="17">
        <v>0.73556995189170193</v>
      </c>
      <c r="AA262" s="17">
        <v>1.6983871669386827</v>
      </c>
      <c r="AB262" s="17">
        <v>-1.2113068807979621</v>
      </c>
      <c r="AC262" s="17">
        <v>1.5906603286575782</v>
      </c>
      <c r="AD262" s="17">
        <v>-0.8593627097567913</v>
      </c>
      <c r="AE262" s="17">
        <v>1.3374666300864129</v>
      </c>
      <c r="AF262" s="17">
        <v>1.6049118769290147</v>
      </c>
      <c r="AG262" s="17">
        <v>1.3481853892245086</v>
      </c>
      <c r="AH262" s="17">
        <v>0.33128292594394448</v>
      </c>
      <c r="AI262" s="17">
        <v>-1.6572512841003593</v>
      </c>
      <c r="AJ262" s="17">
        <v>-0.4315878441673433</v>
      </c>
      <c r="AK262" s="17">
        <v>0.36873422441298842</v>
      </c>
      <c r="AM262" s="17">
        <v>-0.77774573425732885</v>
      </c>
      <c r="AN262" s="17">
        <v>0.72971280730528743</v>
      </c>
      <c r="AO262" s="17">
        <v>0.77240313681350725</v>
      </c>
      <c r="AP262" s="17">
        <v>0.34566970096197736</v>
      </c>
      <c r="AQ262" s="17">
        <v>0.88461303381488066</v>
      </c>
      <c r="AR262" s="17">
        <v>-0.63024350186949363</v>
      </c>
      <c r="AS262" s="17">
        <v>-0.79850407743742013</v>
      </c>
      <c r="AT262" s="17">
        <v>0.85088251768102696</v>
      </c>
      <c r="AU262" s="17">
        <v>0.76973428925261622</v>
      </c>
      <c r="AV262" s="17">
        <v>0.92207024101237378</v>
      </c>
      <c r="AW262" s="17">
        <v>-0.75669645822445508</v>
      </c>
      <c r="AX262" s="17">
        <v>0.9017038803788141</v>
      </c>
      <c r="AY262" s="17">
        <v>-0.69852819000771038</v>
      </c>
      <c r="AZ262" s="17">
        <v>0.89714135595682831</v>
      </c>
      <c r="BA262" s="17">
        <v>0.8549488522451747</v>
      </c>
      <c r="BB262" s="17">
        <v>0.79756758588032373</v>
      </c>
      <c r="BC262" s="17">
        <v>0.37826230817337836</v>
      </c>
      <c r="BD262" s="17">
        <v>-0.93222252961526841</v>
      </c>
      <c r="BE262" s="17">
        <v>-0.440956818002463</v>
      </c>
      <c r="BF262" s="17">
        <v>0.21575880684686657</v>
      </c>
      <c r="BK262" s="20">
        <v>-8.3663116049813163E-2</v>
      </c>
      <c r="BL262" s="20">
        <v>1.083604375652403</v>
      </c>
      <c r="BN262" s="21">
        <f t="shared" si="11"/>
        <v>1</v>
      </c>
    </row>
    <row r="263" spans="1:66">
      <c r="A263" s="14">
        <v>17.350000000000001</v>
      </c>
      <c r="B263" s="14">
        <v>23.06</v>
      </c>
      <c r="C263" s="14">
        <v>111</v>
      </c>
      <c r="D263" s="14">
        <v>933.1</v>
      </c>
      <c r="E263" s="14">
        <v>6.2899999999999998E-2</v>
      </c>
      <c r="F263" s="14">
        <v>2.8910000000000002E-2</v>
      </c>
      <c r="G263" s="14">
        <v>2.8369999999999999E-2</v>
      </c>
      <c r="H263" s="14">
        <v>19.850000000000001</v>
      </c>
      <c r="I263" s="14">
        <v>1218</v>
      </c>
      <c r="J263" s="14">
        <v>8.2350000000000007E-2</v>
      </c>
      <c r="M263" s="16">
        <v>1</v>
      </c>
      <c r="O263" s="12">
        <f t="shared" si="12"/>
        <v>0</v>
      </c>
      <c r="P263" s="12">
        <f t="shared" si="13"/>
        <v>1</v>
      </c>
      <c r="R263" s="17">
        <v>-1.4643074708783446</v>
      </c>
      <c r="S263" s="17">
        <v>1.0359333700219733</v>
      </c>
      <c r="T263" s="17">
        <v>0.4503249130137873</v>
      </c>
      <c r="U263" s="17">
        <v>0.47751119115197871</v>
      </c>
      <c r="V263" s="17">
        <v>1.5052132201123889</v>
      </c>
      <c r="W263" s="17">
        <v>-1.2567352733816861</v>
      </c>
      <c r="X263" s="17">
        <v>-1.4659127711484521</v>
      </c>
      <c r="Y263" s="17">
        <v>0.877385815472147</v>
      </c>
      <c r="Z263" s="17">
        <v>1.7463530467411736</v>
      </c>
      <c r="AA263" s="17">
        <v>1.2163845753889837</v>
      </c>
      <c r="AB263" s="17">
        <v>-0.28839333793737798</v>
      </c>
      <c r="AC263" s="17">
        <v>1.0652147513376473</v>
      </c>
      <c r="AD263" s="17">
        <v>-0.81583654438301023</v>
      </c>
      <c r="AE263" s="17">
        <v>1.6894094608623824</v>
      </c>
      <c r="AF263" s="17">
        <v>0.2496334827590041</v>
      </c>
      <c r="AG263" s="17">
        <v>0.29010426800531797</v>
      </c>
      <c r="AH263" s="17">
        <v>0.55723475600471262</v>
      </c>
      <c r="AI263" s="17">
        <v>-1.603629768829455</v>
      </c>
      <c r="AJ263" s="17">
        <v>-0.55690825498325469</v>
      </c>
      <c r="AK263" s="17">
        <v>0.41237434549781871</v>
      </c>
      <c r="AM263" s="17">
        <v>-0.89502164881475077</v>
      </c>
      <c r="AN263" s="17">
        <v>0.77989891523579236</v>
      </c>
      <c r="AO263" s="17">
        <v>0.36289721498441929</v>
      </c>
      <c r="AP263" s="17">
        <v>0.44155640470045926</v>
      </c>
      <c r="AQ263" s="17">
        <v>0.90938561405397822</v>
      </c>
      <c r="AR263" s="17">
        <v>-0.84100752498997511</v>
      </c>
      <c r="AS263" s="17">
        <v>-0.8965298936098649</v>
      </c>
      <c r="AT263" s="17">
        <v>0.73451758285283419</v>
      </c>
      <c r="AU263" s="17">
        <v>0.93546525232944833</v>
      </c>
      <c r="AV263" s="17">
        <v>0.85779367456521893</v>
      </c>
      <c r="AW263" s="17">
        <v>-0.35677037407607287</v>
      </c>
      <c r="AX263" s="17">
        <v>0.81238482299197179</v>
      </c>
      <c r="AY263" s="17">
        <v>-0.68480244821148839</v>
      </c>
      <c r="AZ263" s="17">
        <v>0.93516467623992261</v>
      </c>
      <c r="BA263" s="17">
        <v>0.35415127189568002</v>
      </c>
      <c r="BB263" s="17">
        <v>0.36824059738229187</v>
      </c>
      <c r="BC263" s="17">
        <v>0.50109906759353162</v>
      </c>
      <c r="BD263" s="17">
        <v>-0.92812518758034535</v>
      </c>
      <c r="BE263" s="17">
        <v>-0.50721102651958705</v>
      </c>
      <c r="BF263" s="17">
        <v>0.36408293699118166</v>
      </c>
      <c r="BK263" s="20">
        <v>1.0224871933487898</v>
      </c>
      <c r="BL263" s="20">
        <v>-2.2601846750915734E-2</v>
      </c>
      <c r="BN263" s="21">
        <f t="shared" si="11"/>
        <v>0</v>
      </c>
    </row>
    <row r="264" spans="1:66">
      <c r="A264" s="14">
        <v>17.29</v>
      </c>
      <c r="B264" s="14">
        <v>22.13</v>
      </c>
      <c r="C264" s="14">
        <v>114.4</v>
      </c>
      <c r="D264" s="14">
        <v>947.8</v>
      </c>
      <c r="E264" s="14">
        <v>0.1273</v>
      </c>
      <c r="F264" s="14">
        <v>9.6970000000000001E-2</v>
      </c>
      <c r="G264" s="14">
        <v>7.5069999999999998E-2</v>
      </c>
      <c r="H264" s="14">
        <v>20.39</v>
      </c>
      <c r="I264" s="14">
        <v>1295</v>
      </c>
      <c r="J264" s="14">
        <v>0.15279999999999999</v>
      </c>
      <c r="M264" s="16">
        <v>1</v>
      </c>
      <c r="O264" s="12">
        <f t="shared" si="12"/>
        <v>0</v>
      </c>
      <c r="P264" s="12">
        <f t="shared" si="13"/>
        <v>1</v>
      </c>
      <c r="R264" s="17">
        <v>-1.4643074708783446</v>
      </c>
      <c r="S264" s="17">
        <v>1.0359333700219733</v>
      </c>
      <c r="T264" s="17">
        <v>0.4503249130137873</v>
      </c>
      <c r="U264" s="17">
        <v>0.47751119115197871</v>
      </c>
      <c r="V264" s="17">
        <v>1.5052132201123889</v>
      </c>
      <c r="W264" s="17">
        <v>-1.2567352733816861</v>
      </c>
      <c r="X264" s="17">
        <v>-1.4659127711484521</v>
      </c>
      <c r="Y264" s="17">
        <v>0.877385815472147</v>
      </c>
      <c r="Z264" s="17">
        <v>1.7463530467411736</v>
      </c>
      <c r="AA264" s="17">
        <v>1.2163845753889837</v>
      </c>
      <c r="AB264" s="17">
        <v>-0.28839333793737798</v>
      </c>
      <c r="AC264" s="17">
        <v>1.0652147513376473</v>
      </c>
      <c r="AD264" s="17">
        <v>-0.81583654438301023</v>
      </c>
      <c r="AE264" s="17">
        <v>1.6894094608623824</v>
      </c>
      <c r="AF264" s="17">
        <v>0.2496334827590041</v>
      </c>
      <c r="AG264" s="17">
        <v>0.29010426800531797</v>
      </c>
      <c r="AH264" s="17">
        <v>0.55723475600471262</v>
      </c>
      <c r="AI264" s="17">
        <v>-1.603629768829455</v>
      </c>
      <c r="AJ264" s="17">
        <v>-0.55690825498325469</v>
      </c>
      <c r="AK264" s="17">
        <v>0.41256201738018505</v>
      </c>
      <c r="AM264" s="17">
        <v>-0.67579521221762451</v>
      </c>
      <c r="AN264" s="17">
        <v>0.64743026513828383</v>
      </c>
      <c r="AO264" s="17">
        <v>0.71545360206090702</v>
      </c>
      <c r="AP264" s="17">
        <v>0.28122738500998368</v>
      </c>
      <c r="AQ264" s="17">
        <v>0.82343894877351598</v>
      </c>
      <c r="AR264" s="17">
        <v>-0.50549081719386912</v>
      </c>
      <c r="AS264" s="17">
        <v>-0.7039774761080988</v>
      </c>
      <c r="AT264" s="17">
        <v>0.80730960089742521</v>
      </c>
      <c r="AU264" s="17">
        <v>0.64256635012577501</v>
      </c>
      <c r="AV264" s="17">
        <v>0.88761123521465124</v>
      </c>
      <c r="AW264" s="17">
        <v>-0.73246044887151307</v>
      </c>
      <c r="AX264" s="17">
        <v>0.86475024296936454</v>
      </c>
      <c r="AY264" s="17">
        <v>-0.62831810462485382</v>
      </c>
      <c r="AZ264" s="17">
        <v>0.8341867553427077</v>
      </c>
      <c r="BA264" s="17">
        <v>0.83996257817259334</v>
      </c>
      <c r="BB264" s="17">
        <v>0.77619254448903363</v>
      </c>
      <c r="BC264" s="17">
        <v>0.30490642834553938</v>
      </c>
      <c r="BD264" s="17">
        <v>-0.89129633479810666</v>
      </c>
      <c r="BE264" s="17">
        <v>-0.37071653915618397</v>
      </c>
      <c r="BF264" s="17">
        <v>0.18194110648809203</v>
      </c>
      <c r="BK264" s="20">
        <v>0.97877292531030757</v>
      </c>
      <c r="BL264" s="20">
        <v>2.1191790086591854E-2</v>
      </c>
      <c r="BN264" s="21">
        <f t="shared" si="11"/>
        <v>0</v>
      </c>
    </row>
    <row r="265" spans="1:66">
      <c r="A265" s="14">
        <v>15.61</v>
      </c>
      <c r="B265" s="14">
        <v>19.38</v>
      </c>
      <c r="C265" s="14">
        <v>100</v>
      </c>
      <c r="D265" s="14">
        <v>758.6</v>
      </c>
      <c r="E265" s="14">
        <v>5.6160000000000002E-2</v>
      </c>
      <c r="F265" s="14">
        <v>4.2090000000000002E-2</v>
      </c>
      <c r="G265" s="14">
        <v>2.8469999999999999E-2</v>
      </c>
      <c r="H265" s="14">
        <v>17.91</v>
      </c>
      <c r="I265" s="14">
        <v>988.6</v>
      </c>
      <c r="J265" s="14">
        <v>8.5680000000000006E-2</v>
      </c>
      <c r="M265" s="16">
        <v>1</v>
      </c>
      <c r="O265" s="12">
        <f t="shared" si="12"/>
        <v>0</v>
      </c>
      <c r="P265" s="12">
        <f t="shared" si="13"/>
        <v>1</v>
      </c>
      <c r="R265" s="17">
        <v>-0.86216493245391179</v>
      </c>
      <c r="S265" s="17">
        <v>0.86592397083683859</v>
      </c>
      <c r="T265" s="17">
        <v>1.1492407566427856</v>
      </c>
      <c r="U265" s="17">
        <v>0.30971288832147947</v>
      </c>
      <c r="V265" s="17">
        <v>1.322038261257461</v>
      </c>
      <c r="W265" s="17">
        <v>-0.54000870393571332</v>
      </c>
      <c r="X265" s="17">
        <v>-0.93446499101467595</v>
      </c>
      <c r="Y265" s="17">
        <v>1.3623707400649003</v>
      </c>
      <c r="Z265" s="17">
        <v>0.73556995189170193</v>
      </c>
      <c r="AA265" s="17">
        <v>1.6983871669386827</v>
      </c>
      <c r="AB265" s="17">
        <v>-1.2113068807979621</v>
      </c>
      <c r="AC265" s="17">
        <v>1.5906603286575782</v>
      </c>
      <c r="AD265" s="17">
        <v>-0.8593627097567913</v>
      </c>
      <c r="AE265" s="17">
        <v>1.3374666300864129</v>
      </c>
      <c r="AF265" s="17">
        <v>1.6049118769290147</v>
      </c>
      <c r="AG265" s="17">
        <v>1.3481853892245086</v>
      </c>
      <c r="AH265" s="17">
        <v>0.33128292594394448</v>
      </c>
      <c r="AI265" s="17">
        <v>-1.6572512841003593</v>
      </c>
      <c r="AJ265" s="17">
        <v>-0.4315878441673433</v>
      </c>
      <c r="AK265" s="17">
        <v>0.3687342244129892</v>
      </c>
      <c r="AM265" s="17">
        <v>-0.76947997464781348</v>
      </c>
      <c r="AN265" s="17">
        <v>0.73641322359886752</v>
      </c>
      <c r="AO265" s="17">
        <v>0.81669654639431399</v>
      </c>
      <c r="AP265" s="17">
        <v>0.34260835640716791</v>
      </c>
      <c r="AQ265" s="17">
        <v>0.89061353561413281</v>
      </c>
      <c r="AR265" s="17">
        <v>-0.60529399134170925</v>
      </c>
      <c r="AS265" s="17">
        <v>-0.79392394313925752</v>
      </c>
      <c r="AT265" s="17">
        <v>0.87238791083266054</v>
      </c>
      <c r="AU265" s="17">
        <v>0.74512753395530862</v>
      </c>
      <c r="AV265" s="17">
        <v>0.93503747812085047</v>
      </c>
      <c r="AW265" s="17">
        <v>-0.80142345305984186</v>
      </c>
      <c r="AX265" s="17">
        <v>0.91791544175499018</v>
      </c>
      <c r="AY265" s="17">
        <v>-0.714325533485483</v>
      </c>
      <c r="AZ265" s="17">
        <v>0.90005689666732447</v>
      </c>
      <c r="BA265" s="17">
        <v>0.89293098535777393</v>
      </c>
      <c r="BB265" s="17">
        <v>0.84007416862526074</v>
      </c>
      <c r="BC265" s="17">
        <v>0.37184086375466513</v>
      </c>
      <c r="BD265" s="17">
        <v>-0.93946479922506021</v>
      </c>
      <c r="BE265" s="17">
        <v>-0.44412256789151178</v>
      </c>
      <c r="BF265" s="17">
        <v>0.40170449462414909</v>
      </c>
      <c r="BK265" s="20">
        <v>0.89786255461369024</v>
      </c>
      <c r="BL265" s="20">
        <v>0.10200589897518909</v>
      </c>
      <c r="BN265" s="21">
        <f t="shared" si="11"/>
        <v>0</v>
      </c>
    </row>
    <row r="266" spans="1:66">
      <c r="A266" s="14">
        <v>17.190000000000001</v>
      </c>
      <c r="B266" s="14">
        <v>22.07</v>
      </c>
      <c r="C266" s="14">
        <v>111.6</v>
      </c>
      <c r="D266" s="14">
        <v>928.3</v>
      </c>
      <c r="E266" s="14">
        <v>8.9950000000000002E-2</v>
      </c>
      <c r="F266" s="14">
        <v>9.0609999999999996E-2</v>
      </c>
      <c r="G266" s="14">
        <v>6.5269999999999995E-2</v>
      </c>
      <c r="H266" s="14">
        <v>21.58</v>
      </c>
      <c r="I266" s="14">
        <v>1436</v>
      </c>
      <c r="J266" s="14">
        <v>0.19839999999999999</v>
      </c>
      <c r="M266" s="16">
        <v>1</v>
      </c>
      <c r="O266" s="12">
        <f t="shared" si="12"/>
        <v>0</v>
      </c>
      <c r="P266" s="12">
        <f t="shared" si="13"/>
        <v>1</v>
      </c>
      <c r="R266" s="17">
        <v>-0.86216493245391179</v>
      </c>
      <c r="S266" s="17">
        <v>0.86592397083683859</v>
      </c>
      <c r="T266" s="17">
        <v>1.1492407566427856</v>
      </c>
      <c r="U266" s="17">
        <v>0.30971288832147947</v>
      </c>
      <c r="V266" s="17">
        <v>1.322038261257461</v>
      </c>
      <c r="W266" s="17">
        <v>-0.54000870393571332</v>
      </c>
      <c r="X266" s="17">
        <v>-0.93446499101467595</v>
      </c>
      <c r="Y266" s="17">
        <v>1.3623707400649003</v>
      </c>
      <c r="Z266" s="17">
        <v>0.73556995189170193</v>
      </c>
      <c r="AA266" s="17">
        <v>1.6983871669386827</v>
      </c>
      <c r="AB266" s="17">
        <v>-1.2113068807979621</v>
      </c>
      <c r="AC266" s="17">
        <v>1.5906603286575782</v>
      </c>
      <c r="AD266" s="17">
        <v>-0.8593627097567913</v>
      </c>
      <c r="AE266" s="17">
        <v>1.3374666300864129</v>
      </c>
      <c r="AF266" s="17">
        <v>1.6049118769290147</v>
      </c>
      <c r="AG266" s="17">
        <v>1.3481853892245086</v>
      </c>
      <c r="AH266" s="17">
        <v>0.33128292594394448</v>
      </c>
      <c r="AI266" s="17">
        <v>-1.6572512841003593</v>
      </c>
      <c r="AJ266" s="17">
        <v>-0.4315878441673433</v>
      </c>
      <c r="AK266" s="17">
        <v>0.36873422441298909</v>
      </c>
      <c r="AM266" s="17">
        <v>-0.91939190298633233</v>
      </c>
      <c r="AN266" s="17">
        <v>0.77709024788085601</v>
      </c>
      <c r="AO266" s="17">
        <v>-0.62553632678185001</v>
      </c>
      <c r="AP266" s="17">
        <v>0.46806641504528762</v>
      </c>
      <c r="AQ266" s="17">
        <v>0.90284340475976432</v>
      </c>
      <c r="AR266" s="17">
        <v>-0.89074618377826331</v>
      </c>
      <c r="AS266" s="17">
        <v>-0.91599756216217776</v>
      </c>
      <c r="AT266" s="17">
        <v>0.58774471369233516</v>
      </c>
      <c r="AU266" s="17">
        <v>0.96300567175935081</v>
      </c>
      <c r="AV266" s="17">
        <v>0.76021745412437691</v>
      </c>
      <c r="AW266" s="17">
        <v>2.7116078402685609E-2</v>
      </c>
      <c r="AX266" s="17">
        <v>0.6853800821417535</v>
      </c>
      <c r="AY266" s="17">
        <v>-0.64087200688620416</v>
      </c>
      <c r="AZ266" s="17">
        <v>0.9375109804252012</v>
      </c>
      <c r="BA266" s="17">
        <v>-0.20192949890682166</v>
      </c>
      <c r="BB266" s="17">
        <v>-6.9423070497883085E-2</v>
      </c>
      <c r="BC266" s="17">
        <v>0.53858167773693966</v>
      </c>
      <c r="BD266" s="17">
        <v>-0.90579594453421075</v>
      </c>
      <c r="BE266" s="17">
        <v>-0.51467015609202438</v>
      </c>
      <c r="BF266" s="17">
        <v>-0.30206568390789096</v>
      </c>
      <c r="BK266" s="20">
        <v>0.90841020581654319</v>
      </c>
      <c r="BL266" s="20">
        <v>9.1438755863804802E-2</v>
      </c>
      <c r="BN266" s="21">
        <f t="shared" si="11"/>
        <v>0</v>
      </c>
    </row>
    <row r="267" spans="1:66">
      <c r="A267" s="14">
        <v>20.73</v>
      </c>
      <c r="B267" s="14">
        <v>31.12</v>
      </c>
      <c r="C267" s="14">
        <v>135.69999999999999</v>
      </c>
      <c r="D267" s="14">
        <v>1419</v>
      </c>
      <c r="E267" s="14">
        <v>0.1143</v>
      </c>
      <c r="F267" s="14">
        <v>0.13669999999999999</v>
      </c>
      <c r="G267" s="14">
        <v>8.6459999999999995E-2</v>
      </c>
      <c r="H267" s="14">
        <v>32.49</v>
      </c>
      <c r="I267" s="14">
        <v>3432</v>
      </c>
      <c r="J267" s="14">
        <v>0.16589999999999999</v>
      </c>
      <c r="M267" s="16">
        <v>1</v>
      </c>
      <c r="O267" s="12">
        <f t="shared" si="12"/>
        <v>0</v>
      </c>
      <c r="P267" s="12">
        <f t="shared" si="13"/>
        <v>1</v>
      </c>
      <c r="R267" s="17">
        <v>-1.4643074708783446</v>
      </c>
      <c r="S267" s="17">
        <v>1.0359333700219733</v>
      </c>
      <c r="T267" s="17">
        <v>0.4503249130137873</v>
      </c>
      <c r="U267" s="17">
        <v>0.47751119115197871</v>
      </c>
      <c r="V267" s="17">
        <v>1.5052132201123889</v>
      </c>
      <c r="W267" s="17">
        <v>-1.2567352733816861</v>
      </c>
      <c r="X267" s="17">
        <v>-1.4659127711484521</v>
      </c>
      <c r="Y267" s="17">
        <v>0.877385815472147</v>
      </c>
      <c r="Z267" s="17">
        <v>1.7463530467411736</v>
      </c>
      <c r="AA267" s="17">
        <v>1.2163845753889837</v>
      </c>
      <c r="AB267" s="17">
        <v>-0.28839333793737798</v>
      </c>
      <c r="AC267" s="17">
        <v>1.0652147513376473</v>
      </c>
      <c r="AD267" s="17">
        <v>-0.81583654438301023</v>
      </c>
      <c r="AE267" s="17">
        <v>1.6894094608623824</v>
      </c>
      <c r="AF267" s="17">
        <v>0.2496334827590041</v>
      </c>
      <c r="AG267" s="17">
        <v>0.29010426800531797</v>
      </c>
      <c r="AH267" s="17">
        <v>0.55723475600471262</v>
      </c>
      <c r="AI267" s="17">
        <v>-1.603629768829455</v>
      </c>
      <c r="AJ267" s="17">
        <v>-0.55690825498325469</v>
      </c>
      <c r="AK267" s="17">
        <v>0.41256201738018505</v>
      </c>
      <c r="AM267" s="17">
        <v>-0.882334060076154</v>
      </c>
      <c r="AN267" s="17">
        <v>0.77038423973883574</v>
      </c>
      <c r="AO267" s="17">
        <v>0.54155524176738767</v>
      </c>
      <c r="AP267" s="17">
        <v>0.42728623653192016</v>
      </c>
      <c r="AQ267" s="17">
        <v>0.90406450331453148</v>
      </c>
      <c r="AR267" s="17">
        <v>-0.82038822278012968</v>
      </c>
      <c r="AS267" s="17">
        <v>-0.88514469003268592</v>
      </c>
      <c r="AT267" s="17">
        <v>0.74636752403194617</v>
      </c>
      <c r="AU267" s="17">
        <v>0.92268657856317349</v>
      </c>
      <c r="AV267" s="17">
        <v>0.86357878224032425</v>
      </c>
      <c r="AW267" s="17">
        <v>-0.41211865366263295</v>
      </c>
      <c r="AX267" s="17">
        <v>0.82142332641790072</v>
      </c>
      <c r="AY267" s="17">
        <v>-0.68177469527293555</v>
      </c>
      <c r="AZ267" s="17">
        <v>0.9293576987103328</v>
      </c>
      <c r="BA267" s="17">
        <v>0.4361768876264126</v>
      </c>
      <c r="BB267" s="17">
        <v>0.43116356058015104</v>
      </c>
      <c r="BC267" s="17">
        <v>0.48386666759348579</v>
      </c>
      <c r="BD267" s="17">
        <v>-0.92622773687751436</v>
      </c>
      <c r="BE267" s="17">
        <v>-0.4957438000269096</v>
      </c>
      <c r="BF267" s="17">
        <v>0.36275055439252196</v>
      </c>
      <c r="BK267" s="20">
        <v>1.0401544576182711</v>
      </c>
      <c r="BL267" s="20">
        <v>-4.0263371988104327E-2</v>
      </c>
      <c r="BN267" s="21">
        <f t="shared" si="11"/>
        <v>0</v>
      </c>
    </row>
    <row r="268" spans="1:66">
      <c r="A268" s="14">
        <v>10.6</v>
      </c>
      <c r="B268" s="14">
        <v>18.95</v>
      </c>
      <c r="C268" s="14">
        <v>69.28</v>
      </c>
      <c r="D268" s="14">
        <v>346.4</v>
      </c>
      <c r="E268" s="14">
        <v>0.1147</v>
      </c>
      <c r="F268" s="14">
        <v>6.3869999999999996E-2</v>
      </c>
      <c r="G268" s="14">
        <v>2.6419999999999999E-2</v>
      </c>
      <c r="H268" s="14">
        <v>11.88</v>
      </c>
      <c r="I268" s="14">
        <v>424.8</v>
      </c>
      <c r="J268" s="14">
        <v>7.9259999999999997E-2</v>
      </c>
      <c r="M268" s="16">
        <v>0</v>
      </c>
      <c r="O268" s="12">
        <f t="shared" si="12"/>
        <v>1</v>
      </c>
      <c r="P268" s="12">
        <f t="shared" si="13"/>
        <v>0</v>
      </c>
      <c r="R268" s="17">
        <v>-0.86216493245391179</v>
      </c>
      <c r="S268" s="17">
        <v>0.86592397083683859</v>
      </c>
      <c r="T268" s="17">
        <v>1.1492407566427856</v>
      </c>
      <c r="U268" s="17">
        <v>0.30971288832147947</v>
      </c>
      <c r="V268" s="17">
        <v>1.322038261257461</v>
      </c>
      <c r="W268" s="17">
        <v>-0.54000870393571332</v>
      </c>
      <c r="X268" s="17">
        <v>-0.93446499101467595</v>
      </c>
      <c r="Y268" s="17">
        <v>1.3623707400649003</v>
      </c>
      <c r="Z268" s="17">
        <v>0.73556995189170193</v>
      </c>
      <c r="AA268" s="17">
        <v>1.6983871669386827</v>
      </c>
      <c r="AB268" s="17">
        <v>-1.2113068807979621</v>
      </c>
      <c r="AC268" s="17">
        <v>1.5906603286575782</v>
      </c>
      <c r="AD268" s="17">
        <v>-0.8593627097567913</v>
      </c>
      <c r="AE268" s="17">
        <v>1.3374666300864129</v>
      </c>
      <c r="AF268" s="17">
        <v>1.6049118769290147</v>
      </c>
      <c r="AG268" s="17">
        <v>1.3481853892245086</v>
      </c>
      <c r="AH268" s="17">
        <v>0.33128292594394448</v>
      </c>
      <c r="AI268" s="17">
        <v>-1.6572512841003593</v>
      </c>
      <c r="AJ268" s="17">
        <v>-0.4315878441673433</v>
      </c>
      <c r="AK268" s="17">
        <v>5.6909775962012854E-2</v>
      </c>
      <c r="AM268" s="17">
        <v>-0.82131150254027163</v>
      </c>
      <c r="AN268" s="17">
        <v>0.76642436966084293</v>
      </c>
      <c r="AO268" s="17">
        <v>0.78062259158039426</v>
      </c>
      <c r="AP268" s="17">
        <v>0.37976754601312218</v>
      </c>
      <c r="AQ268" s="17">
        <v>0.90823370845796114</v>
      </c>
      <c r="AR268" s="17">
        <v>-0.6898090001275321</v>
      </c>
      <c r="AS268" s="17">
        <v>-0.83822391766260063</v>
      </c>
      <c r="AT268" s="17">
        <v>0.86790551076685574</v>
      </c>
      <c r="AU268" s="17">
        <v>0.82323874540896469</v>
      </c>
      <c r="AV268" s="17">
        <v>0.93474575270121496</v>
      </c>
      <c r="AW268" s="17">
        <v>-0.76291735321463527</v>
      </c>
      <c r="AX268" s="17">
        <v>0.91557555708122818</v>
      </c>
      <c r="AY268" s="17">
        <v>-0.72994683966836971</v>
      </c>
      <c r="AZ268" s="17">
        <v>0.92078888811305792</v>
      </c>
      <c r="BA268" s="17">
        <v>0.85704716890613319</v>
      </c>
      <c r="BB268" s="17">
        <v>0.80248645519042594</v>
      </c>
      <c r="BC268" s="17">
        <v>0.41705542442232435</v>
      </c>
      <c r="BD268" s="17">
        <v>-0.94696716694921901</v>
      </c>
      <c r="BE268" s="17">
        <v>-0.47661860635933451</v>
      </c>
      <c r="BF268" s="17">
        <v>0.14624786461913974</v>
      </c>
      <c r="BK268" s="20">
        <v>8.5984301997674692E-2</v>
      </c>
      <c r="BL268" s="20">
        <v>0.91415050042326551</v>
      </c>
      <c r="BN268" s="21">
        <f t="shared" si="11"/>
        <v>1</v>
      </c>
    </row>
    <row r="269" spans="1:66">
      <c r="A269" s="14">
        <v>13.59</v>
      </c>
      <c r="B269" s="14">
        <v>21.84</v>
      </c>
      <c r="C269" s="14">
        <v>87.16</v>
      </c>
      <c r="D269" s="14">
        <v>561</v>
      </c>
      <c r="E269" s="14">
        <v>8.2589999999999997E-2</v>
      </c>
      <c r="F269" s="14">
        <v>4.0719999999999999E-2</v>
      </c>
      <c r="G269" s="14">
        <v>2.1420000000000002E-2</v>
      </c>
      <c r="H269" s="14">
        <v>14.8</v>
      </c>
      <c r="I269" s="14">
        <v>661.5</v>
      </c>
      <c r="J269" s="14">
        <v>6.1890000000000001E-2</v>
      </c>
      <c r="M269" s="16">
        <v>0</v>
      </c>
      <c r="O269" s="12">
        <f t="shared" si="12"/>
        <v>1</v>
      </c>
      <c r="P269" s="12">
        <f t="shared" si="13"/>
        <v>0</v>
      </c>
      <c r="R269" s="17">
        <v>-0.86216493245391179</v>
      </c>
      <c r="S269" s="17">
        <v>0.86592397083683859</v>
      </c>
      <c r="T269" s="17">
        <v>1.1492407566427856</v>
      </c>
      <c r="U269" s="17">
        <v>0.30971288832147947</v>
      </c>
      <c r="V269" s="17">
        <v>1.322038261257461</v>
      </c>
      <c r="W269" s="17">
        <v>-0.54000870393571332</v>
      </c>
      <c r="X269" s="17">
        <v>-0.93446499101467595</v>
      </c>
      <c r="Y269" s="17">
        <v>1.3623707400649003</v>
      </c>
      <c r="Z269" s="17">
        <v>0.73556995189170193</v>
      </c>
      <c r="AA269" s="17">
        <v>1.6983871669386827</v>
      </c>
      <c r="AB269" s="17">
        <v>-1.2113068807979621</v>
      </c>
      <c r="AC269" s="17">
        <v>1.5906603286575782</v>
      </c>
      <c r="AD269" s="17">
        <v>-0.8593627097567913</v>
      </c>
      <c r="AE269" s="17">
        <v>1.3374666300864129</v>
      </c>
      <c r="AF269" s="17">
        <v>1.6049118769290147</v>
      </c>
      <c r="AG269" s="17">
        <v>1.3481853892245086</v>
      </c>
      <c r="AH269" s="17">
        <v>0.33128292594394448</v>
      </c>
      <c r="AI269" s="17">
        <v>-1.6572512841003593</v>
      </c>
      <c r="AJ269" s="17">
        <v>-0.4315878441673433</v>
      </c>
      <c r="AK269" s="17">
        <v>0.36873422441298942</v>
      </c>
      <c r="AM269" s="17">
        <v>-0.95195967440823892</v>
      </c>
      <c r="AN269" s="17">
        <v>0.83762583444468552</v>
      </c>
      <c r="AO269" s="17">
        <v>0.18259618294413296</v>
      </c>
      <c r="AP269" s="17">
        <v>0.5321773396915187</v>
      </c>
      <c r="AQ269" s="17">
        <v>0.94004941503274941</v>
      </c>
      <c r="AR269" s="17">
        <v>-0.9309752532246699</v>
      </c>
      <c r="AS269" s="17">
        <v>-0.94955133024895277</v>
      </c>
      <c r="AT269" s="17">
        <v>0.65759316854889871</v>
      </c>
      <c r="AU269" s="17">
        <v>0.98087772042320176</v>
      </c>
      <c r="AV269" s="17">
        <v>0.82284222929493789</v>
      </c>
      <c r="AW269" s="17">
        <v>3.082569992029462E-2</v>
      </c>
      <c r="AX269" s="17">
        <v>0.75369069877425843</v>
      </c>
      <c r="AY269" s="17">
        <v>-0.7104127828450395</v>
      </c>
      <c r="AZ269" s="17">
        <v>0.96450557095014222</v>
      </c>
      <c r="BA269" s="17">
        <v>-0.23365619882904234</v>
      </c>
      <c r="BB269" s="17">
        <v>-8.0112797215625531E-2</v>
      </c>
      <c r="BC269" s="17">
        <v>0.60668676329150306</v>
      </c>
      <c r="BD269" s="17">
        <v>-0.94223885421707765</v>
      </c>
      <c r="BE269" s="17">
        <v>-0.5817292353802469</v>
      </c>
      <c r="BF269" s="17">
        <v>-0.36895250546697916</v>
      </c>
      <c r="BK269" s="20">
        <v>1.0146459238190613</v>
      </c>
      <c r="BL269" s="20">
        <v>-1.4795139416026403E-2</v>
      </c>
      <c r="BN269" s="21">
        <f t="shared" si="11"/>
        <v>0</v>
      </c>
    </row>
    <row r="270" spans="1:66">
      <c r="A270" s="14">
        <v>12.87</v>
      </c>
      <c r="B270" s="14">
        <v>16.21</v>
      </c>
      <c r="C270" s="14">
        <v>82.38</v>
      </c>
      <c r="D270" s="14">
        <v>512.20000000000005</v>
      </c>
      <c r="E270" s="14">
        <v>6.2190000000000002E-2</v>
      </c>
      <c r="F270" s="14">
        <v>3.9E-2</v>
      </c>
      <c r="G270" s="14">
        <v>1.6150000000000001E-2</v>
      </c>
      <c r="H270" s="14">
        <v>13.9</v>
      </c>
      <c r="I270" s="14">
        <v>597.5</v>
      </c>
      <c r="J270" s="14">
        <v>5.7799999999999997E-2</v>
      </c>
      <c r="M270" s="16">
        <v>0</v>
      </c>
      <c r="O270" s="12">
        <f t="shared" si="12"/>
        <v>1</v>
      </c>
      <c r="P270" s="12">
        <f t="shared" si="13"/>
        <v>0</v>
      </c>
      <c r="R270" s="17">
        <v>-1.4643074708783446</v>
      </c>
      <c r="S270" s="17">
        <v>1.0359333700219733</v>
      </c>
      <c r="T270" s="17">
        <v>0.45032491301378397</v>
      </c>
      <c r="U270" s="17">
        <v>0.47751119115197871</v>
      </c>
      <c r="V270" s="17">
        <v>1.5052132201123889</v>
      </c>
      <c r="W270" s="17">
        <v>-1.2567352733816861</v>
      </c>
      <c r="X270" s="17">
        <v>-1.4659127711484521</v>
      </c>
      <c r="Y270" s="17">
        <v>0.877385815472147</v>
      </c>
      <c r="Z270" s="17">
        <v>1.7463530467411736</v>
      </c>
      <c r="AA270" s="17">
        <v>1.2163845753889837</v>
      </c>
      <c r="AB270" s="17">
        <v>-0.28839333793737798</v>
      </c>
      <c r="AC270" s="17">
        <v>1.0652147513376473</v>
      </c>
      <c r="AD270" s="17">
        <v>-0.81583654438301023</v>
      </c>
      <c r="AE270" s="17">
        <v>1.6894094608623824</v>
      </c>
      <c r="AF270" s="17">
        <v>0.2496334827590041</v>
      </c>
      <c r="AG270" s="17">
        <v>0.29010426800531797</v>
      </c>
      <c r="AH270" s="17">
        <v>0.55723475600471262</v>
      </c>
      <c r="AI270" s="17">
        <v>-1.603629768829455</v>
      </c>
      <c r="AJ270" s="17">
        <v>-0.55690825498325469</v>
      </c>
      <c r="AK270" s="17">
        <v>0.41256201738018505</v>
      </c>
      <c r="AM270" s="17">
        <v>-0.75525341694477444</v>
      </c>
      <c r="AN270" s="17">
        <v>0.72156455065110259</v>
      </c>
      <c r="AO270" s="17">
        <v>0.78890048910828914</v>
      </c>
      <c r="AP270" s="17">
        <v>0.33203162419929</v>
      </c>
      <c r="AQ270" s="17">
        <v>0.88025985570221288</v>
      </c>
      <c r="AR270" s="17">
        <v>-0.59039944047067361</v>
      </c>
      <c r="AS270" s="17">
        <v>-0.78017083230452666</v>
      </c>
      <c r="AT270" s="17">
        <v>0.86103366182358099</v>
      </c>
      <c r="AU270" s="17">
        <v>0.73065933794981197</v>
      </c>
      <c r="AV270" s="17">
        <v>0.92739270637781945</v>
      </c>
      <c r="AW270" s="17">
        <v>-0.78746821366090713</v>
      </c>
      <c r="AX270" s="17">
        <v>0.90906002169326738</v>
      </c>
      <c r="AY270" s="17">
        <v>-0.69917887291155623</v>
      </c>
      <c r="AZ270" s="17">
        <v>0.89023624050486694</v>
      </c>
      <c r="BA270" s="17">
        <v>0.88246483436509093</v>
      </c>
      <c r="BB270" s="17">
        <v>0.8272858439547901</v>
      </c>
      <c r="BC270" s="17">
        <v>0.36056193590972552</v>
      </c>
      <c r="BD270" s="17">
        <v>-0.93220041983836799</v>
      </c>
      <c r="BE270" s="17">
        <v>-0.43116764609012048</v>
      </c>
      <c r="BF270" s="17">
        <v>0.39632517560856784</v>
      </c>
      <c r="BK270" s="20">
        <v>5.6294727672461631E-2</v>
      </c>
      <c r="BL270" s="20">
        <v>0.94378505346764663</v>
      </c>
      <c r="BN270" s="21">
        <f t="shared" si="11"/>
        <v>1</v>
      </c>
    </row>
    <row r="271" spans="1:66">
      <c r="A271" s="14">
        <v>10.71</v>
      </c>
      <c r="B271" s="14">
        <v>20.39</v>
      </c>
      <c r="C271" s="14">
        <v>69.5</v>
      </c>
      <c r="D271" s="14">
        <v>344.9</v>
      </c>
      <c r="E271" s="14">
        <v>0.12889999999999999</v>
      </c>
      <c r="F271" s="14">
        <v>8.448E-2</v>
      </c>
      <c r="G271" s="14">
        <v>2.8670000000000001E-2</v>
      </c>
      <c r="H271" s="14">
        <v>11.69</v>
      </c>
      <c r="I271" s="14">
        <v>410.4</v>
      </c>
      <c r="J271" s="14">
        <v>8.5999999999999993E-2</v>
      </c>
      <c r="M271" s="16">
        <v>0</v>
      </c>
      <c r="O271" s="12">
        <f t="shared" si="12"/>
        <v>1</v>
      </c>
      <c r="P271" s="12">
        <f t="shared" si="13"/>
        <v>0</v>
      </c>
      <c r="R271" s="17">
        <v>-1.4643074708783446</v>
      </c>
      <c r="S271" s="17">
        <v>1.0359333700219733</v>
      </c>
      <c r="T271" s="17">
        <v>0.4503249130137873</v>
      </c>
      <c r="U271" s="17">
        <v>0.47751119115197871</v>
      </c>
      <c r="V271" s="17">
        <v>1.5052132201123889</v>
      </c>
      <c r="W271" s="17">
        <v>-1.2567352733816861</v>
      </c>
      <c r="X271" s="17">
        <v>-1.4659127711484521</v>
      </c>
      <c r="Y271" s="17">
        <v>0.877385815472147</v>
      </c>
      <c r="Z271" s="17">
        <v>1.7463530467411736</v>
      </c>
      <c r="AA271" s="17">
        <v>1.2163845753889837</v>
      </c>
      <c r="AB271" s="17">
        <v>-0.28839333793737798</v>
      </c>
      <c r="AC271" s="17">
        <v>1.0652147513376473</v>
      </c>
      <c r="AD271" s="17">
        <v>-0.81583654438301023</v>
      </c>
      <c r="AE271" s="17">
        <v>1.6894094608623824</v>
      </c>
      <c r="AF271" s="17">
        <v>0.2496334827590041</v>
      </c>
      <c r="AG271" s="17">
        <v>0.29010426800531797</v>
      </c>
      <c r="AH271" s="17">
        <v>0.55723475600471262</v>
      </c>
      <c r="AI271" s="17">
        <v>-1.603629768829455</v>
      </c>
      <c r="AJ271" s="17">
        <v>-0.55690825498325469</v>
      </c>
      <c r="AK271" s="17">
        <v>0.41256201738018505</v>
      </c>
      <c r="AM271" s="17">
        <v>-0.67432793588042739</v>
      </c>
      <c r="AN271" s="17">
        <v>0.69383583612739008</v>
      </c>
      <c r="AO271" s="17">
        <v>0.83420803034058122</v>
      </c>
      <c r="AP271" s="17">
        <v>0.28927125287711331</v>
      </c>
      <c r="AQ271" s="17">
        <v>0.86469422557852937</v>
      </c>
      <c r="AR271" s="17">
        <v>-0.45174189001718512</v>
      </c>
      <c r="AS271" s="17">
        <v>-0.71459760203843603</v>
      </c>
      <c r="AT271" s="17">
        <v>0.88599411271249484</v>
      </c>
      <c r="AU271" s="17">
        <v>0.57875122311858807</v>
      </c>
      <c r="AV271" s="17">
        <v>0.94018909832414721</v>
      </c>
      <c r="AW271" s="17">
        <v>-0.85777370249406282</v>
      </c>
      <c r="AX271" s="17">
        <v>0.92676569002694575</v>
      </c>
      <c r="AY271" s="17">
        <v>-0.69882319785196412</v>
      </c>
      <c r="AZ271" s="17">
        <v>0.86535329573936592</v>
      </c>
      <c r="BA271" s="17">
        <v>0.93694742886824478</v>
      </c>
      <c r="BB271" s="17">
        <v>0.89215707098028785</v>
      </c>
      <c r="BC271" s="17">
        <v>0.30495223905622321</v>
      </c>
      <c r="BD271" s="17">
        <v>-0.93099524737439943</v>
      </c>
      <c r="BE271" s="17">
        <v>-0.39963076173049489</v>
      </c>
      <c r="BF271" s="17">
        <v>0.40336770383452741</v>
      </c>
      <c r="BK271" s="20">
        <v>1.2917578002968083E-2</v>
      </c>
      <c r="BL271" s="20">
        <v>0.98714072845745893</v>
      </c>
      <c r="BN271" s="21">
        <f t="shared" si="11"/>
        <v>1</v>
      </c>
    </row>
    <row r="272" spans="1:66">
      <c r="A272" s="14">
        <v>14.29</v>
      </c>
      <c r="B272" s="14">
        <v>16.82</v>
      </c>
      <c r="C272" s="14">
        <v>90.3</v>
      </c>
      <c r="D272" s="14">
        <v>632.6</v>
      </c>
      <c r="E272" s="14">
        <v>2.6749999999999999E-2</v>
      </c>
      <c r="F272" s="14">
        <v>7.2500000000000004E-3</v>
      </c>
      <c r="G272" s="14">
        <v>6.2500000000000003E-3</v>
      </c>
      <c r="H272" s="14">
        <v>14.91</v>
      </c>
      <c r="I272" s="14">
        <v>684.6</v>
      </c>
      <c r="J272" s="14">
        <v>3.3329999999999999E-2</v>
      </c>
      <c r="M272" s="16">
        <v>0</v>
      </c>
      <c r="O272" s="12">
        <f t="shared" si="12"/>
        <v>1</v>
      </c>
      <c r="P272" s="12">
        <f t="shared" si="13"/>
        <v>0</v>
      </c>
      <c r="R272" s="17">
        <v>-0.86216493245391179</v>
      </c>
      <c r="S272" s="17">
        <v>0.86592397083683859</v>
      </c>
      <c r="T272" s="17">
        <v>1.1492407566427856</v>
      </c>
      <c r="U272" s="17">
        <v>0.30971288832147947</v>
      </c>
      <c r="V272" s="17">
        <v>1.322038261257461</v>
      </c>
      <c r="W272" s="17">
        <v>-0.54000870393571332</v>
      </c>
      <c r="X272" s="17">
        <v>-0.93446499101467595</v>
      </c>
      <c r="Y272" s="17">
        <v>1.3623707400649003</v>
      </c>
      <c r="Z272" s="17">
        <v>0.73556995189170193</v>
      </c>
      <c r="AA272" s="17">
        <v>1.6983871669386827</v>
      </c>
      <c r="AB272" s="17">
        <v>-1.2113068807979621</v>
      </c>
      <c r="AC272" s="17">
        <v>1.5906603286575782</v>
      </c>
      <c r="AD272" s="17">
        <v>-0.8593627097567913</v>
      </c>
      <c r="AE272" s="17">
        <v>1.3374666300864129</v>
      </c>
      <c r="AF272" s="17">
        <v>1.6049118769290147</v>
      </c>
      <c r="AG272" s="17">
        <v>1.3481853892245086</v>
      </c>
      <c r="AH272" s="17">
        <v>0.33128292594394448</v>
      </c>
      <c r="AI272" s="17">
        <v>-1.6572512841003593</v>
      </c>
      <c r="AJ272" s="17">
        <v>-0.4315878441673433</v>
      </c>
      <c r="AK272" s="17">
        <v>0.36873422441298942</v>
      </c>
      <c r="AM272" s="17">
        <v>-0.74972572568090445</v>
      </c>
      <c r="AN272" s="17">
        <v>0.71439240212324373</v>
      </c>
      <c r="AO272" s="17">
        <v>0.76223569816623771</v>
      </c>
      <c r="AP272" s="17">
        <v>0.32775256094182742</v>
      </c>
      <c r="AQ272" s="17">
        <v>0.87498644412247173</v>
      </c>
      <c r="AR272" s="17">
        <v>-0.58620343706907052</v>
      </c>
      <c r="AS272" s="17">
        <v>-0.77448342173815499</v>
      </c>
      <c r="AT272" s="17">
        <v>0.85395168250793163</v>
      </c>
      <c r="AU272" s="17">
        <v>0.72663392127265614</v>
      </c>
      <c r="AV272" s="17">
        <v>0.92266121646083765</v>
      </c>
      <c r="AW272" s="17">
        <v>-0.77736367992968414</v>
      </c>
      <c r="AX272" s="17">
        <v>0.90351375465988248</v>
      </c>
      <c r="AY272" s="17">
        <v>-0.69108120059767308</v>
      </c>
      <c r="AZ272" s="17">
        <v>0.88548345766173508</v>
      </c>
      <c r="BA272" s="17">
        <v>0.87444528364591545</v>
      </c>
      <c r="BB272" s="17">
        <v>0.81786305218204214</v>
      </c>
      <c r="BC272" s="17">
        <v>0.35627236759276187</v>
      </c>
      <c r="BD272" s="17">
        <v>-0.92814758354483906</v>
      </c>
      <c r="BE272" s="17">
        <v>-0.4252951649973683</v>
      </c>
      <c r="BF272" s="17">
        <v>-0.29876862597738851</v>
      </c>
      <c r="BK272" s="20">
        <v>3.7791745323130024E-2</v>
      </c>
      <c r="BL272" s="20">
        <v>0.96227298131333383</v>
      </c>
      <c r="BN272" s="21">
        <f t="shared" si="11"/>
        <v>1</v>
      </c>
    </row>
    <row r="273" spans="1:66">
      <c r="A273" s="14">
        <v>11.29</v>
      </c>
      <c r="B273" s="14">
        <v>13.04</v>
      </c>
      <c r="C273" s="14">
        <v>72.23</v>
      </c>
      <c r="D273" s="14">
        <v>388</v>
      </c>
      <c r="E273" s="14">
        <v>7.6079999999999995E-2</v>
      </c>
      <c r="F273" s="14">
        <v>3.2649999999999998E-2</v>
      </c>
      <c r="G273" s="14">
        <v>2.7550000000000002E-2</v>
      </c>
      <c r="H273" s="14">
        <v>12.32</v>
      </c>
      <c r="I273" s="14">
        <v>457.5</v>
      </c>
      <c r="J273" s="14">
        <v>8.7499999999999994E-2</v>
      </c>
      <c r="M273" s="16">
        <v>0</v>
      </c>
      <c r="O273" s="12">
        <f t="shared" si="12"/>
        <v>1</v>
      </c>
      <c r="P273" s="12">
        <f t="shared" si="13"/>
        <v>0</v>
      </c>
      <c r="R273" s="17">
        <v>-1.4643074708783446</v>
      </c>
      <c r="S273" s="17">
        <v>1.0359333700219733</v>
      </c>
      <c r="T273" s="17">
        <v>0.4503249130137873</v>
      </c>
      <c r="U273" s="17">
        <v>0.47751119115197871</v>
      </c>
      <c r="V273" s="17">
        <v>1.5052132201123889</v>
      </c>
      <c r="W273" s="17">
        <v>-1.2567352733816861</v>
      </c>
      <c r="X273" s="17">
        <v>-1.4659127711484521</v>
      </c>
      <c r="Y273" s="17">
        <v>0.877385815472147</v>
      </c>
      <c r="Z273" s="17">
        <v>1.7463530467411736</v>
      </c>
      <c r="AA273" s="17">
        <v>1.2163845753889837</v>
      </c>
      <c r="AB273" s="17">
        <v>-0.28839333793737798</v>
      </c>
      <c r="AC273" s="17">
        <v>1.0652147513376473</v>
      </c>
      <c r="AD273" s="17">
        <v>-0.81583654438301023</v>
      </c>
      <c r="AE273" s="17">
        <v>1.6894094608623824</v>
      </c>
      <c r="AF273" s="17">
        <v>0.2496334827590041</v>
      </c>
      <c r="AG273" s="17">
        <v>0.29010426800531797</v>
      </c>
      <c r="AH273" s="17">
        <v>0.55723475600471262</v>
      </c>
      <c r="AI273" s="17">
        <v>-1.603629768829455</v>
      </c>
      <c r="AJ273" s="17">
        <v>-0.55690825498325469</v>
      </c>
      <c r="AK273" s="17">
        <v>0.41256201738018505</v>
      </c>
      <c r="AM273" s="17">
        <v>-0.77054600539290563</v>
      </c>
      <c r="AN273" s="17">
        <v>0.73676465527090096</v>
      </c>
      <c r="AO273" s="17">
        <v>0.8038924050848183</v>
      </c>
      <c r="AP273" s="17">
        <v>0.34325513747540076</v>
      </c>
      <c r="AQ273" s="17">
        <v>0.89078832433951594</v>
      </c>
      <c r="AR273" s="17">
        <v>-0.60725104973357091</v>
      </c>
      <c r="AS273" s="17">
        <v>-0.79477978649259828</v>
      </c>
      <c r="AT273" s="17">
        <v>0.8719058986943572</v>
      </c>
      <c r="AU273" s="17">
        <v>0.74706178014765179</v>
      </c>
      <c r="AV273" s="17">
        <v>0.934787440718028</v>
      </c>
      <c r="AW273" s="17">
        <v>-0.80002533361278017</v>
      </c>
      <c r="AX273" s="17">
        <v>0.91757211687123874</v>
      </c>
      <c r="AY273" s="17">
        <v>-0.71425376803312746</v>
      </c>
      <c r="AZ273" s="17">
        <v>0.90035448032036458</v>
      </c>
      <c r="BA273" s="17">
        <v>0.89176378492425068</v>
      </c>
      <c r="BB273" s="17">
        <v>0.83875418134681123</v>
      </c>
      <c r="BC273" s="17">
        <v>0.37268766379814</v>
      </c>
      <c r="BD273" s="17">
        <v>-0.93944686540881783</v>
      </c>
      <c r="BE273" s="17">
        <v>-0.44456936933913677</v>
      </c>
      <c r="BF273" s="17">
        <v>0.37031290275239953</v>
      </c>
      <c r="BK273" s="20">
        <v>0.51071735262566531</v>
      </c>
      <c r="BL273" s="20">
        <v>0.48932889361436427</v>
      </c>
      <c r="BN273" s="21">
        <f t="shared" si="11"/>
        <v>0</v>
      </c>
    </row>
    <row r="274" spans="1:66">
      <c r="A274" s="14">
        <v>21.75</v>
      </c>
      <c r="B274" s="14">
        <v>20.99</v>
      </c>
      <c r="C274" s="14">
        <v>147.30000000000001</v>
      </c>
      <c r="D274" s="14">
        <v>1491</v>
      </c>
      <c r="E274" s="14">
        <v>0.1961</v>
      </c>
      <c r="F274" s="14">
        <v>0.2195</v>
      </c>
      <c r="G274" s="14">
        <v>0.10879999999999999</v>
      </c>
      <c r="H274" s="14">
        <v>28.19</v>
      </c>
      <c r="I274" s="14">
        <v>2384</v>
      </c>
      <c r="J274" s="14">
        <v>0.18410000000000001</v>
      </c>
      <c r="M274" s="16">
        <v>1</v>
      </c>
      <c r="O274" s="12">
        <f t="shared" si="12"/>
        <v>0</v>
      </c>
      <c r="P274" s="12">
        <f t="shared" si="13"/>
        <v>1</v>
      </c>
      <c r="R274" s="17">
        <v>-0.86216493245391179</v>
      </c>
      <c r="S274" s="17">
        <v>0.86592397083683859</v>
      </c>
      <c r="T274" s="17">
        <v>1.1492407566427856</v>
      </c>
      <c r="U274" s="17">
        <v>0.30971288832147947</v>
      </c>
      <c r="V274" s="17">
        <v>1.322038261257461</v>
      </c>
      <c r="W274" s="17">
        <v>-0.54000870393571332</v>
      </c>
      <c r="X274" s="17">
        <v>-0.93446499101467595</v>
      </c>
      <c r="Y274" s="17">
        <v>1.3623707400649003</v>
      </c>
      <c r="Z274" s="17">
        <v>0.73556995189170193</v>
      </c>
      <c r="AA274" s="17">
        <v>1.6983871669386827</v>
      </c>
      <c r="AB274" s="17">
        <v>-1.2113068807979621</v>
      </c>
      <c r="AC274" s="17">
        <v>1.5906603286575782</v>
      </c>
      <c r="AD274" s="17">
        <v>-0.8593627097567913</v>
      </c>
      <c r="AE274" s="17">
        <v>1.3374666300864129</v>
      </c>
      <c r="AF274" s="17">
        <v>1.6049118769290147</v>
      </c>
      <c r="AG274" s="17">
        <v>1.3481853892245086</v>
      </c>
      <c r="AH274" s="17">
        <v>0.33128292594394448</v>
      </c>
      <c r="AI274" s="17">
        <v>-1.6572512841003593</v>
      </c>
      <c r="AJ274" s="17">
        <v>-0.4315878441673433</v>
      </c>
      <c r="AK274" s="17">
        <v>0.36873422441298942</v>
      </c>
      <c r="AM274" s="17">
        <v>-0.87573125645332273</v>
      </c>
      <c r="AN274" s="17">
        <v>0.77927277239848192</v>
      </c>
      <c r="AO274" s="17">
        <v>0.68302746465296715</v>
      </c>
      <c r="AP274" s="17">
        <v>0.42343686301354044</v>
      </c>
      <c r="AQ274" s="17">
        <v>0.91162008732656918</v>
      </c>
      <c r="AR274" s="17">
        <v>-0.8003687248018555</v>
      </c>
      <c r="AS274" s="17">
        <v>-0.88137298929842978</v>
      </c>
      <c r="AT274" s="17">
        <v>0.79640543273603415</v>
      </c>
      <c r="AU274" s="17">
        <v>0.90925744430600541</v>
      </c>
      <c r="AV274" s="17">
        <v>0.89516532272763749</v>
      </c>
      <c r="AW274" s="17">
        <v>-0.54171206721121479</v>
      </c>
      <c r="AX274" s="17">
        <v>0.8620143879935942</v>
      </c>
      <c r="AY274" s="17">
        <v>-0.70622083601101515</v>
      </c>
      <c r="AZ274" s="17">
        <v>0.93252909107443993</v>
      </c>
      <c r="BA274" s="17">
        <v>0.6083572520509023</v>
      </c>
      <c r="BB274" s="17">
        <v>0.57329912104094538</v>
      </c>
      <c r="BC274" s="17">
        <v>0.47576608508153367</v>
      </c>
      <c r="BD274" s="17">
        <v>-0.93769053538927372</v>
      </c>
      <c r="BE274" s="17">
        <v>-0.50047009609298365</v>
      </c>
      <c r="BF274" s="17">
        <v>0.52063808071501116</v>
      </c>
      <c r="BK274" s="20">
        <v>-6.7866921866734028E-2</v>
      </c>
      <c r="BL274" s="20">
        <v>1.0676788897979037</v>
      </c>
      <c r="BN274" s="21">
        <f t="shared" si="11"/>
        <v>1</v>
      </c>
    </row>
    <row r="275" spans="1:66">
      <c r="A275" s="14">
        <v>9.7420000000000009</v>
      </c>
      <c r="B275" s="14">
        <v>15.67</v>
      </c>
      <c r="C275" s="14">
        <v>61.5</v>
      </c>
      <c r="D275" s="14">
        <v>289.89999999999998</v>
      </c>
      <c r="E275" s="14">
        <v>4.6890000000000001E-2</v>
      </c>
      <c r="F275" s="14">
        <v>1.103E-2</v>
      </c>
      <c r="G275" s="14">
        <v>1.4069999999999999E-2</v>
      </c>
      <c r="H275" s="14">
        <v>10.75</v>
      </c>
      <c r="I275" s="14">
        <v>355.2</v>
      </c>
      <c r="J275" s="14">
        <v>5.1589999999999997E-2</v>
      </c>
      <c r="M275" s="16">
        <v>0</v>
      </c>
      <c r="O275" s="12">
        <f t="shared" si="12"/>
        <v>1</v>
      </c>
      <c r="P275" s="12">
        <f t="shared" si="13"/>
        <v>0</v>
      </c>
      <c r="R275" s="17">
        <v>-0.86216493245391179</v>
      </c>
      <c r="S275" s="17">
        <v>0.86592397083683859</v>
      </c>
      <c r="T275" s="17">
        <v>1.1492407566427856</v>
      </c>
      <c r="U275" s="17">
        <v>0.30971288832147947</v>
      </c>
      <c r="V275" s="17">
        <v>1.322038261257461</v>
      </c>
      <c r="W275" s="17">
        <v>-0.54000870393571332</v>
      </c>
      <c r="X275" s="17">
        <v>-0.93446499101467595</v>
      </c>
      <c r="Y275" s="17">
        <v>1.3623707400649003</v>
      </c>
      <c r="Z275" s="17">
        <v>0.73556995189170193</v>
      </c>
      <c r="AA275" s="17">
        <v>1.6983871669386827</v>
      </c>
      <c r="AB275" s="17">
        <v>-1.2113068807979621</v>
      </c>
      <c r="AC275" s="17">
        <v>1.5906603286575782</v>
      </c>
      <c r="AD275" s="17">
        <v>-0.8593627097567913</v>
      </c>
      <c r="AE275" s="17">
        <v>1.3374666300864129</v>
      </c>
      <c r="AF275" s="17">
        <v>1.6049118769290147</v>
      </c>
      <c r="AG275" s="17">
        <v>1.3481853892245086</v>
      </c>
      <c r="AH275" s="17">
        <v>0.33128292594394448</v>
      </c>
      <c r="AI275" s="17">
        <v>-1.6572512841003593</v>
      </c>
      <c r="AJ275" s="17">
        <v>-0.4315878441673433</v>
      </c>
      <c r="AK275" s="17">
        <v>0.36873422441298942</v>
      </c>
      <c r="AM275" s="17">
        <v>-0.72484358470748189</v>
      </c>
      <c r="AN275" s="17">
        <v>0.68748612897613759</v>
      </c>
      <c r="AO275" s="17">
        <v>0.73991556785105161</v>
      </c>
      <c r="AP275" s="17">
        <v>0.31033829421771447</v>
      </c>
      <c r="AQ275" s="17">
        <v>0.85474165594663487</v>
      </c>
      <c r="AR275" s="17">
        <v>-0.56233140572732332</v>
      </c>
      <c r="AS275" s="17">
        <v>-0.74994458058469549</v>
      </c>
      <c r="AT275" s="17">
        <v>0.83074357440297542</v>
      </c>
      <c r="AU275" s="17">
        <v>0.70283594175562059</v>
      </c>
      <c r="AV275" s="17">
        <v>0.90628578522683623</v>
      </c>
      <c r="AW275" s="17">
        <v>-0.74853780939581949</v>
      </c>
      <c r="AX275" s="17">
        <v>0.88478924022567507</v>
      </c>
      <c r="AY275" s="17">
        <v>-0.66314693014902693</v>
      </c>
      <c r="AZ275" s="17">
        <v>0.86640592606994482</v>
      </c>
      <c r="BA275" s="17">
        <v>0.85126843101657312</v>
      </c>
      <c r="BB275" s="17">
        <v>0.79081609081119508</v>
      </c>
      <c r="BC275" s="17">
        <v>0.33785709411283038</v>
      </c>
      <c r="BD275" s="17">
        <v>-0.91298793251247456</v>
      </c>
      <c r="BE275" s="17">
        <v>-0.40330225977317868</v>
      </c>
      <c r="BF275" s="17">
        <v>0.12206227331419352</v>
      </c>
      <c r="BK275" s="20">
        <v>-7.7738847378413162E-2</v>
      </c>
      <c r="BL275" s="20">
        <v>1.0776696733212663</v>
      </c>
      <c r="BN275" s="21">
        <f t="shared" ref="BN275:BN338" si="14">IF(BK275&gt;BL275,0,1)</f>
        <v>1</v>
      </c>
    </row>
    <row r="276" spans="1:66">
      <c r="A276" s="14">
        <v>17.93</v>
      </c>
      <c r="B276" s="14">
        <v>24.48</v>
      </c>
      <c r="C276" s="14">
        <v>115.2</v>
      </c>
      <c r="D276" s="14">
        <v>998.9</v>
      </c>
      <c r="E276" s="14">
        <v>7.0269999999999999E-2</v>
      </c>
      <c r="F276" s="14">
        <v>5.6989999999999999E-2</v>
      </c>
      <c r="G276" s="14">
        <v>4.7440000000000003E-2</v>
      </c>
      <c r="H276" s="14">
        <v>20.92</v>
      </c>
      <c r="I276" s="14">
        <v>1320</v>
      </c>
      <c r="J276" s="14">
        <v>0.11360000000000001</v>
      </c>
      <c r="M276" s="16">
        <v>1</v>
      </c>
      <c r="O276" s="12">
        <f t="shared" si="12"/>
        <v>0</v>
      </c>
      <c r="P276" s="12">
        <f t="shared" si="13"/>
        <v>1</v>
      </c>
      <c r="R276" s="17">
        <v>-0.86216493245391179</v>
      </c>
      <c r="S276" s="17">
        <v>0.86592397083683859</v>
      </c>
      <c r="T276" s="17">
        <v>1.1492407566427856</v>
      </c>
      <c r="U276" s="17">
        <v>0.30971288832147947</v>
      </c>
      <c r="V276" s="17">
        <v>1.322038261257461</v>
      </c>
      <c r="W276" s="17">
        <v>-0.54000870393571332</v>
      </c>
      <c r="X276" s="17">
        <v>-0.93446499101467595</v>
      </c>
      <c r="Y276" s="17">
        <v>1.3623707400649003</v>
      </c>
      <c r="Z276" s="17">
        <v>0.73556995189170193</v>
      </c>
      <c r="AA276" s="17">
        <v>1.6983871669386827</v>
      </c>
      <c r="AB276" s="17">
        <v>-1.2113068807979621</v>
      </c>
      <c r="AC276" s="17">
        <v>1.5906603286575782</v>
      </c>
      <c r="AD276" s="17">
        <v>-0.8593627097567913</v>
      </c>
      <c r="AE276" s="17">
        <v>1.3374666300864129</v>
      </c>
      <c r="AF276" s="17">
        <v>1.6049118769290147</v>
      </c>
      <c r="AG276" s="17">
        <v>1.3481853892245086</v>
      </c>
      <c r="AH276" s="17">
        <v>0.33128292594394448</v>
      </c>
      <c r="AI276" s="17">
        <v>-1.6572512841003593</v>
      </c>
      <c r="AJ276" s="17">
        <v>-0.4315878441673433</v>
      </c>
      <c r="AK276" s="17">
        <v>0.36873141661425246</v>
      </c>
      <c r="AM276" s="17">
        <v>-0.7038369132286737</v>
      </c>
      <c r="AN276" s="17">
        <v>0.71196319686602638</v>
      </c>
      <c r="AO276" s="17">
        <v>0.84652603478930388</v>
      </c>
      <c r="AP276" s="17">
        <v>0.30558343227805734</v>
      </c>
      <c r="AQ276" s="17">
        <v>0.87702926875994047</v>
      </c>
      <c r="AR276" s="17">
        <v>-0.49163795855242248</v>
      </c>
      <c r="AS276" s="17">
        <v>-0.74055461778319953</v>
      </c>
      <c r="AT276" s="17">
        <v>0.89035949158388861</v>
      </c>
      <c r="AU276" s="17">
        <v>0.62437342632502513</v>
      </c>
      <c r="AV276" s="17">
        <v>0.94374866257762813</v>
      </c>
      <c r="AW276" s="17">
        <v>-0.85646037483401205</v>
      </c>
      <c r="AX276" s="17">
        <v>0.93035794091818691</v>
      </c>
      <c r="AY276" s="17">
        <v>-0.71163666519833491</v>
      </c>
      <c r="AZ276" s="17">
        <v>0.87957152659954063</v>
      </c>
      <c r="BA276" s="17">
        <v>0.93535974939719169</v>
      </c>
      <c r="BB276" s="17">
        <v>0.89072508822716501</v>
      </c>
      <c r="BC276" s="17">
        <v>0.32418623576926309</v>
      </c>
      <c r="BD276" s="17">
        <v>-0.93742966851649778</v>
      </c>
      <c r="BE276" s="17">
        <v>-0.41612651606751905</v>
      </c>
      <c r="BF276" s="17">
        <v>0.40417589945601978</v>
      </c>
      <c r="BK276" s="20">
        <v>5.2441254833237597E-2</v>
      </c>
      <c r="BL276" s="20">
        <v>0.94760539079349471</v>
      </c>
      <c r="BN276" s="21">
        <f t="shared" si="14"/>
        <v>1</v>
      </c>
    </row>
    <row r="277" spans="1:66">
      <c r="A277" s="14">
        <v>11.89</v>
      </c>
      <c r="B277" s="14">
        <v>17.36</v>
      </c>
      <c r="C277" s="14">
        <v>76.2</v>
      </c>
      <c r="D277" s="14">
        <v>435.6</v>
      </c>
      <c r="E277" s="14">
        <v>7.2099999999999997E-2</v>
      </c>
      <c r="F277" s="14">
        <v>5.9290000000000002E-2</v>
      </c>
      <c r="G277" s="14">
        <v>7.4039999999999995E-2</v>
      </c>
      <c r="H277" s="14">
        <v>12.4</v>
      </c>
      <c r="I277" s="14">
        <v>472.4</v>
      </c>
      <c r="J277" s="14">
        <v>8.9459999999999998E-2</v>
      </c>
      <c r="M277" s="16">
        <v>0</v>
      </c>
      <c r="O277" s="12">
        <f t="shared" si="12"/>
        <v>1</v>
      </c>
      <c r="P277" s="12">
        <f t="shared" si="13"/>
        <v>0</v>
      </c>
      <c r="R277" s="17">
        <v>-0.86216493245391179</v>
      </c>
      <c r="S277" s="17">
        <v>0.86592397083683859</v>
      </c>
      <c r="T277" s="17">
        <v>1.1492407566427856</v>
      </c>
      <c r="U277" s="17">
        <v>0.30971288832147947</v>
      </c>
      <c r="V277" s="17">
        <v>1.322038261257461</v>
      </c>
      <c r="W277" s="17">
        <v>-0.54000870393571332</v>
      </c>
      <c r="X277" s="17">
        <v>-0.93446499101467595</v>
      </c>
      <c r="Y277" s="17">
        <v>1.3623707400649003</v>
      </c>
      <c r="Z277" s="17">
        <v>0.73556995189170193</v>
      </c>
      <c r="AA277" s="17">
        <v>1.6983871669386827</v>
      </c>
      <c r="AB277" s="17">
        <v>-1.2113068807979621</v>
      </c>
      <c r="AC277" s="17">
        <v>1.5906603286575782</v>
      </c>
      <c r="AD277" s="17">
        <v>-0.8593627097567913</v>
      </c>
      <c r="AE277" s="17">
        <v>1.3374666300864129</v>
      </c>
      <c r="AF277" s="17">
        <v>1.6049118769290147</v>
      </c>
      <c r="AG277" s="17">
        <v>1.3481853892245086</v>
      </c>
      <c r="AH277" s="17">
        <v>0.33128292594394448</v>
      </c>
      <c r="AI277" s="17">
        <v>-1.6572512841003593</v>
      </c>
      <c r="AJ277" s="17">
        <v>-0.4315878441673433</v>
      </c>
      <c r="AK277" s="17">
        <v>0.36873422441298942</v>
      </c>
      <c r="AM277" s="17">
        <v>-0.76646775100430564</v>
      </c>
      <c r="AN277" s="17">
        <v>0.7147058745417243</v>
      </c>
      <c r="AO277" s="17">
        <v>0.72412841949409557</v>
      </c>
      <c r="AP277" s="17">
        <v>0.33647590066934319</v>
      </c>
      <c r="AQ277" s="17">
        <v>0.87360613022589106</v>
      </c>
      <c r="AR277" s="17">
        <v>-0.62117751943377209</v>
      </c>
      <c r="AS277" s="17">
        <v>-0.78691268457045849</v>
      </c>
      <c r="AT277" s="17">
        <v>0.83494035807977285</v>
      </c>
      <c r="AU277" s="17">
        <v>0.76144428687175358</v>
      </c>
      <c r="AV277" s="17">
        <v>0.91126067401998057</v>
      </c>
      <c r="AW277" s="17">
        <v>-0.73323242218054685</v>
      </c>
      <c r="AX277" s="17">
        <v>0.88901877285054276</v>
      </c>
      <c r="AY277" s="17">
        <v>-0.68136729290438303</v>
      </c>
      <c r="AZ277" s="17">
        <v>0.88740845536002122</v>
      </c>
      <c r="BA277" s="17">
        <v>0.83467365401750693</v>
      </c>
      <c r="BB277" s="17">
        <v>0.7750835205233374</v>
      </c>
      <c r="BC277" s="17">
        <v>0.36899261529149935</v>
      </c>
      <c r="BD277" s="17">
        <v>-0.92347798075610088</v>
      </c>
      <c r="BE277" s="17">
        <v>-0.4285266251498227</v>
      </c>
      <c r="BF277" s="17">
        <v>0.11523573881556042</v>
      </c>
      <c r="BK277" s="20">
        <v>3.9630131544348766E-2</v>
      </c>
      <c r="BL277" s="20">
        <v>0.9604268605054932</v>
      </c>
      <c r="BN277" s="21">
        <f t="shared" si="14"/>
        <v>1</v>
      </c>
    </row>
    <row r="278" spans="1:66">
      <c r="A278" s="14">
        <v>11.33</v>
      </c>
      <c r="B278" s="14">
        <v>14.16</v>
      </c>
      <c r="C278" s="14">
        <v>71.790000000000006</v>
      </c>
      <c r="D278" s="14">
        <v>396.6</v>
      </c>
      <c r="E278" s="14">
        <v>3.8719999999999997E-2</v>
      </c>
      <c r="F278" s="14">
        <v>1.487E-3</v>
      </c>
      <c r="G278" s="14">
        <v>3.333E-3</v>
      </c>
      <c r="H278" s="14">
        <v>12.2</v>
      </c>
      <c r="I278" s="14">
        <v>458</v>
      </c>
      <c r="J278" s="14">
        <v>1.111E-2</v>
      </c>
      <c r="M278" s="16">
        <v>0</v>
      </c>
      <c r="O278" s="12">
        <f t="shared" si="12"/>
        <v>1</v>
      </c>
      <c r="P278" s="12">
        <f t="shared" si="13"/>
        <v>0</v>
      </c>
      <c r="R278" s="17">
        <v>-1.4643074708783446</v>
      </c>
      <c r="S278" s="17">
        <v>1.0359333700219733</v>
      </c>
      <c r="T278" s="17">
        <v>0.4503249130137873</v>
      </c>
      <c r="U278" s="17">
        <v>0.47751119115197871</v>
      </c>
      <c r="V278" s="17">
        <v>1.5052132201123889</v>
      </c>
      <c r="W278" s="17">
        <v>-1.2567352733816861</v>
      </c>
      <c r="X278" s="17">
        <v>-1.4659127711484521</v>
      </c>
      <c r="Y278" s="17">
        <v>0.877385815472147</v>
      </c>
      <c r="Z278" s="17">
        <v>1.7463530467411736</v>
      </c>
      <c r="AA278" s="17">
        <v>1.2163845753889837</v>
      </c>
      <c r="AB278" s="17">
        <v>-0.28839333793737798</v>
      </c>
      <c r="AC278" s="17">
        <v>1.0652147513376473</v>
      </c>
      <c r="AD278" s="17">
        <v>-0.81583654438301023</v>
      </c>
      <c r="AE278" s="17">
        <v>1.6894094608623824</v>
      </c>
      <c r="AF278" s="17">
        <v>0.2496334827590041</v>
      </c>
      <c r="AG278" s="17">
        <v>0.29010426800531797</v>
      </c>
      <c r="AH278" s="17">
        <v>0.55723475600471262</v>
      </c>
      <c r="AI278" s="17">
        <v>-1.603629768829455</v>
      </c>
      <c r="AJ278" s="17">
        <v>-0.55690825498325469</v>
      </c>
      <c r="AK278" s="17">
        <v>0.41256201738018505</v>
      </c>
      <c r="AM278" s="17">
        <v>-0.76055127231548481</v>
      </c>
      <c r="AN278" s="17">
        <v>0.70670894271411577</v>
      </c>
      <c r="AO278" s="17">
        <v>0.72105808302421937</v>
      </c>
      <c r="AP278" s="17">
        <v>0.33175907996818094</v>
      </c>
      <c r="AQ278" s="17">
        <v>0.86755309701419758</v>
      </c>
      <c r="AR278" s="17">
        <v>-0.61661607812815444</v>
      </c>
      <c r="AS278" s="17">
        <v>-0.78077861166305929</v>
      </c>
      <c r="AT278" s="17">
        <v>0.82602693318989528</v>
      </c>
      <c r="AU278" s="17">
        <v>0.75724460352795409</v>
      </c>
      <c r="AV278" s="17">
        <v>0.90508110423716404</v>
      </c>
      <c r="AW278" s="17">
        <v>-0.72015937386539597</v>
      </c>
      <c r="AX278" s="17">
        <v>0.88181250836401281</v>
      </c>
      <c r="AY278" s="17">
        <v>-0.67217026854619466</v>
      </c>
      <c r="AZ278" s="17">
        <v>0.88207259233426039</v>
      </c>
      <c r="BA278" s="17">
        <v>0.82300437885305067</v>
      </c>
      <c r="BB278" s="17">
        <v>0.76241749795228098</v>
      </c>
      <c r="BC278" s="17">
        <v>0.36425343465265286</v>
      </c>
      <c r="BD278" s="17">
        <v>-0.91853358426476317</v>
      </c>
      <c r="BE278" s="17">
        <v>-0.42207542487106736</v>
      </c>
      <c r="BF278" s="17">
        <v>-4.525298089674331E-2</v>
      </c>
      <c r="BK278" s="20">
        <v>-1.0004699471430661E-2</v>
      </c>
      <c r="BL278" s="20">
        <v>1.0100355382395545</v>
      </c>
      <c r="BN278" s="21">
        <f t="shared" si="14"/>
        <v>1</v>
      </c>
    </row>
    <row r="279" spans="1:66">
      <c r="A279" s="14">
        <v>18.809999999999999</v>
      </c>
      <c r="B279" s="14">
        <v>19.98</v>
      </c>
      <c r="C279" s="14">
        <v>120.9</v>
      </c>
      <c r="D279" s="14">
        <v>1102</v>
      </c>
      <c r="E279" s="14">
        <v>5.8840000000000003E-2</v>
      </c>
      <c r="F279" s="14">
        <v>8.0199999999999994E-2</v>
      </c>
      <c r="G279" s="14">
        <v>5.8430000000000003E-2</v>
      </c>
      <c r="H279" s="14">
        <v>19.96</v>
      </c>
      <c r="I279" s="14">
        <v>1236</v>
      </c>
      <c r="J279" s="14">
        <v>0.12939999999999999</v>
      </c>
      <c r="M279" s="16">
        <v>1</v>
      </c>
      <c r="O279" s="12">
        <f t="shared" si="12"/>
        <v>0</v>
      </c>
      <c r="P279" s="12">
        <f t="shared" si="13"/>
        <v>1</v>
      </c>
      <c r="R279" s="17">
        <v>-0.86216493245391179</v>
      </c>
      <c r="S279" s="17">
        <v>0.86592397083683859</v>
      </c>
      <c r="T279" s="17">
        <v>1.1492407566427856</v>
      </c>
      <c r="U279" s="17">
        <v>0.30971288832147947</v>
      </c>
      <c r="V279" s="17">
        <v>1.322038261257461</v>
      </c>
      <c r="W279" s="17">
        <v>-0.54000870393571332</v>
      </c>
      <c r="X279" s="17">
        <v>-0.93446499101467595</v>
      </c>
      <c r="Y279" s="17">
        <v>1.3623707400649003</v>
      </c>
      <c r="Z279" s="17">
        <v>0.73556995189170193</v>
      </c>
      <c r="AA279" s="17">
        <v>1.6983871669386827</v>
      </c>
      <c r="AB279" s="17">
        <v>-1.2113068807979621</v>
      </c>
      <c r="AC279" s="17">
        <v>1.5906603286575782</v>
      </c>
      <c r="AD279" s="17">
        <v>-0.8593627097567913</v>
      </c>
      <c r="AE279" s="17">
        <v>1.3374666300864129</v>
      </c>
      <c r="AF279" s="17">
        <v>1.6049118769290147</v>
      </c>
      <c r="AG279" s="17">
        <v>1.3481853892245086</v>
      </c>
      <c r="AH279" s="17">
        <v>0.33128292594394448</v>
      </c>
      <c r="AI279" s="17">
        <v>-1.6572512841003593</v>
      </c>
      <c r="AJ279" s="17">
        <v>-0.4315878441673433</v>
      </c>
      <c r="AK279" s="17">
        <v>0.36873255934375648</v>
      </c>
      <c r="AM279" s="17">
        <v>-0.7186814845555376</v>
      </c>
      <c r="AN279" s="17">
        <v>0.69060730932776737</v>
      </c>
      <c r="AO279" s="17">
        <v>0.75884837639472225</v>
      </c>
      <c r="AP279" s="17">
        <v>0.30806251759680658</v>
      </c>
      <c r="AQ279" s="17">
        <v>0.85804377725346059</v>
      </c>
      <c r="AR279" s="17">
        <v>-0.546548657642002</v>
      </c>
      <c r="AS279" s="17">
        <v>-0.74611969640778775</v>
      </c>
      <c r="AT279" s="17">
        <v>0.84331075302094805</v>
      </c>
      <c r="AU279" s="17">
        <v>0.6859909133761507</v>
      </c>
      <c r="AV279" s="17">
        <v>0.91433909695504656</v>
      </c>
      <c r="AW279" s="17">
        <v>-0.77322290055898724</v>
      </c>
      <c r="AX279" s="17">
        <v>0.89463320022098014</v>
      </c>
      <c r="AY279" s="17">
        <v>-0.67152536383683137</v>
      </c>
      <c r="AZ279" s="17">
        <v>0.8677219194135275</v>
      </c>
      <c r="BA279" s="17">
        <v>0.87268351429302704</v>
      </c>
      <c r="BB279" s="17">
        <v>0.8144975875541316</v>
      </c>
      <c r="BC279" s="17">
        <v>0.33368023805697922</v>
      </c>
      <c r="BD279" s="17">
        <v>-0.91750223630556182</v>
      </c>
      <c r="BE279" s="17">
        <v>-0.40430751769432649</v>
      </c>
      <c r="BF279" s="17">
        <v>0.20997589717482468</v>
      </c>
      <c r="BK279" s="20">
        <v>0.41792679374798286</v>
      </c>
      <c r="BL279" s="20">
        <v>0.5822150420090203</v>
      </c>
      <c r="BN279" s="21">
        <f t="shared" si="14"/>
        <v>1</v>
      </c>
    </row>
    <row r="280" spans="1:66">
      <c r="A280" s="14">
        <v>13.59</v>
      </c>
      <c r="B280" s="14">
        <v>17.84</v>
      </c>
      <c r="C280" s="14">
        <v>86.24</v>
      </c>
      <c r="D280" s="14">
        <v>572.29999999999995</v>
      </c>
      <c r="E280" s="14">
        <v>4.052E-2</v>
      </c>
      <c r="F280" s="14">
        <v>1.9970000000000002E-2</v>
      </c>
      <c r="G280" s="14">
        <v>1.238E-2</v>
      </c>
      <c r="H280" s="14">
        <v>15.5</v>
      </c>
      <c r="I280" s="14">
        <v>739.1</v>
      </c>
      <c r="J280" s="14">
        <v>5.185E-2</v>
      </c>
      <c r="M280" s="16">
        <v>0</v>
      </c>
      <c r="O280" s="12">
        <f t="shared" si="12"/>
        <v>1</v>
      </c>
      <c r="P280" s="12">
        <f t="shared" si="13"/>
        <v>0</v>
      </c>
      <c r="R280" s="17">
        <v>-0.86216493245391179</v>
      </c>
      <c r="S280" s="17">
        <v>0.86592397083683859</v>
      </c>
      <c r="T280" s="17">
        <v>1.1492407566427856</v>
      </c>
      <c r="U280" s="17">
        <v>0.30971288832147947</v>
      </c>
      <c r="V280" s="17">
        <v>1.322038261257461</v>
      </c>
      <c r="W280" s="17">
        <v>-0.54000870393571332</v>
      </c>
      <c r="X280" s="17">
        <v>-0.93446499101467595</v>
      </c>
      <c r="Y280" s="17">
        <v>1.3623707400649003</v>
      </c>
      <c r="Z280" s="17">
        <v>0.73556995189170193</v>
      </c>
      <c r="AA280" s="17">
        <v>1.6983871669386827</v>
      </c>
      <c r="AB280" s="17">
        <v>-1.2113068807979621</v>
      </c>
      <c r="AC280" s="17">
        <v>1.5906603286575782</v>
      </c>
      <c r="AD280" s="17">
        <v>-0.8593627097567913</v>
      </c>
      <c r="AE280" s="17">
        <v>1.3374666300864129</v>
      </c>
      <c r="AF280" s="17">
        <v>1.6049118769290147</v>
      </c>
      <c r="AG280" s="17">
        <v>1.3481853892245086</v>
      </c>
      <c r="AH280" s="17">
        <v>0.33128292594394448</v>
      </c>
      <c r="AI280" s="17">
        <v>-1.6572512841003593</v>
      </c>
      <c r="AJ280" s="17">
        <v>-0.4315878441673433</v>
      </c>
      <c r="AK280" s="17">
        <v>0.36873422441298942</v>
      </c>
      <c r="AM280" s="17">
        <v>-0.91642314458949214</v>
      </c>
      <c r="AN280" s="17">
        <v>0.79246123739813157</v>
      </c>
      <c r="AO280" s="17">
        <v>0.11410637205961334</v>
      </c>
      <c r="AP280" s="17">
        <v>0.46791439475039937</v>
      </c>
      <c r="AQ280" s="17">
        <v>0.91523675569287666</v>
      </c>
      <c r="AR280" s="17">
        <v>-0.8781565688082984</v>
      </c>
      <c r="AS280" s="17">
        <v>-0.91535124720075856</v>
      </c>
      <c r="AT280" s="17">
        <v>0.6854159518195686</v>
      </c>
      <c r="AU280" s="17">
        <v>0.95642749116448367</v>
      </c>
      <c r="AV280" s="17">
        <v>0.82928801835452104</v>
      </c>
      <c r="AW280" s="17">
        <v>-0.18418966421597313</v>
      </c>
      <c r="AX280" s="17">
        <v>0.77244284601372182</v>
      </c>
      <c r="AY280" s="17">
        <v>-0.6794913959329224</v>
      </c>
      <c r="AZ280" s="17">
        <v>0.94325695027863865</v>
      </c>
      <c r="BA280" s="17">
        <v>9.5725171511486365E-2</v>
      </c>
      <c r="BB280" s="17">
        <v>0.17052838677869173</v>
      </c>
      <c r="BC280" s="17">
        <v>0.53394312116796749</v>
      </c>
      <c r="BD280" s="17">
        <v>-0.92629127333113737</v>
      </c>
      <c r="BE280" s="17">
        <v>-0.5252110766508542</v>
      </c>
      <c r="BF280" s="17">
        <v>-4.4734687196746822E-3</v>
      </c>
      <c r="BK280" s="20">
        <v>-1.1627090085921811E-2</v>
      </c>
      <c r="BL280" s="20">
        <v>1.0116608989702112</v>
      </c>
      <c r="BN280" s="21">
        <f t="shared" si="14"/>
        <v>1</v>
      </c>
    </row>
    <row r="281" spans="1:66">
      <c r="A281" s="14">
        <v>13.85</v>
      </c>
      <c r="B281" s="14">
        <v>15.18</v>
      </c>
      <c r="C281" s="14">
        <v>88.99</v>
      </c>
      <c r="D281" s="14">
        <v>587.4</v>
      </c>
      <c r="E281" s="14">
        <v>7.6880000000000004E-2</v>
      </c>
      <c r="F281" s="14">
        <v>4.4790000000000003E-2</v>
      </c>
      <c r="G281" s="14">
        <v>3.7109999999999997E-2</v>
      </c>
      <c r="H281" s="14">
        <v>14.98</v>
      </c>
      <c r="I281" s="14">
        <v>670</v>
      </c>
      <c r="J281" s="14">
        <v>9.9930000000000005E-2</v>
      </c>
      <c r="M281" s="16">
        <v>0</v>
      </c>
      <c r="O281" s="12">
        <f t="shared" si="12"/>
        <v>1</v>
      </c>
      <c r="P281" s="12">
        <f t="shared" si="13"/>
        <v>0</v>
      </c>
      <c r="R281" s="17">
        <v>-0.86216493245391179</v>
      </c>
      <c r="S281" s="17">
        <v>0.86592397083683859</v>
      </c>
      <c r="T281" s="17">
        <v>1.1492407566427856</v>
      </c>
      <c r="U281" s="17">
        <v>0.30971288832147947</v>
      </c>
      <c r="V281" s="17">
        <v>1.322038261257461</v>
      </c>
      <c r="W281" s="17">
        <v>-0.54000870393571332</v>
      </c>
      <c r="X281" s="17">
        <v>-0.93446499101467595</v>
      </c>
      <c r="Y281" s="17">
        <v>1.3623707400649003</v>
      </c>
      <c r="Z281" s="17">
        <v>0.73556995189170193</v>
      </c>
      <c r="AA281" s="17">
        <v>1.6983871669386827</v>
      </c>
      <c r="AB281" s="17">
        <v>-1.2113068807979621</v>
      </c>
      <c r="AC281" s="17">
        <v>1.5906603286575782</v>
      </c>
      <c r="AD281" s="17">
        <v>-0.8593627097567913</v>
      </c>
      <c r="AE281" s="17">
        <v>1.3374666300864129</v>
      </c>
      <c r="AF281" s="17">
        <v>1.6049118769290147</v>
      </c>
      <c r="AG281" s="17">
        <v>1.3481853892245086</v>
      </c>
      <c r="AH281" s="17">
        <v>0.33128292594394448</v>
      </c>
      <c r="AI281" s="17">
        <v>-1.6572512841003593</v>
      </c>
      <c r="AJ281" s="17">
        <v>-0.4315878441673433</v>
      </c>
      <c r="AK281" s="17">
        <v>0.36873422417391455</v>
      </c>
      <c r="AM281" s="17">
        <v>-0.73813508511800607</v>
      </c>
      <c r="AN281" s="17">
        <v>0.70099827160411654</v>
      </c>
      <c r="AO281" s="17">
        <v>0.75038944361470705</v>
      </c>
      <c r="AP281" s="17">
        <v>0.31932724940260193</v>
      </c>
      <c r="AQ281" s="17">
        <v>0.86499724986975146</v>
      </c>
      <c r="AR281" s="17">
        <v>-0.57582932965449196</v>
      </c>
      <c r="AS281" s="17">
        <v>-0.76288737756177516</v>
      </c>
      <c r="AT281" s="17">
        <v>0.84171324199478603</v>
      </c>
      <c r="AU281" s="17">
        <v>0.7164370999476124</v>
      </c>
      <c r="AV281" s="17">
        <v>0.91420742969506619</v>
      </c>
      <c r="AW281" s="17">
        <v>-0.76121167953056146</v>
      </c>
      <c r="AX281" s="17">
        <v>0.89374923215057744</v>
      </c>
      <c r="AY281" s="17">
        <v>-0.67670774444233384</v>
      </c>
      <c r="AZ281" s="17">
        <v>0.87623436971576374</v>
      </c>
      <c r="BA281" s="17">
        <v>0.86146143604926051</v>
      </c>
      <c r="BB281" s="17">
        <v>0.80272152381242989</v>
      </c>
      <c r="BC281" s="17">
        <v>0.34752472717943084</v>
      </c>
      <c r="BD281" s="17">
        <v>-0.92058081861744667</v>
      </c>
      <c r="BE281" s="17">
        <v>-0.41433577199815946</v>
      </c>
      <c r="BF281" s="17">
        <v>0.11933998665696195</v>
      </c>
      <c r="BK281" s="20">
        <v>0.64160708141747802</v>
      </c>
      <c r="BL281" s="20">
        <v>0.35851460223157872</v>
      </c>
      <c r="BN281" s="21">
        <f t="shared" si="14"/>
        <v>0</v>
      </c>
    </row>
    <row r="282" spans="1:66">
      <c r="A282" s="14">
        <v>19.16</v>
      </c>
      <c r="B282" s="14">
        <v>26.6</v>
      </c>
      <c r="C282" s="14">
        <v>126.2</v>
      </c>
      <c r="D282" s="14">
        <v>1138</v>
      </c>
      <c r="E282" s="14">
        <v>0.14530000000000001</v>
      </c>
      <c r="F282" s="14">
        <v>0.19209999999999999</v>
      </c>
      <c r="G282" s="14">
        <v>9.6640000000000004E-2</v>
      </c>
      <c r="H282" s="14">
        <v>23.72</v>
      </c>
      <c r="I282" s="14">
        <v>1724</v>
      </c>
      <c r="J282" s="14">
        <v>0.18720000000000001</v>
      </c>
      <c r="M282" s="16">
        <v>1</v>
      </c>
      <c r="O282" s="12">
        <f t="shared" si="12"/>
        <v>0</v>
      </c>
      <c r="P282" s="12">
        <f t="shared" si="13"/>
        <v>1</v>
      </c>
      <c r="R282" s="17">
        <v>-0.86216493245391179</v>
      </c>
      <c r="S282" s="17">
        <v>0.86592397083683859</v>
      </c>
      <c r="T282" s="17">
        <v>1.1492407566427856</v>
      </c>
      <c r="U282" s="17">
        <v>0.30971288832147947</v>
      </c>
      <c r="V282" s="17">
        <v>1.322038261257461</v>
      </c>
      <c r="W282" s="17">
        <v>-0.54000870393571332</v>
      </c>
      <c r="X282" s="17">
        <v>-0.93446499101467595</v>
      </c>
      <c r="Y282" s="17">
        <v>1.3623707400649003</v>
      </c>
      <c r="Z282" s="17">
        <v>0.73556995189170193</v>
      </c>
      <c r="AA282" s="17">
        <v>1.6983871669386827</v>
      </c>
      <c r="AB282" s="17">
        <v>-1.2113068807979621</v>
      </c>
      <c r="AC282" s="17">
        <v>1.5906603286575782</v>
      </c>
      <c r="AD282" s="17">
        <v>-0.8593627097567913</v>
      </c>
      <c r="AE282" s="17">
        <v>1.3374666300864129</v>
      </c>
      <c r="AF282" s="17">
        <v>1.6049118769290147</v>
      </c>
      <c r="AG282" s="17">
        <v>1.3481853892245086</v>
      </c>
      <c r="AH282" s="17">
        <v>0.33128292594394448</v>
      </c>
      <c r="AI282" s="17">
        <v>-1.6572512841003593</v>
      </c>
      <c r="AJ282" s="17">
        <v>-0.4315878441673433</v>
      </c>
      <c r="AK282" s="17">
        <v>0.36867478022952149</v>
      </c>
      <c r="AM282" s="17">
        <v>-0.91105257608872081</v>
      </c>
      <c r="AN282" s="17">
        <v>0.79187446405875683</v>
      </c>
      <c r="AO282" s="17">
        <v>2.8455387318773034E-2</v>
      </c>
      <c r="AP282" s="17">
        <v>0.46147008532121431</v>
      </c>
      <c r="AQ282" s="17">
        <v>0.91573221990113263</v>
      </c>
      <c r="AR282" s="17">
        <v>-0.86752142051884074</v>
      </c>
      <c r="AS282" s="17">
        <v>-0.91093200151242792</v>
      </c>
      <c r="AT282" s="17">
        <v>0.71170085684353068</v>
      </c>
      <c r="AU282" s="17">
        <v>0.95068882033019364</v>
      </c>
      <c r="AV282" s="17">
        <v>0.84577241360046995</v>
      </c>
      <c r="AW282" s="17">
        <v>-0.26098813706594842</v>
      </c>
      <c r="AX282" s="17">
        <v>0.79445918414965866</v>
      </c>
      <c r="AY282" s="17">
        <v>-0.68675732228687492</v>
      </c>
      <c r="AZ282" s="17">
        <v>0.94227548892800594</v>
      </c>
      <c r="BA282" s="17">
        <v>0.20947572347683571</v>
      </c>
      <c r="BB282" s="17">
        <v>0.258414855293565</v>
      </c>
      <c r="BC282" s="17">
        <v>0.52522492905328166</v>
      </c>
      <c r="BD282" s="17">
        <v>-0.92963827730270632</v>
      </c>
      <c r="BE282" s="17">
        <v>-0.52253430465832484</v>
      </c>
      <c r="BF282" s="17">
        <v>-0.43881112906033348</v>
      </c>
      <c r="BK282" s="20">
        <v>-3.2028372482942158E-2</v>
      </c>
      <c r="BL282" s="20">
        <v>1.0319728294589654</v>
      </c>
      <c r="BN282" s="21">
        <f t="shared" si="14"/>
        <v>1</v>
      </c>
    </row>
    <row r="283" spans="1:66">
      <c r="A283" s="14">
        <v>11.74</v>
      </c>
      <c r="B283" s="14">
        <v>14.02</v>
      </c>
      <c r="C283" s="14">
        <v>74.239999999999995</v>
      </c>
      <c r="D283" s="14">
        <v>427.3</v>
      </c>
      <c r="E283" s="14">
        <v>4.3400000000000001E-2</v>
      </c>
      <c r="F283" s="14">
        <v>2.2450000000000001E-2</v>
      </c>
      <c r="G283" s="14">
        <v>2.7629999999999998E-2</v>
      </c>
      <c r="H283" s="14">
        <v>13.31</v>
      </c>
      <c r="I283" s="14">
        <v>533.70000000000005</v>
      </c>
      <c r="J283" s="14">
        <v>8.2900000000000001E-2</v>
      </c>
      <c r="M283" s="16">
        <v>0</v>
      </c>
      <c r="O283" s="12">
        <f t="shared" si="12"/>
        <v>1</v>
      </c>
      <c r="P283" s="12">
        <f t="shared" si="13"/>
        <v>0</v>
      </c>
      <c r="R283" s="17">
        <v>-0.86216493245391179</v>
      </c>
      <c r="S283" s="17">
        <v>0.86592397083683859</v>
      </c>
      <c r="T283" s="17">
        <v>1.1492407566427856</v>
      </c>
      <c r="U283" s="17">
        <v>0.30971288832147947</v>
      </c>
      <c r="V283" s="17">
        <v>1.322038261257461</v>
      </c>
      <c r="W283" s="17">
        <v>-0.54000870393571332</v>
      </c>
      <c r="X283" s="17">
        <v>-0.93446499101467595</v>
      </c>
      <c r="Y283" s="17">
        <v>1.3623707400649003</v>
      </c>
      <c r="Z283" s="17">
        <v>0.73556995189170193</v>
      </c>
      <c r="AA283" s="17">
        <v>1.6983871669386827</v>
      </c>
      <c r="AB283" s="17">
        <v>-1.2113068807979621</v>
      </c>
      <c r="AC283" s="17">
        <v>1.5906603286575782</v>
      </c>
      <c r="AD283" s="17">
        <v>-0.8593627097567913</v>
      </c>
      <c r="AE283" s="17">
        <v>1.3374666300864129</v>
      </c>
      <c r="AF283" s="17">
        <v>1.6049118769290147</v>
      </c>
      <c r="AG283" s="17">
        <v>1.3481853892245086</v>
      </c>
      <c r="AH283" s="17">
        <v>0.33128292594394448</v>
      </c>
      <c r="AI283" s="17">
        <v>-1.6572512841003593</v>
      </c>
      <c r="AJ283" s="17">
        <v>-0.4315878441673433</v>
      </c>
      <c r="AK283" s="17">
        <v>0.36873378803882229</v>
      </c>
      <c r="AM283" s="17">
        <v>-0.86414370300637322</v>
      </c>
      <c r="AN283" s="17">
        <v>0.75892192516653212</v>
      </c>
      <c r="AO283" s="17">
        <v>0.56216685662996524</v>
      </c>
      <c r="AP283" s="17">
        <v>0.40909776256372354</v>
      </c>
      <c r="AQ283" s="17">
        <v>0.89776516806997553</v>
      </c>
      <c r="AR283" s="17">
        <v>-0.78995548420593542</v>
      </c>
      <c r="AS283" s="17">
        <v>-0.86916777675975798</v>
      </c>
      <c r="AT283" s="17">
        <v>0.76446651916437836</v>
      </c>
      <c r="AU283" s="17">
        <v>0.9023626977248973</v>
      </c>
      <c r="AV283" s="17">
        <v>0.87307714240980105</v>
      </c>
      <c r="AW283" s="17">
        <v>-0.48659875490192073</v>
      </c>
      <c r="AX283" s="17">
        <v>0.83540729269108405</v>
      </c>
      <c r="AY283" s="17">
        <v>-0.68003177368313117</v>
      </c>
      <c r="AZ283" s="17">
        <v>0.92179711763318783</v>
      </c>
      <c r="BA283" s="17">
        <v>0.54156258632730225</v>
      </c>
      <c r="BB283" s="17">
        <v>0.51449906107612942</v>
      </c>
      <c r="BC283" s="17">
        <v>0.4614517545832002</v>
      </c>
      <c r="BD283" s="17">
        <v>-0.92483465379364849</v>
      </c>
      <c r="BE283" s="17">
        <v>-0.48175840470900544</v>
      </c>
      <c r="BF283" s="17">
        <v>0.52645129396066115</v>
      </c>
      <c r="BK283" s="20">
        <v>-0.10068073261667358</v>
      </c>
      <c r="BL283" s="20">
        <v>1.1006824108294753</v>
      </c>
      <c r="BN283" s="21">
        <f t="shared" si="14"/>
        <v>1</v>
      </c>
    </row>
    <row r="284" spans="1:66">
      <c r="A284" s="14">
        <v>19.399999999999999</v>
      </c>
      <c r="B284" s="14">
        <v>18.18</v>
      </c>
      <c r="C284" s="14">
        <v>127.2</v>
      </c>
      <c r="D284" s="14">
        <v>1145</v>
      </c>
      <c r="E284" s="14">
        <v>0.14419999999999999</v>
      </c>
      <c r="F284" s="14">
        <v>0.16259999999999999</v>
      </c>
      <c r="G284" s="14">
        <v>9.4640000000000002E-2</v>
      </c>
      <c r="H284" s="14">
        <v>23.79</v>
      </c>
      <c r="I284" s="14">
        <v>1628</v>
      </c>
      <c r="J284" s="14">
        <v>0.22520000000000001</v>
      </c>
      <c r="M284" s="16">
        <v>1</v>
      </c>
      <c r="O284" s="12">
        <f t="shared" si="12"/>
        <v>0</v>
      </c>
      <c r="P284" s="12">
        <f t="shared" si="13"/>
        <v>1</v>
      </c>
      <c r="R284" s="17">
        <v>-1.4643074708783446</v>
      </c>
      <c r="S284" s="17">
        <v>1.0359333700219733</v>
      </c>
      <c r="T284" s="17">
        <v>0.4503249130137873</v>
      </c>
      <c r="U284" s="17">
        <v>0.47751119115197871</v>
      </c>
      <c r="V284" s="17">
        <v>1.5052132201123889</v>
      </c>
      <c r="W284" s="17">
        <v>-1.2567352733816861</v>
      </c>
      <c r="X284" s="17">
        <v>-1.4659127711484521</v>
      </c>
      <c r="Y284" s="17">
        <v>0.877385815472147</v>
      </c>
      <c r="Z284" s="17">
        <v>1.7463530467411736</v>
      </c>
      <c r="AA284" s="17">
        <v>1.2163845753889837</v>
      </c>
      <c r="AB284" s="17">
        <v>-0.28839333793737798</v>
      </c>
      <c r="AC284" s="17">
        <v>1.0652147513376473</v>
      </c>
      <c r="AD284" s="17">
        <v>-0.81583654438301023</v>
      </c>
      <c r="AE284" s="17">
        <v>1.6894094608623824</v>
      </c>
      <c r="AF284" s="17">
        <v>0.2496334827590041</v>
      </c>
      <c r="AG284" s="17">
        <v>0.29010426800531797</v>
      </c>
      <c r="AH284" s="17">
        <v>0.55723475600471262</v>
      </c>
      <c r="AI284" s="17">
        <v>-1.603629768829455</v>
      </c>
      <c r="AJ284" s="17">
        <v>-0.55690825498325469</v>
      </c>
      <c r="AK284" s="17">
        <v>0.41256201738018505</v>
      </c>
      <c r="AM284" s="17">
        <v>-0.90913533748759212</v>
      </c>
      <c r="AN284" s="17">
        <v>0.79023058045018901</v>
      </c>
      <c r="AO284" s="17">
        <v>-6.2214136974239428E-2</v>
      </c>
      <c r="AP284" s="17">
        <v>0.45890862526238507</v>
      </c>
      <c r="AQ284" s="17">
        <v>0.91483852886399697</v>
      </c>
      <c r="AR284" s="17">
        <v>-0.86444048347502855</v>
      </c>
      <c r="AS284" s="17">
        <v>-0.90917976412873669</v>
      </c>
      <c r="AT284" s="17">
        <v>0.71410758117015749</v>
      </c>
      <c r="AU284" s="17">
        <v>0.94899473141020019</v>
      </c>
      <c r="AV284" s="17">
        <v>0.84695748492745893</v>
      </c>
      <c r="AW284" s="17">
        <v>-0.27219600622397155</v>
      </c>
      <c r="AX284" s="17">
        <v>0.79632309583213234</v>
      </c>
      <c r="AY284" s="17">
        <v>-0.68621297931093683</v>
      </c>
      <c r="AZ284" s="17">
        <v>0.9413505246672258</v>
      </c>
      <c r="BA284" s="17">
        <v>0.22668052132998251</v>
      </c>
      <c r="BB284" s="17">
        <v>0.27135178687770123</v>
      </c>
      <c r="BC284" s="17">
        <v>0.52217321423367791</v>
      </c>
      <c r="BD284" s="17">
        <v>-0.92930337312318045</v>
      </c>
      <c r="BE284" s="17">
        <v>-0.52047682419697949</v>
      </c>
      <c r="BF284" s="17">
        <v>-0.42850369695187768</v>
      </c>
      <c r="BK284" s="20">
        <v>1.0442805526476244</v>
      </c>
      <c r="BL284" s="20">
        <v>-4.4380479216511962E-2</v>
      </c>
      <c r="BN284" s="21">
        <f t="shared" si="14"/>
        <v>0</v>
      </c>
    </row>
    <row r="285" spans="1:66">
      <c r="A285" s="14">
        <v>16.239999999999998</v>
      </c>
      <c r="B285" s="14">
        <v>18.77</v>
      </c>
      <c r="C285" s="14">
        <v>108.8</v>
      </c>
      <c r="D285" s="14">
        <v>805.1</v>
      </c>
      <c r="E285" s="14">
        <v>0.1802</v>
      </c>
      <c r="F285" s="14">
        <v>0.1948</v>
      </c>
      <c r="G285" s="14">
        <v>9.0520000000000003E-2</v>
      </c>
      <c r="H285" s="14">
        <v>18.55</v>
      </c>
      <c r="I285" s="14">
        <v>1031</v>
      </c>
      <c r="J285" s="14">
        <v>0.17319999999999999</v>
      </c>
      <c r="M285" s="16">
        <v>1</v>
      </c>
      <c r="O285" s="12">
        <f t="shared" si="12"/>
        <v>0</v>
      </c>
      <c r="P285" s="12">
        <f t="shared" si="13"/>
        <v>1</v>
      </c>
      <c r="R285" s="17">
        <v>-0.86216493245391179</v>
      </c>
      <c r="S285" s="17">
        <v>0.86592397083683859</v>
      </c>
      <c r="T285" s="17">
        <v>1.1492407566427856</v>
      </c>
      <c r="U285" s="17">
        <v>0.30971288832147947</v>
      </c>
      <c r="V285" s="17">
        <v>1.322038261257461</v>
      </c>
      <c r="W285" s="17">
        <v>-0.54000870393571332</v>
      </c>
      <c r="X285" s="17">
        <v>-0.93446499101467595</v>
      </c>
      <c r="Y285" s="17">
        <v>1.3623707400649003</v>
      </c>
      <c r="Z285" s="17">
        <v>0.73556995189170193</v>
      </c>
      <c r="AA285" s="17">
        <v>1.6983871669386827</v>
      </c>
      <c r="AB285" s="17">
        <v>-1.2113068807979621</v>
      </c>
      <c r="AC285" s="17">
        <v>1.5906603286575782</v>
      </c>
      <c r="AD285" s="17">
        <v>-0.8593627097567913</v>
      </c>
      <c r="AE285" s="17">
        <v>1.3374666300864129</v>
      </c>
      <c r="AF285" s="17">
        <v>1.6049118769290147</v>
      </c>
      <c r="AG285" s="17">
        <v>1.3481853892245086</v>
      </c>
      <c r="AH285" s="17">
        <v>0.33128292594394448</v>
      </c>
      <c r="AI285" s="17">
        <v>-1.6572512841003593</v>
      </c>
      <c r="AJ285" s="17">
        <v>-0.4315878441673433</v>
      </c>
      <c r="AK285" s="17">
        <v>0.36873414947852179</v>
      </c>
      <c r="AM285" s="17">
        <v>-0.81591255709360511</v>
      </c>
      <c r="AN285" s="17">
        <v>0.7417889192858742</v>
      </c>
      <c r="AO285" s="17">
        <v>0.65905602524890905</v>
      </c>
      <c r="AP285" s="17">
        <v>0.37081275073013231</v>
      </c>
      <c r="AQ285" s="17">
        <v>0.89020747293057323</v>
      </c>
      <c r="AR285" s="17">
        <v>-0.70093903507570743</v>
      </c>
      <c r="AS285" s="17">
        <v>-0.82935920633277216</v>
      </c>
      <c r="AT285" s="17">
        <v>0.82237977244692184</v>
      </c>
      <c r="AU285" s="17">
        <v>0.83346357624750467</v>
      </c>
      <c r="AV285" s="17">
        <v>0.90626922368767471</v>
      </c>
      <c r="AW285" s="17">
        <v>-0.67205932768175203</v>
      </c>
      <c r="AX285" s="17">
        <v>0.88039011007514867</v>
      </c>
      <c r="AY285" s="17">
        <v>-0.69211796036644002</v>
      </c>
      <c r="AZ285" s="17">
        <v>0.90769430277301766</v>
      </c>
      <c r="BA285" s="17">
        <v>0.76975715980457537</v>
      </c>
      <c r="BB285" s="17">
        <v>0.71271340405103256</v>
      </c>
      <c r="BC285" s="17">
        <v>0.41142499634539204</v>
      </c>
      <c r="BD285" s="17">
        <v>-0.92976727459696773</v>
      </c>
      <c r="BE285" s="17">
        <v>-0.45731632847115128</v>
      </c>
      <c r="BF285" s="17">
        <v>1.6411978378498338E-2</v>
      </c>
      <c r="BK285" s="20">
        <v>0.90779971944036164</v>
      </c>
      <c r="BL285" s="20">
        <v>9.2401901102910189E-2</v>
      </c>
      <c r="BN285" s="21">
        <f t="shared" si="14"/>
        <v>0</v>
      </c>
    </row>
    <row r="286" spans="1:66">
      <c r="A286" s="14">
        <v>12.89</v>
      </c>
      <c r="B286" s="14">
        <v>15.7</v>
      </c>
      <c r="C286" s="14">
        <v>84.08</v>
      </c>
      <c r="D286" s="14">
        <v>516.6</v>
      </c>
      <c r="E286" s="14">
        <v>9.5799999999999996E-2</v>
      </c>
      <c r="F286" s="14">
        <v>0.1115</v>
      </c>
      <c r="G286" s="14">
        <v>3.39E-2</v>
      </c>
      <c r="H286" s="14">
        <v>13.9</v>
      </c>
      <c r="I286" s="14">
        <v>595.6</v>
      </c>
      <c r="J286" s="14">
        <v>0.1017</v>
      </c>
      <c r="M286" s="16">
        <v>0</v>
      </c>
      <c r="O286" s="12">
        <f t="shared" si="12"/>
        <v>1</v>
      </c>
      <c r="P286" s="12">
        <f t="shared" si="13"/>
        <v>0</v>
      </c>
      <c r="R286" s="17">
        <v>-1.4643074708783446</v>
      </c>
      <c r="S286" s="17">
        <v>1.0359333700219733</v>
      </c>
      <c r="T286" s="17">
        <v>0.4503249130137873</v>
      </c>
      <c r="U286" s="17">
        <v>0.47751119115197871</v>
      </c>
      <c r="V286" s="17">
        <v>1.5052132201123889</v>
      </c>
      <c r="W286" s="17">
        <v>-1.2567352733816861</v>
      </c>
      <c r="X286" s="17">
        <v>-1.4659127711484521</v>
      </c>
      <c r="Y286" s="17">
        <v>0.877385815472147</v>
      </c>
      <c r="Z286" s="17">
        <v>1.7463530467411736</v>
      </c>
      <c r="AA286" s="17">
        <v>1.2163845753889837</v>
      </c>
      <c r="AB286" s="17">
        <v>-0.28839333793737798</v>
      </c>
      <c r="AC286" s="17">
        <v>1.0652147513376473</v>
      </c>
      <c r="AD286" s="17">
        <v>-0.81583654438301023</v>
      </c>
      <c r="AE286" s="17">
        <v>1.6894094608623824</v>
      </c>
      <c r="AF286" s="17">
        <v>0.2496334827590041</v>
      </c>
      <c r="AG286" s="17">
        <v>0.29010426800531797</v>
      </c>
      <c r="AH286" s="17">
        <v>0.55723475600471262</v>
      </c>
      <c r="AI286" s="17">
        <v>-1.603629768829455</v>
      </c>
      <c r="AJ286" s="17">
        <v>-0.55690825498325469</v>
      </c>
      <c r="AK286" s="17">
        <v>0.41256201738018505</v>
      </c>
      <c r="AM286" s="17">
        <v>-0.91429140170778755</v>
      </c>
      <c r="AN286" s="17">
        <v>0.7723839906403015</v>
      </c>
      <c r="AO286" s="17">
        <v>-0.15084046140420754</v>
      </c>
      <c r="AP286" s="17">
        <v>0.46083170175841465</v>
      </c>
      <c r="AQ286" s="17">
        <v>0.90014754011947407</v>
      </c>
      <c r="AR286" s="17">
        <v>-0.88307510744674023</v>
      </c>
      <c r="AS286" s="17">
        <v>-0.91120200912323412</v>
      </c>
      <c r="AT286" s="17">
        <v>0.5985953956001604</v>
      </c>
      <c r="AU286" s="17">
        <v>0.95914618852998734</v>
      </c>
      <c r="AV286" s="17">
        <v>0.76652842630807172</v>
      </c>
      <c r="AW286" s="17">
        <v>-1.0805648522992766E-2</v>
      </c>
      <c r="AX286" s="17">
        <v>0.69461840216213544</v>
      </c>
      <c r="AY286" s="17">
        <v>-0.63984761891379394</v>
      </c>
      <c r="AZ286" s="17">
        <v>0.93474494407962305</v>
      </c>
      <c r="BA286" s="17">
        <v>-0.14720433712261774</v>
      </c>
      <c r="BB286" s="17">
        <v>-2.5867317229256486E-2</v>
      </c>
      <c r="BC286" s="17">
        <v>0.52997531485309524</v>
      </c>
      <c r="BD286" s="17">
        <v>-0.90493596132483378</v>
      </c>
      <c r="BE286" s="17">
        <v>-0.50893584047565332</v>
      </c>
      <c r="BF286" s="17">
        <v>0.35191629892487442</v>
      </c>
      <c r="BK286" s="20">
        <v>1.0213467244212062</v>
      </c>
      <c r="BL286" s="20">
        <v>-2.1388169009335475E-2</v>
      </c>
      <c r="BN286" s="21">
        <f t="shared" si="14"/>
        <v>0</v>
      </c>
    </row>
    <row r="287" spans="1:66">
      <c r="A287" s="14">
        <v>12.58</v>
      </c>
      <c r="B287" s="14">
        <v>18.399999999999999</v>
      </c>
      <c r="C287" s="14">
        <v>79.83</v>
      </c>
      <c r="D287" s="14">
        <v>489</v>
      </c>
      <c r="E287" s="14">
        <v>4.2160000000000003E-2</v>
      </c>
      <c r="F287" s="14">
        <v>1.8600000000000001E-3</v>
      </c>
      <c r="G287" s="14">
        <v>2.9239999999999999E-3</v>
      </c>
      <c r="H287" s="14">
        <v>13.5</v>
      </c>
      <c r="I287" s="14">
        <v>564.1</v>
      </c>
      <c r="J287" s="14">
        <v>8.7720000000000003E-3</v>
      </c>
      <c r="M287" s="16">
        <v>0</v>
      </c>
      <c r="O287" s="12">
        <f t="shared" si="12"/>
        <v>1</v>
      </c>
      <c r="P287" s="12">
        <f t="shared" si="13"/>
        <v>0</v>
      </c>
      <c r="R287" s="17">
        <v>-1.4643074708783446</v>
      </c>
      <c r="S287" s="17">
        <v>1.0359333700219733</v>
      </c>
      <c r="T287" s="17">
        <v>0.4503249130137873</v>
      </c>
      <c r="U287" s="17">
        <v>0.47751119115197871</v>
      </c>
      <c r="V287" s="17">
        <v>1.5052132201123889</v>
      </c>
      <c r="W287" s="17">
        <v>-1.2567352733816861</v>
      </c>
      <c r="X287" s="17">
        <v>-1.4659127711484521</v>
      </c>
      <c r="Y287" s="17">
        <v>0.877385815472147</v>
      </c>
      <c r="Z287" s="17">
        <v>1.7463530467411736</v>
      </c>
      <c r="AA287" s="17">
        <v>1.2163845753889837</v>
      </c>
      <c r="AB287" s="17">
        <v>-0.28839333793737798</v>
      </c>
      <c r="AC287" s="17">
        <v>1.0652147513376473</v>
      </c>
      <c r="AD287" s="17">
        <v>-0.81583654438301023</v>
      </c>
      <c r="AE287" s="17">
        <v>1.6894094608623824</v>
      </c>
      <c r="AF287" s="17">
        <v>0.2496334827590041</v>
      </c>
      <c r="AG287" s="17">
        <v>0.29010426800531797</v>
      </c>
      <c r="AH287" s="17">
        <v>0.55723475600471262</v>
      </c>
      <c r="AI287" s="17">
        <v>-1.603629768829455</v>
      </c>
      <c r="AJ287" s="17">
        <v>-0.55690825498325469</v>
      </c>
      <c r="AK287" s="17">
        <v>0.41256201738018505</v>
      </c>
      <c r="AM287" s="17">
        <v>-0.88213353919411386</v>
      </c>
      <c r="AN287" s="17">
        <v>0.78210630506165713</v>
      </c>
      <c r="AO287" s="17">
        <v>0.59467940256718832</v>
      </c>
      <c r="AP287" s="17">
        <v>0.42979064009574708</v>
      </c>
      <c r="AQ287" s="17">
        <v>0.91285941109190116</v>
      </c>
      <c r="AR287" s="17">
        <v>-0.81227697004227328</v>
      </c>
      <c r="AS287" s="17">
        <v>-0.88675696046851893</v>
      </c>
      <c r="AT287" s="17">
        <v>0.78709304629877541</v>
      </c>
      <c r="AU287" s="17">
        <v>0.91722727097176038</v>
      </c>
      <c r="AV287" s="17">
        <v>0.89004613904820229</v>
      </c>
      <c r="AW287" s="17">
        <v>-0.5084310602502049</v>
      </c>
      <c r="AX287" s="17">
        <v>0.85486770544248081</v>
      </c>
      <c r="AY287" s="17">
        <v>-0.70468371714575584</v>
      </c>
      <c r="AZ287" s="17">
        <v>0.93452455459765105</v>
      </c>
      <c r="BA287" s="17">
        <v>0.5642220343809593</v>
      </c>
      <c r="BB287" s="17">
        <v>0.53688780953428872</v>
      </c>
      <c r="BC287" s="17">
        <v>0.48389071760986707</v>
      </c>
      <c r="BD287" s="17">
        <v>-0.93715279372546456</v>
      </c>
      <c r="BE287" s="17">
        <v>-0.50463961558463544</v>
      </c>
      <c r="BF287" s="17">
        <v>-0.18704346256013366</v>
      </c>
      <c r="BK287" s="20">
        <v>1.0778810271875146</v>
      </c>
      <c r="BL287" s="20">
        <v>-7.7951245137782482E-2</v>
      </c>
      <c r="BN287" s="21">
        <f t="shared" si="14"/>
        <v>0</v>
      </c>
    </row>
    <row r="288" spans="1:66">
      <c r="A288" s="14">
        <v>11.94</v>
      </c>
      <c r="B288" s="14">
        <v>20.76</v>
      </c>
      <c r="C288" s="14">
        <v>77.87</v>
      </c>
      <c r="D288" s="14">
        <v>441</v>
      </c>
      <c r="E288" s="14">
        <v>0.1011</v>
      </c>
      <c r="F288" s="14">
        <v>6.5740000000000007E-2</v>
      </c>
      <c r="G288" s="14">
        <v>3.7909999999999999E-2</v>
      </c>
      <c r="H288" s="14">
        <v>13.24</v>
      </c>
      <c r="I288" s="14">
        <v>546.1</v>
      </c>
      <c r="J288" s="14">
        <v>0.11550000000000001</v>
      </c>
      <c r="M288" s="16">
        <v>0</v>
      </c>
      <c r="O288" s="12">
        <f t="shared" si="12"/>
        <v>1</v>
      </c>
      <c r="P288" s="12">
        <f t="shared" si="13"/>
        <v>0</v>
      </c>
      <c r="R288" s="17">
        <v>-1.4643074708783446</v>
      </c>
      <c r="S288" s="17">
        <v>1.0359333700219733</v>
      </c>
      <c r="T288" s="17">
        <v>0.4503249130137873</v>
      </c>
      <c r="U288" s="17">
        <v>0.47751119115197871</v>
      </c>
      <c r="V288" s="17">
        <v>1.5052132201123889</v>
      </c>
      <c r="W288" s="17">
        <v>-1.2567352733816861</v>
      </c>
      <c r="X288" s="17">
        <v>-1.4659127711484521</v>
      </c>
      <c r="Y288" s="17">
        <v>0.877385815472147</v>
      </c>
      <c r="Z288" s="17">
        <v>1.7463530467411736</v>
      </c>
      <c r="AA288" s="17">
        <v>1.2163845753889837</v>
      </c>
      <c r="AB288" s="17">
        <v>-0.28839333793737798</v>
      </c>
      <c r="AC288" s="17">
        <v>1.0652147513376473</v>
      </c>
      <c r="AD288" s="17">
        <v>-0.81583654438301023</v>
      </c>
      <c r="AE288" s="17">
        <v>1.6894094608623824</v>
      </c>
      <c r="AF288" s="17">
        <v>0.2496334827590041</v>
      </c>
      <c r="AG288" s="17">
        <v>0.29010426800531797</v>
      </c>
      <c r="AH288" s="17">
        <v>0.55723475600471262</v>
      </c>
      <c r="AI288" s="17">
        <v>-1.603629768829455</v>
      </c>
      <c r="AJ288" s="17">
        <v>-0.55690825498325469</v>
      </c>
      <c r="AK288" s="17">
        <v>0.41256201666133296</v>
      </c>
      <c r="AM288" s="17">
        <v>-0.90727175338968635</v>
      </c>
      <c r="AN288" s="17">
        <v>0.78354496185811484</v>
      </c>
      <c r="AO288" s="17">
        <v>0.15726716785906433</v>
      </c>
      <c r="AP288" s="17">
        <v>0.455278708477169</v>
      </c>
      <c r="AQ288" s="17">
        <v>0.91015148100475163</v>
      </c>
      <c r="AR288" s="17">
        <v>-0.86411250553254759</v>
      </c>
      <c r="AS288" s="17">
        <v>-0.90681943168995838</v>
      </c>
      <c r="AT288" s="17">
        <v>0.6941902482423542</v>
      </c>
      <c r="AU288" s="17">
        <v>0.94887327703906876</v>
      </c>
      <c r="AV288" s="17">
        <v>0.83303227502118304</v>
      </c>
      <c r="AW288" s="17">
        <v>-0.23202256760271234</v>
      </c>
      <c r="AX288" s="17">
        <v>0.77906470342860867</v>
      </c>
      <c r="AY288" s="17">
        <v>-0.67506084974699865</v>
      </c>
      <c r="AZ288" s="17">
        <v>0.93835170118443501</v>
      </c>
      <c r="BA288" s="17">
        <v>0.17007402136908978</v>
      </c>
      <c r="BB288" s="17">
        <v>0.22610218541554572</v>
      </c>
      <c r="BC288" s="17">
        <v>0.51913088718041489</v>
      </c>
      <c r="BD288" s="17">
        <v>-0.923699758698449</v>
      </c>
      <c r="BE288" s="17">
        <v>-0.51453924343626867</v>
      </c>
      <c r="BF288" s="17">
        <v>-0.40041815484070348</v>
      </c>
      <c r="BK288" s="20">
        <v>0.82828909158727571</v>
      </c>
      <c r="BL288" s="20">
        <v>0.17166239286653553</v>
      </c>
      <c r="BN288" s="21">
        <f t="shared" si="14"/>
        <v>0</v>
      </c>
    </row>
    <row r="289" spans="1:66">
      <c r="A289" s="14">
        <v>12.89</v>
      </c>
      <c r="B289" s="14">
        <v>13.12</v>
      </c>
      <c r="C289" s="14">
        <v>81.89</v>
      </c>
      <c r="D289" s="14">
        <v>515.9</v>
      </c>
      <c r="E289" s="14">
        <v>3.7289999999999997E-2</v>
      </c>
      <c r="F289" s="14">
        <v>2.2599999999999999E-2</v>
      </c>
      <c r="G289" s="14">
        <v>1.171E-2</v>
      </c>
      <c r="H289" s="14">
        <v>13.62</v>
      </c>
      <c r="I289" s="14">
        <v>577</v>
      </c>
      <c r="J289" s="14">
        <v>5.3659999999999999E-2</v>
      </c>
      <c r="M289" s="16">
        <v>0</v>
      </c>
      <c r="O289" s="12">
        <f t="shared" si="12"/>
        <v>1</v>
      </c>
      <c r="P289" s="12">
        <f t="shared" si="13"/>
        <v>0</v>
      </c>
      <c r="R289" s="17">
        <v>-1.4643074708783446</v>
      </c>
      <c r="S289" s="17">
        <v>1.0359333700219733</v>
      </c>
      <c r="T289" s="17">
        <v>0.4503249130137873</v>
      </c>
      <c r="U289" s="17">
        <v>0.47751119115197871</v>
      </c>
      <c r="V289" s="17">
        <v>1.5052132201123889</v>
      </c>
      <c r="W289" s="17">
        <v>-1.2567352733816861</v>
      </c>
      <c r="X289" s="17">
        <v>-1.4659127711484521</v>
      </c>
      <c r="Y289" s="17">
        <v>0.877385815472147</v>
      </c>
      <c r="Z289" s="17">
        <v>1.7463530467411736</v>
      </c>
      <c r="AA289" s="17">
        <v>1.2163845753889837</v>
      </c>
      <c r="AB289" s="17">
        <v>-0.28839333793737798</v>
      </c>
      <c r="AC289" s="17">
        <v>1.0652147513376473</v>
      </c>
      <c r="AD289" s="17">
        <v>-0.81583654438301023</v>
      </c>
      <c r="AE289" s="17">
        <v>1.6894094608623824</v>
      </c>
      <c r="AF289" s="17">
        <v>0.2496334827590041</v>
      </c>
      <c r="AG289" s="17">
        <v>0.29010426800531797</v>
      </c>
      <c r="AH289" s="17">
        <v>0.55723475600471262</v>
      </c>
      <c r="AI289" s="17">
        <v>-1.603629768829455</v>
      </c>
      <c r="AJ289" s="17">
        <v>-0.55690825498325469</v>
      </c>
      <c r="AK289" s="17">
        <v>0.41256201721893393</v>
      </c>
      <c r="AM289" s="17">
        <v>-0.9102129989491351</v>
      </c>
      <c r="AN289" s="17">
        <v>0.79292034357365537</v>
      </c>
      <c r="AO289" s="17">
        <v>0.43905167572637599</v>
      </c>
      <c r="AP289" s="17">
        <v>0.46076007807285974</v>
      </c>
      <c r="AQ289" s="17">
        <v>0.91664005294719586</v>
      </c>
      <c r="AR289" s="17">
        <v>-0.86524399215409753</v>
      </c>
      <c r="AS289" s="17">
        <v>-0.91039101419295199</v>
      </c>
      <c r="AT289" s="17">
        <v>0.72039049645671349</v>
      </c>
      <c r="AU289" s="17">
        <v>0.94941736848598568</v>
      </c>
      <c r="AV289" s="17">
        <v>0.85138345457376408</v>
      </c>
      <c r="AW289" s="17">
        <v>-0.28378097508268235</v>
      </c>
      <c r="AX289" s="17">
        <v>0.80175358362655025</v>
      </c>
      <c r="AY289" s="17">
        <v>-0.69021437196026858</v>
      </c>
      <c r="AZ289" s="17">
        <v>0.94258285887882298</v>
      </c>
      <c r="BA289" s="17">
        <v>0.24266647217203061</v>
      </c>
      <c r="BB289" s="17">
        <v>0.28430789736115375</v>
      </c>
      <c r="BC289" s="17">
        <v>0.52392548119640769</v>
      </c>
      <c r="BD289" s="17">
        <v>-0.93126736219270823</v>
      </c>
      <c r="BE289" s="17">
        <v>-0.5230266350394136</v>
      </c>
      <c r="BF289" s="17">
        <v>0.20904294595577505</v>
      </c>
      <c r="BK289" s="20">
        <v>1.04167256160107</v>
      </c>
      <c r="BL289" s="20">
        <v>-4.1686483667953786E-2</v>
      </c>
      <c r="BN289" s="21">
        <f t="shared" si="14"/>
        <v>0</v>
      </c>
    </row>
    <row r="290" spans="1:66">
      <c r="A290" s="14">
        <v>11.26</v>
      </c>
      <c r="B290" s="14">
        <v>19.96</v>
      </c>
      <c r="C290" s="14">
        <v>73.72</v>
      </c>
      <c r="D290" s="14">
        <v>394.1</v>
      </c>
      <c r="E290" s="14">
        <v>0.1181</v>
      </c>
      <c r="F290" s="14">
        <v>9.2740000000000003E-2</v>
      </c>
      <c r="G290" s="14">
        <v>5.5879999999999999E-2</v>
      </c>
      <c r="H290" s="14">
        <v>11.86</v>
      </c>
      <c r="I290" s="14">
        <v>437.6</v>
      </c>
      <c r="J290" s="14">
        <v>9.3140000000000001E-2</v>
      </c>
      <c r="M290" s="16">
        <v>0</v>
      </c>
      <c r="O290" s="12">
        <f t="shared" si="12"/>
        <v>1</v>
      </c>
      <c r="P290" s="12">
        <f t="shared" si="13"/>
        <v>0</v>
      </c>
      <c r="R290" s="17">
        <v>-1.4643074708783446</v>
      </c>
      <c r="S290" s="17">
        <v>1.0359333700219733</v>
      </c>
      <c r="T290" s="17">
        <v>0.4503249130137873</v>
      </c>
      <c r="U290" s="17">
        <v>0.47751119115197871</v>
      </c>
      <c r="V290" s="17">
        <v>1.5052132201123889</v>
      </c>
      <c r="W290" s="17">
        <v>-1.2567352733816861</v>
      </c>
      <c r="X290" s="17">
        <v>-1.4659127711484521</v>
      </c>
      <c r="Y290" s="17">
        <v>0.877385815472147</v>
      </c>
      <c r="Z290" s="17">
        <v>1.7463530467411736</v>
      </c>
      <c r="AA290" s="17">
        <v>1.2163845753889837</v>
      </c>
      <c r="AB290" s="17">
        <v>-0.28839333793737798</v>
      </c>
      <c r="AC290" s="17">
        <v>1.0652147513376473</v>
      </c>
      <c r="AD290" s="17">
        <v>-0.81583654438301023</v>
      </c>
      <c r="AE290" s="17">
        <v>1.6894094608623824</v>
      </c>
      <c r="AF290" s="17">
        <v>0.2496334827590041</v>
      </c>
      <c r="AG290" s="17">
        <v>0.29010426800531797</v>
      </c>
      <c r="AH290" s="17">
        <v>0.55723475600471262</v>
      </c>
      <c r="AI290" s="17">
        <v>-1.603629768829455</v>
      </c>
      <c r="AJ290" s="17">
        <v>-0.55690825498325469</v>
      </c>
      <c r="AK290" s="17">
        <v>0.41256201738018505</v>
      </c>
      <c r="AM290" s="17">
        <v>-0.90136351842814355</v>
      </c>
      <c r="AN290" s="17">
        <v>0.78371581236410626</v>
      </c>
      <c r="AO290" s="17">
        <v>0.32333438839326833</v>
      </c>
      <c r="AP290" s="17">
        <v>0.44893980879442341</v>
      </c>
      <c r="AQ290" s="17">
        <v>0.91125660029159072</v>
      </c>
      <c r="AR290" s="17">
        <v>-0.85195769139400579</v>
      </c>
      <c r="AS290" s="17">
        <v>-0.90209844634104774</v>
      </c>
      <c r="AT290" s="17">
        <v>0.72297202666280358</v>
      </c>
      <c r="AU290" s="17">
        <v>0.94193360367133294</v>
      </c>
      <c r="AV290" s="17">
        <v>0.85127463787745539</v>
      </c>
      <c r="AW290" s="17">
        <v>-0.31411261582177374</v>
      </c>
      <c r="AX290" s="17">
        <v>0.80315049391201065</v>
      </c>
      <c r="AY290" s="17">
        <v>-0.68397351531465234</v>
      </c>
      <c r="AZ290" s="17">
        <v>0.9376182784424395</v>
      </c>
      <c r="BA290" s="17">
        <v>0.29078775690927294</v>
      </c>
      <c r="BB290" s="17">
        <v>0.31962583747729323</v>
      </c>
      <c r="BC290" s="17">
        <v>0.51027218126169827</v>
      </c>
      <c r="BD290" s="17">
        <v>-0.92793195536848971</v>
      </c>
      <c r="BE290" s="17">
        <v>-0.51243202921848807</v>
      </c>
      <c r="BF290" s="17">
        <v>0.35249085724546986</v>
      </c>
      <c r="BK290" s="20">
        <v>-0.12002688204017613</v>
      </c>
      <c r="BL290" s="20">
        <v>1.1198018783779107</v>
      </c>
      <c r="BN290" s="21">
        <f t="shared" si="14"/>
        <v>1</v>
      </c>
    </row>
    <row r="291" spans="1:66">
      <c r="A291" s="14">
        <v>11.37</v>
      </c>
      <c r="B291" s="14">
        <v>18.89</v>
      </c>
      <c r="C291" s="14">
        <v>72.17</v>
      </c>
      <c r="D291" s="14">
        <v>396</v>
      </c>
      <c r="E291" s="14">
        <v>5.008E-2</v>
      </c>
      <c r="F291" s="14">
        <v>2.3990000000000001E-2</v>
      </c>
      <c r="G291" s="14">
        <v>2.1729999999999999E-2</v>
      </c>
      <c r="H291" s="14">
        <v>12.36</v>
      </c>
      <c r="I291" s="14">
        <v>459.3</v>
      </c>
      <c r="J291" s="14">
        <v>6.2030000000000002E-2</v>
      </c>
      <c r="M291" s="16">
        <v>0</v>
      </c>
      <c r="O291" s="12">
        <f t="shared" si="12"/>
        <v>1</v>
      </c>
      <c r="P291" s="12">
        <f t="shared" si="13"/>
        <v>0</v>
      </c>
      <c r="R291" s="17">
        <v>-1.4643074708783446</v>
      </c>
      <c r="S291" s="17">
        <v>1.0359333700219733</v>
      </c>
      <c r="T291" s="17">
        <v>0.4503249130137873</v>
      </c>
      <c r="U291" s="17">
        <v>0.47751119115197871</v>
      </c>
      <c r="V291" s="17">
        <v>1.5052132201123889</v>
      </c>
      <c r="W291" s="17">
        <v>-1.2567352733816861</v>
      </c>
      <c r="X291" s="17">
        <v>-1.4659127711484521</v>
      </c>
      <c r="Y291" s="17">
        <v>0.877385815472147</v>
      </c>
      <c r="Z291" s="17">
        <v>1.7463530467411736</v>
      </c>
      <c r="AA291" s="17">
        <v>1.2163845753889837</v>
      </c>
      <c r="AB291" s="17">
        <v>-0.28839333793737798</v>
      </c>
      <c r="AC291" s="17">
        <v>1.0652147513376473</v>
      </c>
      <c r="AD291" s="17">
        <v>-0.81583654438301023</v>
      </c>
      <c r="AE291" s="17">
        <v>1.6894094608623824</v>
      </c>
      <c r="AF291" s="17">
        <v>0.2496334827590041</v>
      </c>
      <c r="AG291" s="17">
        <v>0.29010426800531797</v>
      </c>
      <c r="AH291" s="17">
        <v>0.55723475600471262</v>
      </c>
      <c r="AI291" s="17">
        <v>-1.603629768829455</v>
      </c>
      <c r="AJ291" s="17">
        <v>-0.55690825498325469</v>
      </c>
      <c r="AK291" s="17">
        <v>0.41256201738018505</v>
      </c>
      <c r="AM291" s="17">
        <v>-0.82714932347453451</v>
      </c>
      <c r="AN291" s="17">
        <v>0.76772695378457645</v>
      </c>
      <c r="AO291" s="17">
        <v>0.76117891411337202</v>
      </c>
      <c r="AP291" s="17">
        <v>0.38391341150927816</v>
      </c>
      <c r="AQ291" s="17">
        <v>0.90861377780679586</v>
      </c>
      <c r="AR291" s="17">
        <v>-0.70178429481299331</v>
      </c>
      <c r="AS291" s="17">
        <v>-0.84277948446747541</v>
      </c>
      <c r="AT291" s="17">
        <v>0.86257874035598248</v>
      </c>
      <c r="AU291" s="17">
        <v>0.83353532111941531</v>
      </c>
      <c r="AV291" s="17">
        <v>0.93188965170955584</v>
      </c>
      <c r="AW291" s="17">
        <v>-0.74747573011258095</v>
      </c>
      <c r="AX291" s="17">
        <v>0.91172149885237341</v>
      </c>
      <c r="AY291" s="17">
        <v>-0.72795888084661964</v>
      </c>
      <c r="AZ291" s="17">
        <v>0.92199657598716733</v>
      </c>
      <c r="BA291" s="17">
        <v>0.84254364597482345</v>
      </c>
      <c r="BB291" s="17">
        <v>0.78736990360097314</v>
      </c>
      <c r="BC291" s="17">
        <v>0.42266316670507903</v>
      </c>
      <c r="BD291" s="17">
        <v>-0.94622637885565741</v>
      </c>
      <c r="BE291" s="17">
        <v>-0.47892537557984344</v>
      </c>
      <c r="BF291" s="17">
        <v>0.32588232612502804</v>
      </c>
      <c r="BK291" s="20">
        <v>1.0065459388493416</v>
      </c>
      <c r="BL291" s="20">
        <v>-6.2820766937173823E-3</v>
      </c>
      <c r="BN291" s="21">
        <f t="shared" si="14"/>
        <v>0</v>
      </c>
    </row>
    <row r="292" spans="1:66">
      <c r="A292" s="14">
        <v>14.41</v>
      </c>
      <c r="B292" s="14">
        <v>19.73</v>
      </c>
      <c r="C292" s="14">
        <v>96.03</v>
      </c>
      <c r="D292" s="14">
        <v>651</v>
      </c>
      <c r="E292" s="14">
        <v>0.1676</v>
      </c>
      <c r="F292" s="14">
        <v>0.13619999999999999</v>
      </c>
      <c r="G292" s="14">
        <v>6.6019999999999995E-2</v>
      </c>
      <c r="H292" s="14">
        <v>15.77</v>
      </c>
      <c r="I292" s="14">
        <v>767.3</v>
      </c>
      <c r="J292" s="14">
        <v>0.1021</v>
      </c>
      <c r="M292" s="16">
        <v>0</v>
      </c>
      <c r="O292" s="12">
        <f t="shared" si="12"/>
        <v>1</v>
      </c>
      <c r="P292" s="12">
        <f t="shared" si="13"/>
        <v>0</v>
      </c>
      <c r="R292" s="17">
        <v>-1.4643074708783446</v>
      </c>
      <c r="S292" s="17">
        <v>1.0359333700219733</v>
      </c>
      <c r="T292" s="17">
        <v>0.4503249130137873</v>
      </c>
      <c r="U292" s="17">
        <v>0.47751119115197871</v>
      </c>
      <c r="V292" s="17">
        <v>1.5052132201123889</v>
      </c>
      <c r="W292" s="17">
        <v>-1.2567352733816861</v>
      </c>
      <c r="X292" s="17">
        <v>-1.4659127711484521</v>
      </c>
      <c r="Y292" s="17">
        <v>0.877385815472147</v>
      </c>
      <c r="Z292" s="17">
        <v>1.7463530467411736</v>
      </c>
      <c r="AA292" s="17">
        <v>1.2163845753889837</v>
      </c>
      <c r="AB292" s="17">
        <v>-0.28839333793737798</v>
      </c>
      <c r="AC292" s="17">
        <v>1.0652147513376473</v>
      </c>
      <c r="AD292" s="17">
        <v>-0.81583654438301023</v>
      </c>
      <c r="AE292" s="17">
        <v>1.6894094608623824</v>
      </c>
      <c r="AF292" s="17">
        <v>0.2496334827590041</v>
      </c>
      <c r="AG292" s="17">
        <v>0.29010426800531797</v>
      </c>
      <c r="AH292" s="17">
        <v>0.55723475600471262</v>
      </c>
      <c r="AI292" s="17">
        <v>-1.603629768829455</v>
      </c>
      <c r="AJ292" s="17">
        <v>-0.55690825498325469</v>
      </c>
      <c r="AK292" s="17">
        <v>-0.51266423708061137</v>
      </c>
      <c r="AM292" s="17">
        <v>-0.86738086666923653</v>
      </c>
      <c r="AN292" s="17">
        <v>0.75639915162362625</v>
      </c>
      <c r="AO292" s="17">
        <v>0.50758276436038252</v>
      </c>
      <c r="AP292" s="17">
        <v>0.41120546446781214</v>
      </c>
      <c r="AQ292" s="17">
        <v>0.89533954590391962</v>
      </c>
      <c r="AR292" s="17">
        <v>-0.79839698852050756</v>
      </c>
      <c r="AS292" s="17">
        <v>-0.87128892284922199</v>
      </c>
      <c r="AT292" s="17">
        <v>0.74642680230713065</v>
      </c>
      <c r="AU292" s="17">
        <v>0.90825006528401764</v>
      </c>
      <c r="AV292" s="17">
        <v>0.86141494383555739</v>
      </c>
      <c r="AW292" s="17">
        <v>-0.44048829531127259</v>
      </c>
      <c r="AX292" s="17">
        <v>0.82053936023242702</v>
      </c>
      <c r="AY292" s="17">
        <v>-0.67182718647252915</v>
      </c>
      <c r="AZ292" s="17">
        <v>0.9210023570502287</v>
      </c>
      <c r="BA292" s="17">
        <v>0.47982212105677124</v>
      </c>
      <c r="BB292" s="17">
        <v>0.46375874728569205</v>
      </c>
      <c r="BC292" s="17">
        <v>0.46516721585778614</v>
      </c>
      <c r="BD292" s="17">
        <v>-0.92070515926416807</v>
      </c>
      <c r="BE292" s="17">
        <v>-0.48084624117409286</v>
      </c>
      <c r="BF292" s="17">
        <v>0.49869422943281833</v>
      </c>
      <c r="BK292" s="20">
        <v>-4.3783147880789956E-2</v>
      </c>
      <c r="BL292" s="20">
        <v>1.0437207356172775</v>
      </c>
      <c r="BN292" s="21">
        <f t="shared" si="14"/>
        <v>1</v>
      </c>
    </row>
    <row r="293" spans="1:66">
      <c r="A293" s="14">
        <v>14.96</v>
      </c>
      <c r="B293" s="14">
        <v>19.100000000000001</v>
      </c>
      <c r="C293" s="14">
        <v>97.03</v>
      </c>
      <c r="D293" s="14">
        <v>687.3</v>
      </c>
      <c r="E293" s="14">
        <v>9.8229999999999998E-2</v>
      </c>
      <c r="F293" s="14">
        <v>5.9400000000000001E-2</v>
      </c>
      <c r="G293" s="14">
        <v>4.8189999999999997E-2</v>
      </c>
      <c r="H293" s="14">
        <v>16.25</v>
      </c>
      <c r="I293" s="14">
        <v>809.8</v>
      </c>
      <c r="J293" s="14">
        <v>0.1489</v>
      </c>
      <c r="M293" s="16">
        <v>0</v>
      </c>
      <c r="O293" s="12">
        <f t="shared" si="12"/>
        <v>1</v>
      </c>
      <c r="P293" s="12">
        <f t="shared" si="13"/>
        <v>0</v>
      </c>
      <c r="R293" s="17">
        <v>-1.4643074708783446</v>
      </c>
      <c r="S293" s="17">
        <v>1.0359333700219733</v>
      </c>
      <c r="T293" s="17">
        <v>0.4503249130137873</v>
      </c>
      <c r="U293" s="17">
        <v>0.47751119115197871</v>
      </c>
      <c r="V293" s="17">
        <v>1.5052132201123889</v>
      </c>
      <c r="W293" s="17">
        <v>-1.2567352733816861</v>
      </c>
      <c r="X293" s="17">
        <v>-1.4659127711484521</v>
      </c>
      <c r="Y293" s="17">
        <v>0.877385815472147</v>
      </c>
      <c r="Z293" s="17">
        <v>1.7463530467411736</v>
      </c>
      <c r="AA293" s="17">
        <v>1.2163845753889837</v>
      </c>
      <c r="AB293" s="17">
        <v>-0.28839333793737798</v>
      </c>
      <c r="AC293" s="17">
        <v>1.0652147513376473</v>
      </c>
      <c r="AD293" s="17">
        <v>-0.81583654438301023</v>
      </c>
      <c r="AE293" s="17">
        <v>1.6894094608623824</v>
      </c>
      <c r="AF293" s="17">
        <v>0.2496334827590041</v>
      </c>
      <c r="AG293" s="17">
        <v>0.29010426800531797</v>
      </c>
      <c r="AH293" s="17">
        <v>0.55723475600471262</v>
      </c>
      <c r="AI293" s="17">
        <v>-1.603629768829455</v>
      </c>
      <c r="AJ293" s="17">
        <v>-0.55690825498325469</v>
      </c>
      <c r="AK293" s="17">
        <v>0.41256201738018505</v>
      </c>
      <c r="AM293" s="17">
        <v>-0.80805682093163578</v>
      </c>
      <c r="AN293" s="17">
        <v>0.74929722851022562</v>
      </c>
      <c r="AO293" s="17">
        <v>0.73716475361284373</v>
      </c>
      <c r="AP293" s="17">
        <v>0.3675185701710319</v>
      </c>
      <c r="AQ293" s="17">
        <v>0.89682879966731888</v>
      </c>
      <c r="AR293" s="17">
        <v>-0.6769179938754456</v>
      </c>
      <c r="AS293" s="17">
        <v>-0.82499315828682052</v>
      </c>
      <c r="AT293" s="17">
        <v>0.85108363851547952</v>
      </c>
      <c r="AU293" s="17">
        <v>0.81234609624558751</v>
      </c>
      <c r="AV293" s="17">
        <v>0.92382944016349366</v>
      </c>
      <c r="AW293" s="17">
        <v>-0.73756222646053804</v>
      </c>
      <c r="AX293" s="17">
        <v>0.90254184452408992</v>
      </c>
      <c r="AY293" s="17">
        <v>-0.71057683870259924</v>
      </c>
      <c r="AZ293" s="17">
        <v>0.91079157046456793</v>
      </c>
      <c r="BA293" s="17">
        <v>0.83517580378973932</v>
      </c>
      <c r="BB293" s="17">
        <v>0.77824560762331052</v>
      </c>
      <c r="BC293" s="17">
        <v>0.40445456425113596</v>
      </c>
      <c r="BD293" s="17">
        <v>-0.93833728644681103</v>
      </c>
      <c r="BE293" s="17">
        <v>-0.46101392165094873</v>
      </c>
      <c r="BF293" s="17">
        <v>0.31891187274225269</v>
      </c>
      <c r="BK293" s="20">
        <v>0.94089756761174015</v>
      </c>
      <c r="BL293" s="20">
        <v>5.8950311484720463E-2</v>
      </c>
      <c r="BN293" s="21">
        <f t="shared" si="14"/>
        <v>0</v>
      </c>
    </row>
    <row r="294" spans="1:66">
      <c r="A294" s="14">
        <v>12.95</v>
      </c>
      <c r="B294" s="14">
        <v>16.02</v>
      </c>
      <c r="C294" s="14">
        <v>83.14</v>
      </c>
      <c r="D294" s="14">
        <v>513.70000000000005</v>
      </c>
      <c r="E294" s="14">
        <v>7.9430000000000001E-2</v>
      </c>
      <c r="F294" s="14">
        <v>6.1550000000000001E-2</v>
      </c>
      <c r="G294" s="14">
        <v>3.3700000000000001E-2</v>
      </c>
      <c r="H294" s="14">
        <v>13.74</v>
      </c>
      <c r="I294" s="14">
        <v>585.4</v>
      </c>
      <c r="J294" s="14">
        <v>0.1056</v>
      </c>
      <c r="M294" s="16">
        <v>0</v>
      </c>
      <c r="O294" s="12">
        <f t="shared" si="12"/>
        <v>1</v>
      </c>
      <c r="P294" s="12">
        <f t="shared" si="13"/>
        <v>0</v>
      </c>
      <c r="R294" s="17">
        <v>-1.4643074708783446</v>
      </c>
      <c r="S294" s="17">
        <v>1.0359333700219733</v>
      </c>
      <c r="T294" s="17">
        <v>0.4503249130137873</v>
      </c>
      <c r="U294" s="17">
        <v>0.47751119115197871</v>
      </c>
      <c r="V294" s="17">
        <v>1.5052132201123889</v>
      </c>
      <c r="W294" s="17">
        <v>-1.2567352733816861</v>
      </c>
      <c r="X294" s="17">
        <v>-1.4659127711484521</v>
      </c>
      <c r="Y294" s="17">
        <v>0.877385815472147</v>
      </c>
      <c r="Z294" s="17">
        <v>1.7463530467411736</v>
      </c>
      <c r="AA294" s="17">
        <v>1.2163845753889837</v>
      </c>
      <c r="AB294" s="17">
        <v>-0.28839333793737798</v>
      </c>
      <c r="AC294" s="17">
        <v>1.0652147513376473</v>
      </c>
      <c r="AD294" s="17">
        <v>-0.81583654438301023</v>
      </c>
      <c r="AE294" s="17">
        <v>1.6894094608623824</v>
      </c>
      <c r="AF294" s="17">
        <v>0.2496334827590041</v>
      </c>
      <c r="AG294" s="17">
        <v>0.29010426800531797</v>
      </c>
      <c r="AH294" s="17">
        <v>0.55723475600471262</v>
      </c>
      <c r="AI294" s="17">
        <v>-1.603629768829455</v>
      </c>
      <c r="AJ294" s="17">
        <v>-0.55690825498325469</v>
      </c>
      <c r="AK294" s="17">
        <v>0.41256201738018505</v>
      </c>
      <c r="AM294" s="17">
        <v>-0.89514863992483484</v>
      </c>
      <c r="AN294" s="17">
        <v>0.76987952904204482</v>
      </c>
      <c r="AO294" s="17">
        <v>0.22189474095059708</v>
      </c>
      <c r="AP294" s="17">
        <v>0.43942828638993836</v>
      </c>
      <c r="AQ294" s="17">
        <v>0.90168345681640061</v>
      </c>
      <c r="AR294" s="17">
        <v>-0.84690294936751864</v>
      </c>
      <c r="AS294" s="17">
        <v>-0.89525132204466962</v>
      </c>
      <c r="AT294" s="17">
        <v>0.69340767796954872</v>
      </c>
      <c r="AU294" s="17">
        <v>0.93910346230974662</v>
      </c>
      <c r="AV294" s="17">
        <v>0.82980051673127919</v>
      </c>
      <c r="AW294" s="17">
        <v>-0.26308735196625538</v>
      </c>
      <c r="AX294" s="17">
        <v>0.77724231791774534</v>
      </c>
      <c r="AY294" s="17">
        <v>-0.6644022689954614</v>
      </c>
      <c r="AZ294" s="17">
        <v>0.93083371487378219</v>
      </c>
      <c r="BA294" s="17">
        <v>0.22115645328364331</v>
      </c>
      <c r="BB294" s="17">
        <v>0.26276552941629533</v>
      </c>
      <c r="BC294" s="17">
        <v>0.50104277255690299</v>
      </c>
      <c r="BD294" s="17">
        <v>-0.91770158277054159</v>
      </c>
      <c r="BE294" s="17">
        <v>-0.4996715529334706</v>
      </c>
      <c r="BF294" s="17">
        <v>0.19524312245547401</v>
      </c>
      <c r="BK294" s="20">
        <v>1.0115145495034179</v>
      </c>
      <c r="BL294" s="20">
        <v>-1.1526412550353603E-2</v>
      </c>
      <c r="BN294" s="21">
        <f t="shared" si="14"/>
        <v>0</v>
      </c>
    </row>
    <row r="295" spans="1:66">
      <c r="A295" s="14">
        <v>11.85</v>
      </c>
      <c r="B295" s="14">
        <v>17.46</v>
      </c>
      <c r="C295" s="14">
        <v>75.540000000000006</v>
      </c>
      <c r="D295" s="14">
        <v>432.7</v>
      </c>
      <c r="E295" s="14">
        <v>5.6419999999999998E-2</v>
      </c>
      <c r="F295" s="14">
        <v>2.6880000000000001E-2</v>
      </c>
      <c r="G295" s="14">
        <v>2.2800000000000001E-2</v>
      </c>
      <c r="H295" s="14">
        <v>13.06</v>
      </c>
      <c r="I295" s="14">
        <v>517.79999999999995</v>
      </c>
      <c r="J295" s="14">
        <v>9.1399999999999995E-2</v>
      </c>
      <c r="M295" s="16">
        <v>0</v>
      </c>
      <c r="O295" s="12">
        <f t="shared" si="12"/>
        <v>1</v>
      </c>
      <c r="P295" s="12">
        <f t="shared" si="13"/>
        <v>0</v>
      </c>
      <c r="R295" s="17">
        <v>-1.4643074708783446</v>
      </c>
      <c r="S295" s="17">
        <v>1.0359333700219733</v>
      </c>
      <c r="T295" s="17">
        <v>0.4503249130137873</v>
      </c>
      <c r="U295" s="17">
        <v>0.47751119115197871</v>
      </c>
      <c r="V295" s="17">
        <v>1.5052132201123889</v>
      </c>
      <c r="W295" s="17">
        <v>-1.2567352733816861</v>
      </c>
      <c r="X295" s="17">
        <v>-1.4659127711484521</v>
      </c>
      <c r="Y295" s="17">
        <v>0.877385815472147</v>
      </c>
      <c r="Z295" s="17">
        <v>1.7463530467411736</v>
      </c>
      <c r="AA295" s="17">
        <v>1.2163845753889837</v>
      </c>
      <c r="AB295" s="17">
        <v>-0.28839333793737798</v>
      </c>
      <c r="AC295" s="17">
        <v>1.0652147513376473</v>
      </c>
      <c r="AD295" s="17">
        <v>-0.81583654438301023</v>
      </c>
      <c r="AE295" s="17">
        <v>1.6894094608623824</v>
      </c>
      <c r="AF295" s="17">
        <v>0.2496334827590041</v>
      </c>
      <c r="AG295" s="17">
        <v>0.29010426800531797</v>
      </c>
      <c r="AH295" s="17">
        <v>0.55723475600471262</v>
      </c>
      <c r="AI295" s="17">
        <v>-1.603629768829455</v>
      </c>
      <c r="AJ295" s="17">
        <v>-0.55690825498325469</v>
      </c>
      <c r="AK295" s="17">
        <v>0.41256201738018505</v>
      </c>
      <c r="AM295" s="17">
        <v>-0.88430739951163351</v>
      </c>
      <c r="AN295" s="17">
        <v>0.77648565429979444</v>
      </c>
      <c r="AO295" s="17">
        <v>-0.92164102215939858</v>
      </c>
      <c r="AP295" s="17">
        <v>0.43048029532792753</v>
      </c>
      <c r="AQ295" s="17">
        <v>0.90840157350287942</v>
      </c>
      <c r="AR295" s="17">
        <v>-0.8206522948323528</v>
      </c>
      <c r="AS295" s="17">
        <v>-0.88759935599111162</v>
      </c>
      <c r="AT295" s="17">
        <v>0.76128690246897235</v>
      </c>
      <c r="AU295" s="17">
        <v>0.92277743429518722</v>
      </c>
      <c r="AV295" s="17">
        <v>0.87372361888528005</v>
      </c>
      <c r="AW295" s="17">
        <v>-0.44292799750743522</v>
      </c>
      <c r="AX295" s="17">
        <v>0.83394606788564585</v>
      </c>
      <c r="AY295" s="17">
        <v>-0.69133274648709797</v>
      </c>
      <c r="AZ295" s="17">
        <v>0.93232026482217079</v>
      </c>
      <c r="BA295" s="17">
        <v>0.47718902179725164</v>
      </c>
      <c r="BB295" s="17">
        <v>0.46504622351479241</v>
      </c>
      <c r="BC295" s="17">
        <v>0.48656368450042042</v>
      </c>
      <c r="BD295" s="17">
        <v>-0.93096856991416355</v>
      </c>
      <c r="BE295" s="17">
        <v>-0.50100008984561251</v>
      </c>
      <c r="BF295" s="17">
        <v>-0.92389355344006641</v>
      </c>
      <c r="BK295" s="20">
        <v>0.29004212220673581</v>
      </c>
      <c r="BL295" s="20">
        <v>0.71005339133375134</v>
      </c>
      <c r="BN295" s="21">
        <f t="shared" si="14"/>
        <v>1</v>
      </c>
    </row>
    <row r="296" spans="1:66">
      <c r="A296" s="14">
        <v>12.72</v>
      </c>
      <c r="B296" s="14">
        <v>13.78</v>
      </c>
      <c r="C296" s="14">
        <v>81.78</v>
      </c>
      <c r="D296" s="14">
        <v>492.1</v>
      </c>
      <c r="E296" s="14">
        <v>8.3930000000000005E-2</v>
      </c>
      <c r="F296" s="14">
        <v>1.2880000000000001E-2</v>
      </c>
      <c r="G296" s="14">
        <v>1.924E-2</v>
      </c>
      <c r="H296" s="14">
        <v>13.5</v>
      </c>
      <c r="I296" s="14">
        <v>553.70000000000005</v>
      </c>
      <c r="J296" s="14">
        <v>6.343E-2</v>
      </c>
      <c r="M296" s="16">
        <v>0</v>
      </c>
      <c r="O296" s="12">
        <f t="shared" si="12"/>
        <v>1</v>
      </c>
      <c r="P296" s="12">
        <f t="shared" si="13"/>
        <v>0</v>
      </c>
      <c r="R296" s="17">
        <v>-1.4643074708783446</v>
      </c>
      <c r="S296" s="17">
        <v>1.0359333700219733</v>
      </c>
      <c r="T296" s="17">
        <v>0.4503249130137873</v>
      </c>
      <c r="U296" s="17">
        <v>0.47751119115197871</v>
      </c>
      <c r="V296" s="17">
        <v>1.5052132201123889</v>
      </c>
      <c r="W296" s="17">
        <v>-1.2567352733816861</v>
      </c>
      <c r="X296" s="17">
        <v>-1.4659127711484521</v>
      </c>
      <c r="Y296" s="17">
        <v>0.877385815472147</v>
      </c>
      <c r="Z296" s="17">
        <v>1.7463530467411736</v>
      </c>
      <c r="AA296" s="17">
        <v>1.2163845753889837</v>
      </c>
      <c r="AB296" s="17">
        <v>-0.28839333793737798</v>
      </c>
      <c r="AC296" s="17">
        <v>1.0652147513376473</v>
      </c>
      <c r="AD296" s="17">
        <v>-0.81583654438301023</v>
      </c>
      <c r="AE296" s="17">
        <v>1.6894094608623824</v>
      </c>
      <c r="AF296" s="17">
        <v>0.2496334827590041</v>
      </c>
      <c r="AG296" s="17">
        <v>0.29010426800531797</v>
      </c>
      <c r="AH296" s="17">
        <v>0.55723475600471262</v>
      </c>
      <c r="AI296" s="17">
        <v>-1.603629768829455</v>
      </c>
      <c r="AJ296" s="17">
        <v>-0.55690825498325469</v>
      </c>
      <c r="AK296" s="17">
        <v>0.41256201738018505</v>
      </c>
      <c r="AM296" s="17">
        <v>-0.71926147159828313</v>
      </c>
      <c r="AN296" s="17">
        <v>0.6870197743282167</v>
      </c>
      <c r="AO296" s="17">
        <v>0.7495735538927395</v>
      </c>
      <c r="AP296" s="17">
        <v>0.30764167140677257</v>
      </c>
      <c r="AQ296" s="17">
        <v>0.85489069420141583</v>
      </c>
      <c r="AR296" s="17">
        <v>-0.5514568614857297</v>
      </c>
      <c r="AS296" s="17">
        <v>-0.74570369901298883</v>
      </c>
      <c r="AT296" s="17">
        <v>0.8360438553209929</v>
      </c>
      <c r="AU296" s="17">
        <v>0.69135722616443296</v>
      </c>
      <c r="AV296" s="17">
        <v>0.90954961407699286</v>
      </c>
      <c r="AW296" s="17">
        <v>-0.76045742698844188</v>
      </c>
      <c r="AX296" s="17">
        <v>0.88889774480374617</v>
      </c>
      <c r="AY296" s="17">
        <v>-0.66561035732746487</v>
      </c>
      <c r="AZ296" s="17">
        <v>0.86550778877041035</v>
      </c>
      <c r="BA296" s="17">
        <v>0.86190652498266562</v>
      </c>
      <c r="BB296" s="17">
        <v>0.80235228210903387</v>
      </c>
      <c r="BC296" s="17">
        <v>0.33400119475651291</v>
      </c>
      <c r="BD296" s="17">
        <v>-0.91426874795094115</v>
      </c>
      <c r="BE296" s="17">
        <v>-0.40208616180365309</v>
      </c>
      <c r="BF296" s="17">
        <v>-5.740097437835049E-2</v>
      </c>
      <c r="BK296" s="20">
        <v>0.99944479454219526</v>
      </c>
      <c r="BL296" s="20">
        <v>5.609219333011211E-4</v>
      </c>
      <c r="BN296" s="21">
        <f t="shared" si="14"/>
        <v>0</v>
      </c>
    </row>
    <row r="297" spans="1:66">
      <c r="A297" s="14">
        <v>13.77</v>
      </c>
      <c r="B297" s="14">
        <v>13.27</v>
      </c>
      <c r="C297" s="14">
        <v>88.06</v>
      </c>
      <c r="D297" s="14">
        <v>582.70000000000005</v>
      </c>
      <c r="E297" s="14">
        <v>6.2210000000000001E-2</v>
      </c>
      <c r="F297" s="14">
        <v>1.0630000000000001E-2</v>
      </c>
      <c r="G297" s="14">
        <v>1.917E-2</v>
      </c>
      <c r="H297" s="14">
        <v>14.67</v>
      </c>
      <c r="I297" s="14">
        <v>661.1</v>
      </c>
      <c r="J297" s="14">
        <v>5.8020000000000002E-2</v>
      </c>
      <c r="M297" s="16">
        <v>0</v>
      </c>
      <c r="O297" s="12">
        <f t="shared" si="12"/>
        <v>1</v>
      </c>
      <c r="P297" s="12">
        <f t="shared" si="13"/>
        <v>0</v>
      </c>
      <c r="R297" s="17">
        <v>-1.4643074708783446</v>
      </c>
      <c r="S297" s="17">
        <v>1.0359333700219733</v>
      </c>
      <c r="T297" s="17">
        <v>0.4503249130137873</v>
      </c>
      <c r="U297" s="17">
        <v>0.47751119115197871</v>
      </c>
      <c r="V297" s="17">
        <v>1.5052132201123889</v>
      </c>
      <c r="W297" s="17">
        <v>-1.2567352733816861</v>
      </c>
      <c r="X297" s="17">
        <v>-1.4659127711484521</v>
      </c>
      <c r="Y297" s="17">
        <v>0.877385815472147</v>
      </c>
      <c r="Z297" s="17">
        <v>1.7463530467411736</v>
      </c>
      <c r="AA297" s="17">
        <v>1.2163845753889837</v>
      </c>
      <c r="AB297" s="17">
        <v>-0.28839333793737798</v>
      </c>
      <c r="AC297" s="17">
        <v>1.0652147513376473</v>
      </c>
      <c r="AD297" s="17">
        <v>-0.81583654438301023</v>
      </c>
      <c r="AE297" s="17">
        <v>1.6894094608623824</v>
      </c>
      <c r="AF297" s="17">
        <v>0.2496334827590041</v>
      </c>
      <c r="AG297" s="17">
        <v>0.29010426800531797</v>
      </c>
      <c r="AH297" s="17">
        <v>0.55723475600471262</v>
      </c>
      <c r="AI297" s="17">
        <v>-1.603629768829455</v>
      </c>
      <c r="AJ297" s="17">
        <v>-0.55690825498325469</v>
      </c>
      <c r="AK297" s="17">
        <v>0.41256201738018505</v>
      </c>
      <c r="AM297" s="17">
        <v>-0.75964459574455845</v>
      </c>
      <c r="AN297" s="17">
        <v>0.7420623350356309</v>
      </c>
      <c r="AO297" s="17">
        <v>0.83766067873378014</v>
      </c>
      <c r="AP297" s="17">
        <v>0.33866368841065919</v>
      </c>
      <c r="AQ297" s="17">
        <v>0.89574605121123985</v>
      </c>
      <c r="AR297" s="17">
        <v>-0.57724859838657427</v>
      </c>
      <c r="AS297" s="17">
        <v>-0.78809948167694399</v>
      </c>
      <c r="AT297" s="17">
        <v>0.89069994510975703</v>
      </c>
      <c r="AU297" s="17">
        <v>0.7164340009800092</v>
      </c>
      <c r="AV297" s="17">
        <v>0.94570088511260342</v>
      </c>
      <c r="AW297" s="17">
        <v>-0.83869297822252464</v>
      </c>
      <c r="AX297" s="17">
        <v>0.93133049953405667</v>
      </c>
      <c r="AY297" s="17">
        <v>-0.72872997000573803</v>
      </c>
      <c r="AZ297" s="17">
        <v>0.9022725312396952</v>
      </c>
      <c r="BA297" s="17">
        <v>0.92144488122095369</v>
      </c>
      <c r="BB297" s="17">
        <v>0.87430609613790444</v>
      </c>
      <c r="BC297" s="17">
        <v>0.3643662174570127</v>
      </c>
      <c r="BD297" s="17">
        <v>-0.94564434288285049</v>
      </c>
      <c r="BE297" s="17">
        <v>-0.44638800446374727</v>
      </c>
      <c r="BF297" s="17">
        <v>0.19256964844529464</v>
      </c>
      <c r="BK297" s="20">
        <v>0.9734856446150344</v>
      </c>
      <c r="BL297" s="20">
        <v>2.646984189475075E-2</v>
      </c>
      <c r="BN297" s="21">
        <f t="shared" si="14"/>
        <v>0</v>
      </c>
    </row>
    <row r="298" spans="1:66">
      <c r="A298" s="14">
        <v>10.91</v>
      </c>
      <c r="B298" s="14">
        <v>12.35</v>
      </c>
      <c r="C298" s="14">
        <v>69.14</v>
      </c>
      <c r="D298" s="14">
        <v>363.7</v>
      </c>
      <c r="E298" s="14">
        <v>4.7210000000000002E-2</v>
      </c>
      <c r="F298" s="14">
        <v>1.2359999999999999E-2</v>
      </c>
      <c r="G298" s="14">
        <v>1.3690000000000001E-2</v>
      </c>
      <c r="H298" s="14">
        <v>11.37</v>
      </c>
      <c r="I298" s="14">
        <v>392.2</v>
      </c>
      <c r="J298" s="14">
        <v>3.1940000000000003E-2</v>
      </c>
      <c r="M298" s="16">
        <v>0</v>
      </c>
      <c r="O298" s="12">
        <f t="shared" si="12"/>
        <v>1</v>
      </c>
      <c r="P298" s="12">
        <f t="shared" si="13"/>
        <v>0</v>
      </c>
      <c r="R298" s="17">
        <v>-1.4643074708783446</v>
      </c>
      <c r="S298" s="17">
        <v>1.0359333700219733</v>
      </c>
      <c r="T298" s="17">
        <v>0.4503249130137873</v>
      </c>
      <c r="U298" s="17">
        <v>0.47751119115197871</v>
      </c>
      <c r="V298" s="17">
        <v>1.5052132201123889</v>
      </c>
      <c r="W298" s="17">
        <v>-1.2567352733816861</v>
      </c>
      <c r="X298" s="17">
        <v>-1.4659127711484521</v>
      </c>
      <c r="Y298" s="17">
        <v>0.877385815472147</v>
      </c>
      <c r="Z298" s="17">
        <v>1.7463530467411736</v>
      </c>
      <c r="AA298" s="17">
        <v>1.2163845753889837</v>
      </c>
      <c r="AB298" s="17">
        <v>-0.28839333793737798</v>
      </c>
      <c r="AC298" s="17">
        <v>1.0652147513376473</v>
      </c>
      <c r="AD298" s="17">
        <v>-0.81583654438301023</v>
      </c>
      <c r="AE298" s="17">
        <v>1.6894094608623824</v>
      </c>
      <c r="AF298" s="17">
        <v>0.2496334827590041</v>
      </c>
      <c r="AG298" s="17">
        <v>0.29010426800531797</v>
      </c>
      <c r="AH298" s="17">
        <v>0.55723475600471262</v>
      </c>
      <c r="AI298" s="17">
        <v>-1.603629768829455</v>
      </c>
      <c r="AJ298" s="17">
        <v>-0.55690825498325469</v>
      </c>
      <c r="AK298" s="17">
        <v>0.41256201738018505</v>
      </c>
      <c r="AM298" s="17">
        <v>-0.7075494557035098</v>
      </c>
      <c r="AN298" s="17">
        <v>0.70873653714334917</v>
      </c>
      <c r="AO298" s="17">
        <v>0.82563806993621081</v>
      </c>
      <c r="AP298" s="17">
        <v>0.30658150831606712</v>
      </c>
      <c r="AQ298" s="17">
        <v>0.87413733941307159</v>
      </c>
      <c r="AR298" s="17">
        <v>-0.50331757224616092</v>
      </c>
      <c r="AS298" s="17">
        <v>-0.74241380776469923</v>
      </c>
      <c r="AT298" s="17">
        <v>0.88301271535030823</v>
      </c>
      <c r="AU298" s="17">
        <v>0.63776033486991202</v>
      </c>
      <c r="AV298" s="17">
        <v>0.93933285434475267</v>
      </c>
      <c r="AW298" s="17">
        <v>-0.84361353142713691</v>
      </c>
      <c r="AX298" s="17">
        <v>0.92494533114121713</v>
      </c>
      <c r="AY298" s="17">
        <v>-0.70502494234716717</v>
      </c>
      <c r="AZ298" s="17">
        <v>0.87793260743167523</v>
      </c>
      <c r="BA298" s="17">
        <v>0.92662501162321609</v>
      </c>
      <c r="BB298" s="17">
        <v>0.87934396751226163</v>
      </c>
      <c r="BC298" s="17">
        <v>0.32657175011279466</v>
      </c>
      <c r="BD298" s="17">
        <v>-0.93437541806900803</v>
      </c>
      <c r="BE298" s="17">
        <v>-0.41451712742437535</v>
      </c>
      <c r="BF298" s="17">
        <v>0.29834297757552491</v>
      </c>
      <c r="BK298" s="20">
        <v>-2.7901113924522318E-2</v>
      </c>
      <c r="BL298" s="20">
        <v>1.027809895992297</v>
      </c>
      <c r="BN298" s="21">
        <f t="shared" si="14"/>
        <v>1</v>
      </c>
    </row>
    <row r="299" spans="1:66">
      <c r="A299" s="14">
        <v>11.76</v>
      </c>
      <c r="B299" s="14">
        <v>18.14</v>
      </c>
      <c r="C299" s="14">
        <v>75</v>
      </c>
      <c r="D299" s="14">
        <v>431.1</v>
      </c>
      <c r="E299" s="14">
        <v>5.9139999999999998E-2</v>
      </c>
      <c r="F299" s="14">
        <v>2.6849999999999999E-2</v>
      </c>
      <c r="G299" s="14">
        <v>3.5150000000000001E-2</v>
      </c>
      <c r="H299" s="14">
        <v>13.36</v>
      </c>
      <c r="I299" s="14">
        <v>553.6</v>
      </c>
      <c r="J299" s="14">
        <v>7.1599999999999997E-2</v>
      </c>
      <c r="M299" s="16">
        <v>1</v>
      </c>
      <c r="O299" s="12">
        <f t="shared" si="12"/>
        <v>0</v>
      </c>
      <c r="P299" s="12">
        <f t="shared" si="13"/>
        <v>1</v>
      </c>
      <c r="R299" s="17">
        <v>-1.4643074708783446</v>
      </c>
      <c r="S299" s="17">
        <v>1.0359333700219733</v>
      </c>
      <c r="T299" s="17">
        <v>-1.5496750869862126</v>
      </c>
      <c r="U299" s="17">
        <v>0.47751119115197871</v>
      </c>
      <c r="V299" s="17">
        <v>1.5052132201123889</v>
      </c>
      <c r="W299" s="17">
        <v>-1.2567352733816861</v>
      </c>
      <c r="X299" s="17">
        <v>-1.4659127711484521</v>
      </c>
      <c r="Y299" s="17">
        <v>0.877385815472147</v>
      </c>
      <c r="Z299" s="17">
        <v>1.7463530467411736</v>
      </c>
      <c r="AA299" s="17">
        <v>1.2163845753889837</v>
      </c>
      <c r="AB299" s="17">
        <v>-0.28839333793737798</v>
      </c>
      <c r="AC299" s="17">
        <v>1.0652147513376473</v>
      </c>
      <c r="AD299" s="17">
        <v>-0.81583654438301023</v>
      </c>
      <c r="AE299" s="17">
        <v>1.6894094608623824</v>
      </c>
      <c r="AF299" s="17">
        <v>0.2496334827590041</v>
      </c>
      <c r="AG299" s="17">
        <v>0.29010426800531797</v>
      </c>
      <c r="AH299" s="17">
        <v>0.55723475600471262</v>
      </c>
      <c r="AI299" s="17">
        <v>-1.603629768829455</v>
      </c>
      <c r="AJ299" s="17">
        <v>-0.55690825498325469</v>
      </c>
      <c r="AK299" s="17">
        <v>-1.5874379826198148</v>
      </c>
      <c r="AM299" s="17">
        <v>-0.71978234024016718</v>
      </c>
      <c r="AN299" s="17">
        <v>0.70615112913648892</v>
      </c>
      <c r="AO299" s="17">
        <v>0.80078743006645237</v>
      </c>
      <c r="AP299" s="17">
        <v>0.31163313500898215</v>
      </c>
      <c r="AQ299" s="17">
        <v>0.87098480040051529</v>
      </c>
      <c r="AR299" s="17">
        <v>-0.53202051852264354</v>
      </c>
      <c r="AS299" s="17">
        <v>-0.75064778332475934</v>
      </c>
      <c r="AT299" s="17">
        <v>0.86896502925646768</v>
      </c>
      <c r="AU299" s="17">
        <v>0.66970619688815314</v>
      </c>
      <c r="AV299" s="17">
        <v>0.930956687346711</v>
      </c>
      <c r="AW299" s="17">
        <v>-0.81631072782710357</v>
      </c>
      <c r="AX299" s="17">
        <v>0.91452204410072724</v>
      </c>
      <c r="AY299" s="17">
        <v>-0.69488109135214982</v>
      </c>
      <c r="AZ299" s="17">
        <v>0.87752309067707646</v>
      </c>
      <c r="BA299" s="17">
        <v>0.90663290620727954</v>
      </c>
      <c r="BB299" s="17">
        <v>0.85457319150032296</v>
      </c>
      <c r="BC299" s="17">
        <v>0.33476930374169767</v>
      </c>
      <c r="BD299" s="17">
        <v>-0.92961485807705913</v>
      </c>
      <c r="BE299" s="17">
        <v>-0.41471690125334243</v>
      </c>
      <c r="BF299" s="17">
        <v>-0.24376626777228522</v>
      </c>
      <c r="BK299" s="20">
        <v>0.96522829780346375</v>
      </c>
      <c r="BL299" s="20">
        <v>3.4624434634146717E-2</v>
      </c>
      <c r="BN299" s="21">
        <f t="shared" si="14"/>
        <v>0</v>
      </c>
    </row>
    <row r="300" spans="1:66">
      <c r="A300" s="14">
        <v>14.26</v>
      </c>
      <c r="B300" s="14">
        <v>18.170000000000002</v>
      </c>
      <c r="C300" s="14">
        <v>91.22</v>
      </c>
      <c r="D300" s="14">
        <v>633.1</v>
      </c>
      <c r="E300" s="14">
        <v>5.2200000000000003E-2</v>
      </c>
      <c r="F300" s="14">
        <v>2.4750000000000001E-2</v>
      </c>
      <c r="G300" s="14">
        <v>1.374E-2</v>
      </c>
      <c r="H300" s="14">
        <v>16.22</v>
      </c>
      <c r="I300" s="14">
        <v>819.7</v>
      </c>
      <c r="J300" s="14">
        <v>7.5300000000000006E-2</v>
      </c>
      <c r="M300" s="16">
        <v>0</v>
      </c>
      <c r="O300" s="12">
        <f t="shared" si="12"/>
        <v>1</v>
      </c>
      <c r="P300" s="12">
        <f t="shared" si="13"/>
        <v>0</v>
      </c>
      <c r="R300" s="17">
        <v>-0.86216493245391179</v>
      </c>
      <c r="S300" s="17">
        <v>0.86592397083683859</v>
      </c>
      <c r="T300" s="17">
        <v>1.1492407566427856</v>
      </c>
      <c r="U300" s="17">
        <v>0.30971288832147947</v>
      </c>
      <c r="V300" s="17">
        <v>1.322038261257461</v>
      </c>
      <c r="W300" s="17">
        <v>-0.54000870393571332</v>
      </c>
      <c r="X300" s="17">
        <v>-0.93446499101467595</v>
      </c>
      <c r="Y300" s="17">
        <v>1.3623707400649003</v>
      </c>
      <c r="Z300" s="17">
        <v>0.73556995189170193</v>
      </c>
      <c r="AA300" s="17">
        <v>1.6983871669386827</v>
      </c>
      <c r="AB300" s="17">
        <v>-1.2113068807979621</v>
      </c>
      <c r="AC300" s="17">
        <v>1.5906603286575782</v>
      </c>
      <c r="AD300" s="17">
        <v>-0.8593627097567913</v>
      </c>
      <c r="AE300" s="17">
        <v>1.3374666300864129</v>
      </c>
      <c r="AF300" s="17">
        <v>1.6049118769290147</v>
      </c>
      <c r="AG300" s="17">
        <v>1.3481853892245086</v>
      </c>
      <c r="AH300" s="17">
        <v>0.33128292594394448</v>
      </c>
      <c r="AI300" s="17">
        <v>-1.6572512841003593</v>
      </c>
      <c r="AJ300" s="17">
        <v>-0.4315878441673433</v>
      </c>
      <c r="AK300" s="17">
        <v>0.36811349721158693</v>
      </c>
      <c r="AM300" s="17">
        <v>-0.69963604204108232</v>
      </c>
      <c r="AN300" s="17">
        <v>0.72054121521671155</v>
      </c>
      <c r="AO300" s="17">
        <v>0.87945668498101182</v>
      </c>
      <c r="AP300" s="17">
        <v>0.30551067169005541</v>
      </c>
      <c r="AQ300" s="17">
        <v>0.88409146125254168</v>
      </c>
      <c r="AR300" s="17">
        <v>-0.47210992574319205</v>
      </c>
      <c r="AS300" s="17">
        <v>-0.73976646417610048</v>
      </c>
      <c r="AT300" s="17">
        <v>0.90446809522913429</v>
      </c>
      <c r="AU300" s="17">
        <v>0.60146272610403184</v>
      </c>
      <c r="AV300" s="17">
        <v>0.95216378975436222</v>
      </c>
      <c r="AW300" s="17">
        <v>-0.8795495943332734</v>
      </c>
      <c r="AX300" s="17">
        <v>0.94061594405754911</v>
      </c>
      <c r="AY300" s="17">
        <v>-0.72619649996711033</v>
      </c>
      <c r="AZ300" s="17">
        <v>0.88442977986166849</v>
      </c>
      <c r="BA300" s="17">
        <v>0.95000909396466715</v>
      </c>
      <c r="BB300" s="17">
        <v>0.91072183610310475</v>
      </c>
      <c r="BC300" s="17">
        <v>0.32162705333778868</v>
      </c>
      <c r="BD300" s="17">
        <v>-0.94390785749411421</v>
      </c>
      <c r="BE300" s="17">
        <v>-0.42137081803302684</v>
      </c>
      <c r="BF300" s="17">
        <v>0.52034268486937107</v>
      </c>
      <c r="BK300" s="20">
        <v>6.8389701711160905E-2</v>
      </c>
      <c r="BL300" s="20">
        <v>0.93169862234303336</v>
      </c>
      <c r="BN300" s="21">
        <f t="shared" si="14"/>
        <v>1</v>
      </c>
    </row>
    <row r="301" spans="1:66">
      <c r="A301" s="14">
        <v>10.51</v>
      </c>
      <c r="B301" s="14">
        <v>23.09</v>
      </c>
      <c r="C301" s="14">
        <v>66.849999999999994</v>
      </c>
      <c r="D301" s="14">
        <v>334.2</v>
      </c>
      <c r="E301" s="14">
        <v>6.7970000000000003E-2</v>
      </c>
      <c r="F301" s="14">
        <v>2.495E-2</v>
      </c>
      <c r="G301" s="14">
        <v>1.8749999999999999E-2</v>
      </c>
      <c r="H301" s="14">
        <v>10.93</v>
      </c>
      <c r="I301" s="14">
        <v>362.7</v>
      </c>
      <c r="J301" s="14">
        <v>3.125E-2</v>
      </c>
      <c r="M301" s="16">
        <v>0</v>
      </c>
      <c r="O301" s="12">
        <f t="shared" si="12"/>
        <v>1</v>
      </c>
      <c r="P301" s="12">
        <f t="shared" si="13"/>
        <v>0</v>
      </c>
      <c r="R301" s="17">
        <v>-0.86216493245391179</v>
      </c>
      <c r="S301" s="17">
        <v>0.86592397083683859</v>
      </c>
      <c r="T301" s="17">
        <v>1.1492407566427856</v>
      </c>
      <c r="U301" s="17">
        <v>0.30971288832147947</v>
      </c>
      <c r="V301" s="17">
        <v>1.322038261257461</v>
      </c>
      <c r="W301" s="17">
        <v>-0.54000870393571332</v>
      </c>
      <c r="X301" s="17">
        <v>-0.93446499101467595</v>
      </c>
      <c r="Y301" s="17">
        <v>1.3623707400649003</v>
      </c>
      <c r="Z301" s="17">
        <v>0.73556995189170193</v>
      </c>
      <c r="AA301" s="17">
        <v>1.6983871669386827</v>
      </c>
      <c r="AB301" s="17">
        <v>-1.2113068807979621</v>
      </c>
      <c r="AC301" s="17">
        <v>1.5906603286575782</v>
      </c>
      <c r="AD301" s="17">
        <v>-0.8593627097567913</v>
      </c>
      <c r="AE301" s="17">
        <v>1.3374666300864129</v>
      </c>
      <c r="AF301" s="17">
        <v>1.6049118769290147</v>
      </c>
      <c r="AG301" s="17">
        <v>1.3481853892245086</v>
      </c>
      <c r="AH301" s="17">
        <v>0.33128292594394448</v>
      </c>
      <c r="AI301" s="17">
        <v>-1.6572512841003593</v>
      </c>
      <c r="AJ301" s="17">
        <v>-0.4315878441673433</v>
      </c>
      <c r="AK301" s="17">
        <v>0.36873422441298942</v>
      </c>
      <c r="AM301" s="17">
        <v>-0.69665922006693726</v>
      </c>
      <c r="AN301" s="17">
        <v>0.68148057427859654</v>
      </c>
      <c r="AO301" s="17">
        <v>0.77551689153701198</v>
      </c>
      <c r="AP301" s="17">
        <v>0.2964028631217196</v>
      </c>
      <c r="AQ301" s="17">
        <v>0.85224898793899773</v>
      </c>
      <c r="AR301" s="17">
        <v>-0.51141996110601395</v>
      </c>
      <c r="AS301" s="17">
        <v>-0.72771826576679755</v>
      </c>
      <c r="AT301" s="17">
        <v>0.84891963014315097</v>
      </c>
      <c r="AU301" s="17">
        <v>0.64793285968628045</v>
      </c>
      <c r="AV301" s="17">
        <v>0.917080443560501</v>
      </c>
      <c r="AW301" s="17">
        <v>-0.79188979494606226</v>
      </c>
      <c r="AX301" s="17">
        <v>0.89865371005632988</v>
      </c>
      <c r="AY301" s="17">
        <v>-0.66938375419624019</v>
      </c>
      <c r="AZ301" s="17">
        <v>0.85954130342868984</v>
      </c>
      <c r="BA301" s="17">
        <v>0.88882903102900934</v>
      </c>
      <c r="BB301" s="17">
        <v>0.83236979021324342</v>
      </c>
      <c r="BC301" s="17">
        <v>0.31882951221498079</v>
      </c>
      <c r="BD301" s="17">
        <v>-0.9160038078157039</v>
      </c>
      <c r="BE301" s="17">
        <v>-0.39496179363306633</v>
      </c>
      <c r="BF301" s="17">
        <v>0.20038359303924397</v>
      </c>
      <c r="BK301" s="20">
        <v>5.9816021251067449E-2</v>
      </c>
      <c r="BL301" s="20">
        <v>0.94022664924751298</v>
      </c>
      <c r="BN301" s="21">
        <f t="shared" si="14"/>
        <v>1</v>
      </c>
    </row>
    <row r="302" spans="1:66">
      <c r="A302" s="14">
        <v>19.53</v>
      </c>
      <c r="B302" s="14">
        <v>18.899999999999999</v>
      </c>
      <c r="C302" s="14">
        <v>129.5</v>
      </c>
      <c r="D302" s="14">
        <v>1217</v>
      </c>
      <c r="E302" s="14">
        <v>0.16420000000000001</v>
      </c>
      <c r="F302" s="14">
        <v>0.21970000000000001</v>
      </c>
      <c r="G302" s="14">
        <v>0.1062</v>
      </c>
      <c r="H302" s="14">
        <v>25.93</v>
      </c>
      <c r="I302" s="14">
        <v>2053</v>
      </c>
      <c r="J302" s="14">
        <v>0.19800000000000001</v>
      </c>
      <c r="M302" s="16">
        <v>1</v>
      </c>
      <c r="O302" s="12">
        <f t="shared" si="12"/>
        <v>0</v>
      </c>
      <c r="P302" s="12">
        <f t="shared" si="13"/>
        <v>1</v>
      </c>
      <c r="R302" s="17">
        <v>-0.86216493245391179</v>
      </c>
      <c r="S302" s="17">
        <v>0.86592397083683859</v>
      </c>
      <c r="T302" s="17">
        <v>1.1492407566427856</v>
      </c>
      <c r="U302" s="17">
        <v>0.30971288832147947</v>
      </c>
      <c r="V302" s="17">
        <v>1.322038261257461</v>
      </c>
      <c r="W302" s="17">
        <v>-0.54000870393571332</v>
      </c>
      <c r="X302" s="17">
        <v>-0.93446499101467595</v>
      </c>
      <c r="Y302" s="17">
        <v>1.3623707400649003</v>
      </c>
      <c r="Z302" s="17">
        <v>0.73556995189170193</v>
      </c>
      <c r="AA302" s="17">
        <v>1.6983871669386827</v>
      </c>
      <c r="AB302" s="17">
        <v>-1.2113068807979621</v>
      </c>
      <c r="AC302" s="17">
        <v>1.5906603286575782</v>
      </c>
      <c r="AD302" s="17">
        <v>-0.8593627097567913</v>
      </c>
      <c r="AE302" s="17">
        <v>1.3374666300864129</v>
      </c>
      <c r="AF302" s="17">
        <v>1.6049118769290147</v>
      </c>
      <c r="AG302" s="17">
        <v>1.3481853892245086</v>
      </c>
      <c r="AH302" s="17">
        <v>0.33128292594394448</v>
      </c>
      <c r="AI302" s="17">
        <v>-1.6572512841003593</v>
      </c>
      <c r="AJ302" s="17">
        <v>-0.4315878441673433</v>
      </c>
      <c r="AK302" s="17">
        <v>0.36873422441298942</v>
      </c>
      <c r="AM302" s="17">
        <v>-0.89930131643563749</v>
      </c>
      <c r="AN302" s="17">
        <v>0.75567453110714844</v>
      </c>
      <c r="AO302" s="17">
        <v>-0.25311193026354833</v>
      </c>
      <c r="AP302" s="17">
        <v>0.44061653189348832</v>
      </c>
      <c r="AQ302" s="17">
        <v>0.88950436454408577</v>
      </c>
      <c r="AR302" s="17">
        <v>-0.86215677751206565</v>
      </c>
      <c r="AS302" s="17">
        <v>-0.89675993535859055</v>
      </c>
      <c r="AT302" s="17">
        <v>0.60765610691785488</v>
      </c>
      <c r="AU302" s="17">
        <v>0.94802254256409557</v>
      </c>
      <c r="AV302" s="17">
        <v>0.76863994046522865</v>
      </c>
      <c r="AW302" s="17">
        <v>-7.3924829711238885E-2</v>
      </c>
      <c r="AX302" s="17">
        <v>0.70099525751784131</v>
      </c>
      <c r="AY302" s="17">
        <v>-0.62908550693623266</v>
      </c>
      <c r="AZ302" s="17">
        <v>0.92512969823011859</v>
      </c>
      <c r="BA302" s="17">
        <v>-5.0800214439962424E-2</v>
      </c>
      <c r="BB302" s="17">
        <v>4.766935481828987E-2</v>
      </c>
      <c r="BC302" s="17">
        <v>0.5066345477727211</v>
      </c>
      <c r="BD302" s="17">
        <v>-0.89784023428434212</v>
      </c>
      <c r="BE302" s="17">
        <v>-0.49079120841908119</v>
      </c>
      <c r="BF302" s="17">
        <v>2.4336175451766976E-2</v>
      </c>
      <c r="BK302" s="20">
        <v>1.0368178127211578</v>
      </c>
      <c r="BL302" s="20">
        <v>-3.6923217835238657E-2</v>
      </c>
      <c r="BN302" s="21">
        <f t="shared" si="14"/>
        <v>0</v>
      </c>
    </row>
    <row r="303" spans="1:66">
      <c r="A303" s="14">
        <v>12.46</v>
      </c>
      <c r="B303" s="14">
        <v>19.89</v>
      </c>
      <c r="C303" s="14">
        <v>80.430000000000007</v>
      </c>
      <c r="D303" s="14">
        <v>471.3</v>
      </c>
      <c r="E303" s="14">
        <v>0.1014</v>
      </c>
      <c r="F303" s="14">
        <v>6.83E-2</v>
      </c>
      <c r="G303" s="14">
        <v>3.099E-2</v>
      </c>
      <c r="H303" s="14">
        <v>13.46</v>
      </c>
      <c r="I303" s="14">
        <v>551.29999999999995</v>
      </c>
      <c r="J303" s="14">
        <v>7.6249999999999998E-2</v>
      </c>
      <c r="M303" s="16">
        <v>0</v>
      </c>
      <c r="O303" s="12">
        <f t="shared" si="12"/>
        <v>1</v>
      </c>
      <c r="P303" s="12">
        <f t="shared" si="13"/>
        <v>0</v>
      </c>
      <c r="R303" s="17">
        <v>-0.86216493245391179</v>
      </c>
      <c r="S303" s="17">
        <v>0.86592397083683859</v>
      </c>
      <c r="T303" s="17">
        <v>1.1492407566427856</v>
      </c>
      <c r="U303" s="17">
        <v>0.30971288832147947</v>
      </c>
      <c r="V303" s="17">
        <v>1.322038261257461</v>
      </c>
      <c r="W303" s="17">
        <v>-0.54000870393571332</v>
      </c>
      <c r="X303" s="17">
        <v>-0.93446499101467595</v>
      </c>
      <c r="Y303" s="17">
        <v>1.3623707400649003</v>
      </c>
      <c r="Z303" s="17">
        <v>0.73556995189170193</v>
      </c>
      <c r="AA303" s="17">
        <v>1.6983871669386827</v>
      </c>
      <c r="AB303" s="17">
        <v>-1.2113068807979621</v>
      </c>
      <c r="AC303" s="17">
        <v>1.5906603286575782</v>
      </c>
      <c r="AD303" s="17">
        <v>-0.8593627097567913</v>
      </c>
      <c r="AE303" s="17">
        <v>1.3374666300864129</v>
      </c>
      <c r="AF303" s="17">
        <v>1.6049118769290147</v>
      </c>
      <c r="AG303" s="17">
        <v>1.3481853892245086</v>
      </c>
      <c r="AH303" s="17">
        <v>0.33128292594394448</v>
      </c>
      <c r="AI303" s="17">
        <v>-1.6572512841003593</v>
      </c>
      <c r="AJ303" s="17">
        <v>-0.4315878441673433</v>
      </c>
      <c r="AK303" s="17">
        <v>0.36872342086607668</v>
      </c>
      <c r="AM303" s="17">
        <v>-0.66021593398900402</v>
      </c>
      <c r="AN303" s="17">
        <v>0.65193202097915559</v>
      </c>
      <c r="AO303" s="17">
        <v>0.74563793556992719</v>
      </c>
      <c r="AP303" s="17">
        <v>0.27561360484428188</v>
      </c>
      <c r="AQ303" s="17">
        <v>0.8292195977592729</v>
      </c>
      <c r="AR303" s="17">
        <v>-0.47062492324793148</v>
      </c>
      <c r="AS303" s="17">
        <v>-0.69351395649991199</v>
      </c>
      <c r="AT303" s="17">
        <v>0.83178589534220537</v>
      </c>
      <c r="AU303" s="17">
        <v>0.60265825656321681</v>
      </c>
      <c r="AV303" s="17">
        <v>0.9039570498028332</v>
      </c>
      <c r="AW303" s="17">
        <v>-0.77834550242437961</v>
      </c>
      <c r="AX303" s="17">
        <v>0.88440871554284406</v>
      </c>
      <c r="AY303" s="17">
        <v>-0.64340499887631397</v>
      </c>
      <c r="AZ303" s="17">
        <v>0.83558719508759971</v>
      </c>
      <c r="BA303" s="17">
        <v>0.8795984993898549</v>
      </c>
      <c r="BB303" s="17">
        <v>0.82023411831418191</v>
      </c>
      <c r="BC303" s="17">
        <v>0.29547794272128586</v>
      </c>
      <c r="BD303" s="17">
        <v>-0.90043819908328837</v>
      </c>
      <c r="BE303" s="17">
        <v>-0.37116255905744888</v>
      </c>
      <c r="BF303" s="17">
        <v>0.10566560876992763</v>
      </c>
      <c r="BK303" s="20">
        <v>0.90318128077890347</v>
      </c>
      <c r="BL303" s="20">
        <v>9.6662973396367452E-2</v>
      </c>
      <c r="BN303" s="21">
        <f t="shared" si="14"/>
        <v>0</v>
      </c>
    </row>
    <row r="304" spans="1:66">
      <c r="A304" s="14">
        <v>20.09</v>
      </c>
      <c r="B304" s="14">
        <v>23.86</v>
      </c>
      <c r="C304" s="14">
        <v>134.69999999999999</v>
      </c>
      <c r="D304" s="14">
        <v>1247</v>
      </c>
      <c r="E304" s="14">
        <v>0.18379999999999999</v>
      </c>
      <c r="F304" s="14">
        <v>0.2283</v>
      </c>
      <c r="G304" s="14">
        <v>0.128</v>
      </c>
      <c r="H304" s="14">
        <v>23.68</v>
      </c>
      <c r="I304" s="14">
        <v>1696</v>
      </c>
      <c r="J304" s="14">
        <v>0.1923</v>
      </c>
      <c r="M304" s="16">
        <v>1</v>
      </c>
      <c r="O304" s="12">
        <f t="shared" si="12"/>
        <v>0</v>
      </c>
      <c r="P304" s="12">
        <f t="shared" si="13"/>
        <v>1</v>
      </c>
      <c r="R304" s="17">
        <v>-0.86216493245391179</v>
      </c>
      <c r="S304" s="17">
        <v>0.86592397083683859</v>
      </c>
      <c r="T304" s="17">
        <v>1.1492407566427856</v>
      </c>
      <c r="U304" s="17">
        <v>0.30971288832147947</v>
      </c>
      <c r="V304" s="17">
        <v>1.322038261257461</v>
      </c>
      <c r="W304" s="17">
        <v>-0.54000870393571332</v>
      </c>
      <c r="X304" s="17">
        <v>-0.93446499101467595</v>
      </c>
      <c r="Y304" s="17">
        <v>1.3623707400649003</v>
      </c>
      <c r="Z304" s="17">
        <v>0.73556995189170193</v>
      </c>
      <c r="AA304" s="17">
        <v>1.6983871669386827</v>
      </c>
      <c r="AB304" s="17">
        <v>-1.2113068807979621</v>
      </c>
      <c r="AC304" s="17">
        <v>1.5906603286575782</v>
      </c>
      <c r="AD304" s="17">
        <v>-0.8593627097567913</v>
      </c>
      <c r="AE304" s="17">
        <v>1.3374666300864129</v>
      </c>
      <c r="AF304" s="17">
        <v>1.6049118769290147</v>
      </c>
      <c r="AG304" s="17">
        <v>1.3481853892245086</v>
      </c>
      <c r="AH304" s="17">
        <v>0.33128292594394448</v>
      </c>
      <c r="AI304" s="17">
        <v>-1.6572512841003593</v>
      </c>
      <c r="AJ304" s="17">
        <v>-0.4315878441673433</v>
      </c>
      <c r="AK304" s="17">
        <v>0.36873422441298942</v>
      </c>
      <c r="AM304" s="17">
        <v>-0.86795771683930911</v>
      </c>
      <c r="AN304" s="17">
        <v>0.77786289358582883</v>
      </c>
      <c r="AO304" s="17">
        <v>0.66551015562751537</v>
      </c>
      <c r="AP304" s="17">
        <v>0.41650930009259651</v>
      </c>
      <c r="AQ304" s="17">
        <v>0.91155675960459681</v>
      </c>
      <c r="AR304" s="17">
        <v>-0.78439860098972847</v>
      </c>
      <c r="AS304" s="17">
        <v>-0.87518874182748385</v>
      </c>
      <c r="AT304" s="17">
        <v>0.81211974997303404</v>
      </c>
      <c r="AU304" s="17">
        <v>0.8981252997075535</v>
      </c>
      <c r="AV304" s="17">
        <v>0.90417951194675084</v>
      </c>
      <c r="AW304" s="17">
        <v>-0.5908221085709795</v>
      </c>
      <c r="AX304" s="17">
        <v>0.87414533563687857</v>
      </c>
      <c r="AY304" s="17">
        <v>-0.71149099727612708</v>
      </c>
      <c r="AZ304" s="17">
        <v>0.93101547367532811</v>
      </c>
      <c r="BA304" s="17">
        <v>0.6701421502624989</v>
      </c>
      <c r="BB304" s="17">
        <v>0.6261206962283149</v>
      </c>
      <c r="BC304" s="17">
        <v>0.4663559960401869</v>
      </c>
      <c r="BD304" s="17">
        <v>-0.93987506729610448</v>
      </c>
      <c r="BE304" s="17">
        <v>-0.49709774705780946</v>
      </c>
      <c r="BF304" s="17">
        <v>0.31733104829574565</v>
      </c>
      <c r="BK304" s="20">
        <v>0.82422252502636739</v>
      </c>
      <c r="BL304" s="20">
        <v>0.17563507260464625</v>
      </c>
      <c r="BN304" s="21">
        <f t="shared" si="14"/>
        <v>0</v>
      </c>
    </row>
    <row r="305" spans="1:66">
      <c r="A305" s="14">
        <v>10.49</v>
      </c>
      <c r="B305" s="14">
        <v>18.61</v>
      </c>
      <c r="C305" s="14">
        <v>66.86</v>
      </c>
      <c r="D305" s="14">
        <v>334.3</v>
      </c>
      <c r="E305" s="14">
        <v>6.6780000000000006E-2</v>
      </c>
      <c r="F305" s="14">
        <v>2.2970000000000001E-2</v>
      </c>
      <c r="G305" s="14">
        <v>1.78E-2</v>
      </c>
      <c r="H305" s="14">
        <v>11.06</v>
      </c>
      <c r="I305" s="14">
        <v>375.4</v>
      </c>
      <c r="J305" s="14">
        <v>6.5280000000000005E-2</v>
      </c>
      <c r="M305" s="16">
        <v>0</v>
      </c>
      <c r="O305" s="12">
        <f t="shared" si="12"/>
        <v>1</v>
      </c>
      <c r="P305" s="12">
        <f t="shared" si="13"/>
        <v>0</v>
      </c>
      <c r="R305" s="17">
        <v>-0.86216493245391179</v>
      </c>
      <c r="S305" s="17">
        <v>0.86592397083683859</v>
      </c>
      <c r="T305" s="17">
        <v>1.1492407566427856</v>
      </c>
      <c r="U305" s="17">
        <v>0.30971288832147947</v>
      </c>
      <c r="V305" s="17">
        <v>1.322038261257461</v>
      </c>
      <c r="W305" s="17">
        <v>-0.54000870393571332</v>
      </c>
      <c r="X305" s="17">
        <v>-0.93446499101467595</v>
      </c>
      <c r="Y305" s="17">
        <v>1.3623707400649003</v>
      </c>
      <c r="Z305" s="17">
        <v>0.73556995189170193</v>
      </c>
      <c r="AA305" s="17">
        <v>1.6983871669386827</v>
      </c>
      <c r="AB305" s="17">
        <v>-1.2113068807979621</v>
      </c>
      <c r="AC305" s="17">
        <v>1.5906603286575782</v>
      </c>
      <c r="AD305" s="17">
        <v>-0.8593627097567913</v>
      </c>
      <c r="AE305" s="17">
        <v>1.3374666300864129</v>
      </c>
      <c r="AF305" s="17">
        <v>1.6049118769290147</v>
      </c>
      <c r="AG305" s="17">
        <v>1.3481853892245086</v>
      </c>
      <c r="AH305" s="17">
        <v>0.33128292594394448</v>
      </c>
      <c r="AI305" s="17">
        <v>-1.6572512841003593</v>
      </c>
      <c r="AJ305" s="17">
        <v>-0.4315878441673433</v>
      </c>
      <c r="AK305" s="17">
        <v>0.36873127371087844</v>
      </c>
      <c r="AM305" s="17">
        <v>-0.75572360251113868</v>
      </c>
      <c r="AN305" s="17">
        <v>0.70962875802559899</v>
      </c>
      <c r="AO305" s="17">
        <v>0.76670839027127202</v>
      </c>
      <c r="AP305" s="17">
        <v>0.3298419605511973</v>
      </c>
      <c r="AQ305" s="17">
        <v>0.87048455283054293</v>
      </c>
      <c r="AR305" s="17">
        <v>-0.60369071129959162</v>
      </c>
      <c r="AS305" s="17">
        <v>-0.77783581165349092</v>
      </c>
      <c r="AT305" s="17">
        <v>0.8380502845604012</v>
      </c>
      <c r="AU305" s="17">
        <v>0.74441247322260318</v>
      </c>
      <c r="AV305" s="17">
        <v>0.91270509447002812</v>
      </c>
      <c r="AW305" s="17">
        <v>-0.74527948379088071</v>
      </c>
      <c r="AX305" s="17">
        <v>0.89123088649933524</v>
      </c>
      <c r="AY305" s="17">
        <v>-0.67990154283745052</v>
      </c>
      <c r="AZ305" s="17">
        <v>0.88328728174641769</v>
      </c>
      <c r="BA305" s="17">
        <v>0.84637408663102609</v>
      </c>
      <c r="BB305" s="17">
        <v>0.78703703245963752</v>
      </c>
      <c r="BC305" s="17">
        <v>0.36065089695222285</v>
      </c>
      <c r="BD305" s="17">
        <v>-0.9225398094476871</v>
      </c>
      <c r="BE305" s="17">
        <v>-0.42314987052017433</v>
      </c>
      <c r="BF305" s="17">
        <v>0.43444004783873091</v>
      </c>
      <c r="BK305" s="20">
        <v>0.98466328759095478</v>
      </c>
      <c r="BL305" s="20">
        <v>1.5314572340620065E-2</v>
      </c>
      <c r="BN305" s="21">
        <f t="shared" si="14"/>
        <v>0</v>
      </c>
    </row>
    <row r="306" spans="1:66">
      <c r="A306" s="14">
        <v>11.46</v>
      </c>
      <c r="B306" s="14">
        <v>18.16</v>
      </c>
      <c r="C306" s="14">
        <v>73.59</v>
      </c>
      <c r="D306" s="14">
        <v>403.1</v>
      </c>
      <c r="E306" s="14">
        <v>7.6939999999999995E-2</v>
      </c>
      <c r="F306" s="14">
        <v>3.3439999999999998E-2</v>
      </c>
      <c r="G306" s="14">
        <v>1.502E-2</v>
      </c>
      <c r="H306" s="14">
        <v>12.68</v>
      </c>
      <c r="I306" s="14">
        <v>489.8</v>
      </c>
      <c r="J306" s="14">
        <v>5.509E-2</v>
      </c>
      <c r="M306" s="16">
        <v>0</v>
      </c>
      <c r="O306" s="12">
        <f t="shared" si="12"/>
        <v>1</v>
      </c>
      <c r="P306" s="12">
        <f t="shared" si="13"/>
        <v>0</v>
      </c>
      <c r="R306" s="17">
        <v>-1.4643074708783446</v>
      </c>
      <c r="S306" s="17">
        <v>1.0359333700219733</v>
      </c>
      <c r="T306" s="17">
        <v>0.4503249130137873</v>
      </c>
      <c r="U306" s="17">
        <v>0.47751119115197871</v>
      </c>
      <c r="V306" s="17">
        <v>1.5052132201123889</v>
      </c>
      <c r="W306" s="17">
        <v>-1.2567352733816861</v>
      </c>
      <c r="X306" s="17">
        <v>-1.4659127711484521</v>
      </c>
      <c r="Y306" s="17">
        <v>0.877385815472147</v>
      </c>
      <c r="Z306" s="17">
        <v>1.7463530467411736</v>
      </c>
      <c r="AA306" s="17">
        <v>1.2163845753889837</v>
      </c>
      <c r="AB306" s="17">
        <v>-0.28839333793737798</v>
      </c>
      <c r="AC306" s="17">
        <v>1.0652147513376473</v>
      </c>
      <c r="AD306" s="17">
        <v>-0.81583654438301023</v>
      </c>
      <c r="AE306" s="17">
        <v>1.6894094608623824</v>
      </c>
      <c r="AF306" s="17">
        <v>0.2496334827590041</v>
      </c>
      <c r="AG306" s="17">
        <v>0.29010426800531797</v>
      </c>
      <c r="AH306" s="17">
        <v>0.55723475600471262</v>
      </c>
      <c r="AI306" s="17">
        <v>-1.603629768829455</v>
      </c>
      <c r="AJ306" s="17">
        <v>-0.55690825498325469</v>
      </c>
      <c r="AK306" s="17">
        <v>0.41256201738018505</v>
      </c>
      <c r="AM306" s="17">
        <v>-0.62951466550587321</v>
      </c>
      <c r="AN306" s="17">
        <v>0.67360542463441397</v>
      </c>
      <c r="AO306" s="17">
        <v>0.83462213482497161</v>
      </c>
      <c r="AP306" s="17">
        <v>0.26757076219611103</v>
      </c>
      <c r="AQ306" s="17">
        <v>0.85126603046912908</v>
      </c>
      <c r="AR306" s="17">
        <v>-0.385485452286007</v>
      </c>
      <c r="AS306" s="17">
        <v>-0.67680749541300966</v>
      </c>
      <c r="AT306" s="17">
        <v>0.88814159193314757</v>
      </c>
      <c r="AU306" s="17">
        <v>0.49891724048869607</v>
      </c>
      <c r="AV306" s="17">
        <v>0.94032582860742819</v>
      </c>
      <c r="AW306" s="17">
        <v>-0.8715449785605478</v>
      </c>
      <c r="AX306" s="17">
        <v>0.92788298841531069</v>
      </c>
      <c r="AY306" s="17">
        <v>-0.68949408581042337</v>
      </c>
      <c r="AZ306" s="17">
        <v>0.84752073047458965</v>
      </c>
      <c r="BA306" s="17">
        <v>0.94650575163228712</v>
      </c>
      <c r="BB306" s="17">
        <v>0.9044318539211651</v>
      </c>
      <c r="BC306" s="17">
        <v>0.27798080544454107</v>
      </c>
      <c r="BD306" s="17">
        <v>-0.92581464530291158</v>
      </c>
      <c r="BE306" s="17">
        <v>-0.38037777131494505</v>
      </c>
      <c r="BF306" s="17">
        <v>0.22672410297086859</v>
      </c>
      <c r="BK306" s="20">
        <v>1.026269107685803</v>
      </c>
      <c r="BL306" s="20">
        <v>-2.6410754298451064E-2</v>
      </c>
      <c r="BN306" s="21">
        <f t="shared" si="14"/>
        <v>0</v>
      </c>
    </row>
    <row r="307" spans="1:66">
      <c r="A307" s="14">
        <v>11.6</v>
      </c>
      <c r="B307" s="14">
        <v>24.49</v>
      </c>
      <c r="C307" s="14">
        <v>74.23</v>
      </c>
      <c r="D307" s="14">
        <v>417.2</v>
      </c>
      <c r="E307" s="14">
        <v>5.688E-2</v>
      </c>
      <c r="F307" s="14">
        <v>1.9740000000000001E-2</v>
      </c>
      <c r="G307" s="14">
        <v>1.3129999999999999E-2</v>
      </c>
      <c r="H307" s="14">
        <v>12.44</v>
      </c>
      <c r="I307" s="14">
        <v>476.5</v>
      </c>
      <c r="J307" s="14">
        <v>4.8149999999999998E-2</v>
      </c>
      <c r="M307" s="16">
        <v>0</v>
      </c>
      <c r="O307" s="12">
        <f t="shared" si="12"/>
        <v>1</v>
      </c>
      <c r="P307" s="12">
        <f t="shared" si="13"/>
        <v>0</v>
      </c>
      <c r="R307" s="17">
        <v>-0.86216493245391179</v>
      </c>
      <c r="S307" s="17">
        <v>0.86592397083683859</v>
      </c>
      <c r="T307" s="17">
        <v>1.1492407566427856</v>
      </c>
      <c r="U307" s="17">
        <v>0.30971288832147947</v>
      </c>
      <c r="V307" s="17">
        <v>1.322038261257461</v>
      </c>
      <c r="W307" s="17">
        <v>-0.54000870393571332</v>
      </c>
      <c r="X307" s="17">
        <v>-0.93446499101467595</v>
      </c>
      <c r="Y307" s="17">
        <v>1.3623707400649003</v>
      </c>
      <c r="Z307" s="17">
        <v>0.73556995189170193</v>
      </c>
      <c r="AA307" s="17">
        <v>1.6983871669386827</v>
      </c>
      <c r="AB307" s="17">
        <v>-1.2113068807979621</v>
      </c>
      <c r="AC307" s="17">
        <v>1.5906603286575782</v>
      </c>
      <c r="AD307" s="17">
        <v>-0.8593627097567913</v>
      </c>
      <c r="AE307" s="17">
        <v>1.3374666300864129</v>
      </c>
      <c r="AF307" s="17">
        <v>1.6049118769290147</v>
      </c>
      <c r="AG307" s="17">
        <v>1.3481853892245086</v>
      </c>
      <c r="AH307" s="17">
        <v>0.33128292594394448</v>
      </c>
      <c r="AI307" s="17">
        <v>-1.6572512841003593</v>
      </c>
      <c r="AJ307" s="17">
        <v>-0.4315878441673433</v>
      </c>
      <c r="AK307" s="17">
        <v>-0.35175472802397284</v>
      </c>
      <c r="AM307" s="17">
        <v>-0.83619257637716671</v>
      </c>
      <c r="AN307" s="17">
        <v>0.75661289652764074</v>
      </c>
      <c r="AO307" s="17">
        <v>0.80629367996063039</v>
      </c>
      <c r="AP307" s="17">
        <v>0.38756661030824274</v>
      </c>
      <c r="AQ307" s="17">
        <v>0.89942243085740248</v>
      </c>
      <c r="AR307" s="17">
        <v>-0.73194947497340879</v>
      </c>
      <c r="AS307" s="17">
        <v>-0.84740662786796572</v>
      </c>
      <c r="AT307" s="17">
        <v>0.82256616180196185</v>
      </c>
      <c r="AU307" s="17">
        <v>0.85877229433275848</v>
      </c>
      <c r="AV307" s="17">
        <v>0.90791496128147742</v>
      </c>
      <c r="AW307" s="17">
        <v>-0.65306743041905113</v>
      </c>
      <c r="AX307" s="17">
        <v>0.88118053415811137</v>
      </c>
      <c r="AY307" s="17">
        <v>-0.70173769911519535</v>
      </c>
      <c r="AZ307" s="17">
        <v>0.91745794372153577</v>
      </c>
      <c r="BA307" s="17">
        <v>0.74676782007090592</v>
      </c>
      <c r="BB307" s="17">
        <v>0.69254586975331733</v>
      </c>
      <c r="BC307" s="17">
        <v>0.43130982612696905</v>
      </c>
      <c r="BD307" s="17">
        <v>-0.93476388795769871</v>
      </c>
      <c r="BE307" s="17">
        <v>-0.47274220549048707</v>
      </c>
      <c r="BF307" s="17">
        <v>0.7530892214940671</v>
      </c>
      <c r="BK307" s="20">
        <v>1.0444889974623506</v>
      </c>
      <c r="BL307" s="20">
        <v>-4.4606856635289939E-2</v>
      </c>
      <c r="BN307" s="21">
        <f t="shared" si="14"/>
        <v>0</v>
      </c>
    </row>
    <row r="308" spans="1:66">
      <c r="A308" s="14">
        <v>13.2</v>
      </c>
      <c r="B308" s="14">
        <v>15.82</v>
      </c>
      <c r="C308" s="14">
        <v>84.07</v>
      </c>
      <c r="D308" s="14">
        <v>537.29999999999995</v>
      </c>
      <c r="E308" s="14">
        <v>5.2510000000000001E-2</v>
      </c>
      <c r="F308" s="14">
        <v>1.4610000000000001E-3</v>
      </c>
      <c r="G308" s="14">
        <v>3.261E-3</v>
      </c>
      <c r="H308" s="14">
        <v>14.41</v>
      </c>
      <c r="I308" s="14">
        <v>636.9</v>
      </c>
      <c r="J308" s="14">
        <v>2.5000000000000001E-2</v>
      </c>
      <c r="M308" s="16">
        <v>0</v>
      </c>
      <c r="O308" s="12">
        <f t="shared" si="12"/>
        <v>1</v>
      </c>
      <c r="P308" s="12">
        <f t="shared" si="13"/>
        <v>0</v>
      </c>
      <c r="R308" s="17">
        <v>-1.4643074708783446</v>
      </c>
      <c r="S308" s="17">
        <v>1.0359333700219733</v>
      </c>
      <c r="T308" s="17">
        <v>0.4503249130137873</v>
      </c>
      <c r="U308" s="17">
        <v>0.47751119115197871</v>
      </c>
      <c r="V308" s="17">
        <v>1.5052132201123889</v>
      </c>
      <c r="W308" s="17">
        <v>-1.2567352733816861</v>
      </c>
      <c r="X308" s="17">
        <v>-1.4659127711484521</v>
      </c>
      <c r="Y308" s="17">
        <v>0.877385815472147</v>
      </c>
      <c r="Z308" s="17">
        <v>1.7463530467411736</v>
      </c>
      <c r="AA308" s="17">
        <v>1.2163845753889837</v>
      </c>
      <c r="AB308" s="17">
        <v>-0.28839333793737798</v>
      </c>
      <c r="AC308" s="17">
        <v>1.0652147513376473</v>
      </c>
      <c r="AD308" s="17">
        <v>-0.81583654438301023</v>
      </c>
      <c r="AE308" s="17">
        <v>1.6894094608623824</v>
      </c>
      <c r="AF308" s="17">
        <v>0.2496334827590041</v>
      </c>
      <c r="AG308" s="17">
        <v>0.29010426800531797</v>
      </c>
      <c r="AH308" s="17">
        <v>0.55723475600471262</v>
      </c>
      <c r="AI308" s="17">
        <v>-1.603629768829455</v>
      </c>
      <c r="AJ308" s="17">
        <v>-0.55690825498325469</v>
      </c>
      <c r="AK308" s="17">
        <v>0.41256201738018505</v>
      </c>
      <c r="AM308" s="17">
        <v>-0.75664652682406064</v>
      </c>
      <c r="AN308" s="17">
        <v>0.72759533237376628</v>
      </c>
      <c r="AO308" s="17">
        <v>0.77714482773346161</v>
      </c>
      <c r="AP308" s="17">
        <v>0.33400557940372055</v>
      </c>
      <c r="AQ308" s="17">
        <v>0.88491060007800859</v>
      </c>
      <c r="AR308" s="17">
        <v>-0.58691562174006384</v>
      </c>
      <c r="AS308" s="17">
        <v>-0.78256705832730944</v>
      </c>
      <c r="AT308" s="17">
        <v>0.87013361747505158</v>
      </c>
      <c r="AU308" s="17">
        <v>0.72690354480730957</v>
      </c>
      <c r="AV308" s="17">
        <v>0.93312376416980014</v>
      </c>
      <c r="AW308" s="17">
        <v>-0.80323941752895889</v>
      </c>
      <c r="AX308" s="17">
        <v>0.91599896997584496</v>
      </c>
      <c r="AY308" s="17">
        <v>-0.70786822151112172</v>
      </c>
      <c r="AZ308" s="17">
        <v>0.89384586362708307</v>
      </c>
      <c r="BA308" s="17">
        <v>0.89501304591525654</v>
      </c>
      <c r="BB308" s="17">
        <v>0.84198115694936604</v>
      </c>
      <c r="BC308" s="17">
        <v>0.36175035450831122</v>
      </c>
      <c r="BD308" s="17">
        <v>-0.93633423611690536</v>
      </c>
      <c r="BE308" s="17">
        <v>-0.43559236259537421</v>
      </c>
      <c r="BF308" s="17">
        <v>0.17968246873272303</v>
      </c>
      <c r="BK308" s="20">
        <v>0.80937271755713747</v>
      </c>
      <c r="BL308" s="20">
        <v>0.19078141481143809</v>
      </c>
      <c r="BN308" s="21">
        <f t="shared" si="14"/>
        <v>0</v>
      </c>
    </row>
    <row r="309" spans="1:66">
      <c r="A309" s="14">
        <v>9</v>
      </c>
      <c r="B309" s="14">
        <v>14.4</v>
      </c>
      <c r="C309" s="14">
        <v>56.36</v>
      </c>
      <c r="D309" s="14">
        <v>246.3</v>
      </c>
      <c r="E309" s="14">
        <v>3.116E-2</v>
      </c>
      <c r="F309" s="14">
        <v>3.6809999999999998E-3</v>
      </c>
      <c r="G309" s="14">
        <v>3.4719999999999998E-3</v>
      </c>
      <c r="H309" s="14">
        <v>9.6989999999999998</v>
      </c>
      <c r="I309" s="14">
        <v>285.5</v>
      </c>
      <c r="J309" s="14">
        <v>1.389E-2</v>
      </c>
      <c r="M309" s="16">
        <v>0</v>
      </c>
      <c r="O309" s="12">
        <f t="shared" si="12"/>
        <v>1</v>
      </c>
      <c r="P309" s="12">
        <f t="shared" si="13"/>
        <v>0</v>
      </c>
      <c r="R309" s="17">
        <v>-0.86216493245391179</v>
      </c>
      <c r="S309" s="17">
        <v>0.86592397083683859</v>
      </c>
      <c r="T309" s="17">
        <v>1.1492407566427856</v>
      </c>
      <c r="U309" s="17">
        <v>0.30971288832147947</v>
      </c>
      <c r="V309" s="17">
        <v>1.322038261257461</v>
      </c>
      <c r="W309" s="17">
        <v>-0.54000870393571332</v>
      </c>
      <c r="X309" s="17">
        <v>-0.93446499101467595</v>
      </c>
      <c r="Y309" s="17">
        <v>1.3623707400649003</v>
      </c>
      <c r="Z309" s="17">
        <v>0.73556995189170193</v>
      </c>
      <c r="AA309" s="17">
        <v>1.6983871669386827</v>
      </c>
      <c r="AB309" s="17">
        <v>-1.2113068807979621</v>
      </c>
      <c r="AC309" s="17">
        <v>1.5906603286575782</v>
      </c>
      <c r="AD309" s="17">
        <v>-0.8593627097567913</v>
      </c>
      <c r="AE309" s="17">
        <v>1.3374666300864129</v>
      </c>
      <c r="AF309" s="17">
        <v>1.6049118769290147</v>
      </c>
      <c r="AG309" s="17">
        <v>1.3481853892245086</v>
      </c>
      <c r="AH309" s="17">
        <v>0.33128292594394448</v>
      </c>
      <c r="AI309" s="17">
        <v>-1.6572512841003593</v>
      </c>
      <c r="AJ309" s="17">
        <v>-0.4315878441673433</v>
      </c>
      <c r="AK309" s="17">
        <v>0.3687342244129892</v>
      </c>
      <c r="AM309" s="17">
        <v>-0.76053139296560146</v>
      </c>
      <c r="AN309" s="17">
        <v>0.72453171080739165</v>
      </c>
      <c r="AO309" s="17">
        <v>0.8059178593631714</v>
      </c>
      <c r="AP309" s="17">
        <v>0.33537207000346936</v>
      </c>
      <c r="AQ309" s="17">
        <v>0.88213648824654656</v>
      </c>
      <c r="AR309" s="17">
        <v>-0.59857206342277636</v>
      </c>
      <c r="AS309" s="17">
        <v>-0.78470892184032526</v>
      </c>
      <c r="AT309" s="17">
        <v>0.86077128757985322</v>
      </c>
      <c r="AU309" s="17">
        <v>0.73880944245283742</v>
      </c>
      <c r="AV309" s="17">
        <v>0.92746200561073322</v>
      </c>
      <c r="AW309" s="17">
        <v>-0.78442670862649788</v>
      </c>
      <c r="AX309" s="17">
        <v>0.90895615044449618</v>
      </c>
      <c r="AY309" s="17">
        <v>-0.7007729568323523</v>
      </c>
      <c r="AZ309" s="17">
        <v>0.89247307840407952</v>
      </c>
      <c r="BA309" s="17">
        <v>0.87968150712305193</v>
      </c>
      <c r="BB309" s="17">
        <v>0.82432865686718804</v>
      </c>
      <c r="BC309" s="17">
        <v>0.36463317612531337</v>
      </c>
      <c r="BD309" s="17">
        <v>-0.93304191819530902</v>
      </c>
      <c r="BE309" s="17">
        <v>-0.43415988726780652</v>
      </c>
      <c r="BF309" s="17">
        <v>0.42411302658473071</v>
      </c>
      <c r="BK309" s="20">
        <v>0.57674756584030518</v>
      </c>
      <c r="BL309" s="20">
        <v>0.42328739218792438</v>
      </c>
      <c r="BN309" s="21">
        <f t="shared" si="14"/>
        <v>0</v>
      </c>
    </row>
    <row r="310" spans="1:66">
      <c r="A310" s="14">
        <v>13.5</v>
      </c>
      <c r="B310" s="14">
        <v>12.71</v>
      </c>
      <c r="C310" s="14">
        <v>85.69</v>
      </c>
      <c r="D310" s="14">
        <v>566.20000000000005</v>
      </c>
      <c r="E310" s="14">
        <v>3.6139999999999999E-2</v>
      </c>
      <c r="F310" s="14">
        <v>2.758E-3</v>
      </c>
      <c r="G310" s="14">
        <v>4.4190000000000002E-3</v>
      </c>
      <c r="H310" s="14">
        <v>14.97</v>
      </c>
      <c r="I310" s="14">
        <v>698.7</v>
      </c>
      <c r="J310" s="14">
        <v>2.2100000000000002E-2</v>
      </c>
      <c r="M310" s="16">
        <v>0</v>
      </c>
      <c r="O310" s="12">
        <f t="shared" si="12"/>
        <v>1</v>
      </c>
      <c r="P310" s="12">
        <f t="shared" si="13"/>
        <v>0</v>
      </c>
      <c r="R310" s="17">
        <v>-0.86216493245391179</v>
      </c>
      <c r="S310" s="17">
        <v>0.86592397083683859</v>
      </c>
      <c r="T310" s="17">
        <v>1.1492407566427856</v>
      </c>
      <c r="U310" s="17">
        <v>0.30971288832147947</v>
      </c>
      <c r="V310" s="17">
        <v>1.322038261257461</v>
      </c>
      <c r="W310" s="17">
        <v>-0.54000870393571332</v>
      </c>
      <c r="X310" s="17">
        <v>-0.93446499101467595</v>
      </c>
      <c r="Y310" s="17">
        <v>1.3623707400649003</v>
      </c>
      <c r="Z310" s="17">
        <v>0.73556995189170193</v>
      </c>
      <c r="AA310" s="17">
        <v>1.6983871669386827</v>
      </c>
      <c r="AB310" s="17">
        <v>-1.2113068807979621</v>
      </c>
      <c r="AC310" s="17">
        <v>1.5906603286575782</v>
      </c>
      <c r="AD310" s="17">
        <v>-0.8593627097567913</v>
      </c>
      <c r="AE310" s="17">
        <v>1.3374666300864129</v>
      </c>
      <c r="AF310" s="17">
        <v>1.6049118769290147</v>
      </c>
      <c r="AG310" s="17">
        <v>1.3481853892245086</v>
      </c>
      <c r="AH310" s="17">
        <v>0.33128292594394448</v>
      </c>
      <c r="AI310" s="17">
        <v>-1.6572512841003593</v>
      </c>
      <c r="AJ310" s="17">
        <v>-0.4315878441673433</v>
      </c>
      <c r="AK310" s="17">
        <v>0.36873422265731137</v>
      </c>
      <c r="AM310" s="17">
        <v>-0.91007949064089311</v>
      </c>
      <c r="AN310" s="17">
        <v>0.79838804965012455</v>
      </c>
      <c r="AO310" s="17">
        <v>0.25236151360124182</v>
      </c>
      <c r="AP310" s="17">
        <v>0.4619175179654697</v>
      </c>
      <c r="AQ310" s="17">
        <v>0.92062132676541542</v>
      </c>
      <c r="AR310" s="17">
        <v>-0.8620070279294012</v>
      </c>
      <c r="AS310" s="17">
        <v>-0.91099313104367829</v>
      </c>
      <c r="AT310" s="17">
        <v>0.74385071283149351</v>
      </c>
      <c r="AU310" s="17">
        <v>0.94755114591909284</v>
      </c>
      <c r="AV310" s="17">
        <v>0.86673499420066402</v>
      </c>
      <c r="AW310" s="17">
        <v>-0.3403659055075911</v>
      </c>
      <c r="AX310" s="17">
        <v>0.82139689978439312</v>
      </c>
      <c r="AY310" s="17">
        <v>-0.70178564829142231</v>
      </c>
      <c r="AZ310" s="17">
        <v>0.94474985675148215</v>
      </c>
      <c r="BA310" s="17">
        <v>0.32343653206168083</v>
      </c>
      <c r="BB310" s="17">
        <v>0.34810021545582481</v>
      </c>
      <c r="BC310" s="17">
        <v>0.52385044347540488</v>
      </c>
      <c r="BD310" s="17">
        <v>-0.93665309455576462</v>
      </c>
      <c r="BE310" s="17">
        <v>-0.52734506109970958</v>
      </c>
      <c r="BF310" s="17">
        <v>-0.1005249143982052</v>
      </c>
      <c r="BK310" s="20">
        <v>1.0404362530941644</v>
      </c>
      <c r="BL310" s="20">
        <v>-4.0511980725963709E-2</v>
      </c>
      <c r="BN310" s="21">
        <f t="shared" si="14"/>
        <v>0</v>
      </c>
    </row>
    <row r="311" spans="1:66">
      <c r="A311" s="14">
        <v>13.05</v>
      </c>
      <c r="B311" s="14">
        <v>13.84</v>
      </c>
      <c r="C311" s="14">
        <v>82.71</v>
      </c>
      <c r="D311" s="14">
        <v>530.6</v>
      </c>
      <c r="E311" s="14">
        <v>3.7350000000000001E-2</v>
      </c>
      <c r="F311" s="14">
        <v>4.5589999999999997E-3</v>
      </c>
      <c r="G311" s="14">
        <v>8.829E-3</v>
      </c>
      <c r="H311" s="14">
        <v>14.73</v>
      </c>
      <c r="I311" s="14">
        <v>672.4</v>
      </c>
      <c r="J311" s="14">
        <v>3.5319999999999997E-2</v>
      </c>
      <c r="M311" s="16">
        <v>0</v>
      </c>
      <c r="O311" s="12">
        <f t="shared" si="12"/>
        <v>1</v>
      </c>
      <c r="P311" s="12">
        <f t="shared" si="13"/>
        <v>0</v>
      </c>
      <c r="R311" s="17">
        <v>-1.4643074708783446</v>
      </c>
      <c r="S311" s="17">
        <v>1.0359333700219733</v>
      </c>
      <c r="T311" s="17">
        <v>0.4503249130137873</v>
      </c>
      <c r="U311" s="17">
        <v>0.47751119115197871</v>
      </c>
      <c r="V311" s="17">
        <v>1.5052132201123889</v>
      </c>
      <c r="W311" s="17">
        <v>-1.2567352733816861</v>
      </c>
      <c r="X311" s="17">
        <v>-1.4659127711484521</v>
      </c>
      <c r="Y311" s="17">
        <v>0.877385815472147</v>
      </c>
      <c r="Z311" s="17">
        <v>1.7463530467411736</v>
      </c>
      <c r="AA311" s="17">
        <v>1.2163845753889837</v>
      </c>
      <c r="AB311" s="17">
        <v>-0.28839333793737798</v>
      </c>
      <c r="AC311" s="17">
        <v>1.0652147513376473</v>
      </c>
      <c r="AD311" s="17">
        <v>-0.81583654438301023</v>
      </c>
      <c r="AE311" s="17">
        <v>1.6894094608623824</v>
      </c>
      <c r="AF311" s="17">
        <v>0.2496334827590041</v>
      </c>
      <c r="AG311" s="17">
        <v>0.29010426800531797</v>
      </c>
      <c r="AH311" s="17">
        <v>0.55723475600471262</v>
      </c>
      <c r="AI311" s="17">
        <v>-1.603629768829455</v>
      </c>
      <c r="AJ311" s="17">
        <v>-0.55690825498325469</v>
      </c>
      <c r="AK311" s="17">
        <v>0.41256201738018505</v>
      </c>
      <c r="AM311" s="17">
        <v>-0.74204034856078982</v>
      </c>
      <c r="AN311" s="17">
        <v>0.69418084724870066</v>
      </c>
      <c r="AO311" s="17">
        <v>0.72246680554020104</v>
      </c>
      <c r="AP311" s="17">
        <v>0.3199131348918125</v>
      </c>
      <c r="AQ311" s="17">
        <v>0.85879287573039065</v>
      </c>
      <c r="AR311" s="17">
        <v>-0.59070996894737537</v>
      </c>
      <c r="AS311" s="17">
        <v>-0.76423822324456836</v>
      </c>
      <c r="AT311" s="17">
        <v>0.82367255293955821</v>
      </c>
      <c r="AU311" s="17">
        <v>0.73187417632362828</v>
      </c>
      <c r="AV311" s="17">
        <v>0.90246369969307183</v>
      </c>
      <c r="AW311" s="17">
        <v>-0.72679606005185393</v>
      </c>
      <c r="AX311" s="17">
        <v>0.8795008356497378</v>
      </c>
      <c r="AY311" s="17">
        <v>-0.66354364335764804</v>
      </c>
      <c r="AZ311" s="17">
        <v>0.87246640371944928</v>
      </c>
      <c r="BA311" s="17">
        <v>0.83058690795825785</v>
      </c>
      <c r="BB311" s="17">
        <v>0.76935654979647272</v>
      </c>
      <c r="BC311" s="17">
        <v>0.3501985412912752</v>
      </c>
      <c r="BD311" s="17">
        <v>-0.91349925647064134</v>
      </c>
      <c r="BE311" s="17">
        <v>-0.41054340382382015</v>
      </c>
      <c r="BF311" s="17">
        <v>0.19792614060611591</v>
      </c>
      <c r="BK311" s="20">
        <v>0.98217036000887548</v>
      </c>
      <c r="BL311" s="20">
        <v>1.767212407144934E-2</v>
      </c>
      <c r="BN311" s="21">
        <f t="shared" si="14"/>
        <v>0</v>
      </c>
    </row>
    <row r="312" spans="1:66">
      <c r="A312" s="14">
        <v>11.7</v>
      </c>
      <c r="B312" s="14">
        <v>19.11</v>
      </c>
      <c r="C312" s="14">
        <v>74.33</v>
      </c>
      <c r="D312" s="14">
        <v>418.7</v>
      </c>
      <c r="E312" s="14">
        <v>5.253E-2</v>
      </c>
      <c r="F312" s="14">
        <v>1.583E-2</v>
      </c>
      <c r="G312" s="14">
        <v>1.1480000000000001E-2</v>
      </c>
      <c r="H312" s="14">
        <v>12.61</v>
      </c>
      <c r="I312" s="14">
        <v>483.1</v>
      </c>
      <c r="J312" s="14">
        <v>5.7410000000000003E-2</v>
      </c>
      <c r="M312" s="16">
        <v>0</v>
      </c>
      <c r="O312" s="12">
        <f t="shared" si="12"/>
        <v>1</v>
      </c>
      <c r="P312" s="12">
        <f t="shared" si="13"/>
        <v>0</v>
      </c>
      <c r="R312" s="17">
        <v>-0.86216493245391179</v>
      </c>
      <c r="S312" s="17">
        <v>0.86592397083683859</v>
      </c>
      <c r="T312" s="17">
        <v>1.1492407566427856</v>
      </c>
      <c r="U312" s="17">
        <v>0.30971288832147947</v>
      </c>
      <c r="V312" s="17">
        <v>1.322038261257461</v>
      </c>
      <c r="W312" s="17">
        <v>-0.54000870393571332</v>
      </c>
      <c r="X312" s="17">
        <v>-0.93446499101467595</v>
      </c>
      <c r="Y312" s="17">
        <v>1.3623707400649003</v>
      </c>
      <c r="Z312" s="17">
        <v>0.73556995189170193</v>
      </c>
      <c r="AA312" s="17">
        <v>1.6983871669386827</v>
      </c>
      <c r="AB312" s="17">
        <v>-1.2113068807979621</v>
      </c>
      <c r="AC312" s="17">
        <v>1.5906603286575782</v>
      </c>
      <c r="AD312" s="17">
        <v>-0.8593627097567913</v>
      </c>
      <c r="AE312" s="17">
        <v>1.3374666300864129</v>
      </c>
      <c r="AF312" s="17">
        <v>1.6049118769290147</v>
      </c>
      <c r="AG312" s="17">
        <v>1.3481853892245086</v>
      </c>
      <c r="AH312" s="17">
        <v>0.33128292594394448</v>
      </c>
      <c r="AI312" s="17">
        <v>-1.6572512841003593</v>
      </c>
      <c r="AJ312" s="17">
        <v>-0.4315878441673433</v>
      </c>
      <c r="AK312" s="17">
        <v>0.3687342244129892</v>
      </c>
      <c r="AM312" s="17">
        <v>-0.91146615146193033</v>
      </c>
      <c r="AN312" s="17">
        <v>0.78870105722588635</v>
      </c>
      <c r="AO312" s="17">
        <v>0.32828000907277982</v>
      </c>
      <c r="AP312" s="17">
        <v>0.46120215298399569</v>
      </c>
      <c r="AQ312" s="17">
        <v>0.91330700235837636</v>
      </c>
      <c r="AR312" s="17">
        <v>-0.86998441252759995</v>
      </c>
      <c r="AS312" s="17">
        <v>-0.91086459228779904</v>
      </c>
      <c r="AT312" s="17">
        <v>0.69546106554540299</v>
      </c>
      <c r="AU312" s="17">
        <v>0.95206865302349986</v>
      </c>
      <c r="AV312" s="17">
        <v>0.83489665932602064</v>
      </c>
      <c r="AW312" s="17">
        <v>-0.22245656755770704</v>
      </c>
      <c r="AX312" s="17">
        <v>0.78058797143858838</v>
      </c>
      <c r="AY312" s="17">
        <v>-0.6794447328952814</v>
      </c>
      <c r="AZ312" s="17">
        <v>0.94105052884520957</v>
      </c>
      <c r="BA312" s="17">
        <v>0.15384096201190184</v>
      </c>
      <c r="BB312" s="17">
        <v>0.21468768864722856</v>
      </c>
      <c r="BC312" s="17">
        <v>0.52580478387152363</v>
      </c>
      <c r="BD312" s="17">
        <v>-0.92606713595571688</v>
      </c>
      <c r="BE312" s="17">
        <v>-0.52020767744203278</v>
      </c>
      <c r="BF312" s="17">
        <v>4.884998889380112E-2</v>
      </c>
      <c r="BK312" s="20">
        <v>0.97245170626996902</v>
      </c>
      <c r="BL312" s="20">
        <v>2.7487035639723937E-2</v>
      </c>
      <c r="BN312" s="21">
        <f t="shared" si="14"/>
        <v>0</v>
      </c>
    </row>
    <row r="313" spans="1:66">
      <c r="A313" s="14">
        <v>14.61</v>
      </c>
      <c r="B313" s="14">
        <v>15.69</v>
      </c>
      <c r="C313" s="14">
        <v>92.68</v>
      </c>
      <c r="D313" s="14">
        <v>664.9</v>
      </c>
      <c r="E313" s="14">
        <v>3.5150000000000001E-2</v>
      </c>
      <c r="F313" s="14">
        <v>1.447E-2</v>
      </c>
      <c r="G313" s="14">
        <v>1.8769999999999998E-2</v>
      </c>
      <c r="H313" s="14">
        <v>16.46</v>
      </c>
      <c r="I313" s="14">
        <v>840.8</v>
      </c>
      <c r="J313" s="14">
        <v>5.8130000000000001E-2</v>
      </c>
      <c r="M313" s="16">
        <v>0</v>
      </c>
      <c r="O313" s="12">
        <f t="shared" si="12"/>
        <v>1</v>
      </c>
      <c r="P313" s="12">
        <f t="shared" si="13"/>
        <v>0</v>
      </c>
      <c r="R313" s="17">
        <v>-0.86216493245391179</v>
      </c>
      <c r="S313" s="17">
        <v>0.86592397083683859</v>
      </c>
      <c r="T313" s="17">
        <v>1.1492407566427856</v>
      </c>
      <c r="U313" s="17">
        <v>0.30971288832147947</v>
      </c>
      <c r="V313" s="17">
        <v>1.322038261257461</v>
      </c>
      <c r="W313" s="17">
        <v>-0.54000870393571332</v>
      </c>
      <c r="X313" s="17">
        <v>-0.93446499101467595</v>
      </c>
      <c r="Y313" s="17">
        <v>1.3623707400649003</v>
      </c>
      <c r="Z313" s="17">
        <v>0.73556995189170193</v>
      </c>
      <c r="AA313" s="17">
        <v>1.6983871669386827</v>
      </c>
      <c r="AB313" s="17">
        <v>-1.2113068807979621</v>
      </c>
      <c r="AC313" s="17">
        <v>1.5906603286575782</v>
      </c>
      <c r="AD313" s="17">
        <v>-0.8593627097567913</v>
      </c>
      <c r="AE313" s="17">
        <v>1.3374666300864129</v>
      </c>
      <c r="AF313" s="17">
        <v>1.6049118769290147</v>
      </c>
      <c r="AG313" s="17">
        <v>1.3481853892245086</v>
      </c>
      <c r="AH313" s="17">
        <v>0.33128292594394448</v>
      </c>
      <c r="AI313" s="17">
        <v>-1.6572512841003593</v>
      </c>
      <c r="AJ313" s="17">
        <v>-0.4315878441673433</v>
      </c>
      <c r="AK313" s="17">
        <v>0.36873422441298942</v>
      </c>
      <c r="AM313" s="17">
        <v>-0.85912119794483754</v>
      </c>
      <c r="AN313" s="17">
        <v>0.76983118473317869</v>
      </c>
      <c r="AO313" s="17">
        <v>0.65093354656976488</v>
      </c>
      <c r="AP313" s="17">
        <v>0.40752162423260696</v>
      </c>
      <c r="AQ313" s="17">
        <v>0.90670843351636476</v>
      </c>
      <c r="AR313" s="17">
        <v>-0.77120817327603886</v>
      </c>
      <c r="AS313" s="17">
        <v>-0.86710844658962105</v>
      </c>
      <c r="AT313" s="17">
        <v>0.81015827228917614</v>
      </c>
      <c r="AU313" s="17">
        <v>0.88871140783079905</v>
      </c>
      <c r="AV313" s="17">
        <v>0.90208773056259584</v>
      </c>
      <c r="AW313" s="17">
        <v>-0.59841091647504552</v>
      </c>
      <c r="AX313" s="17">
        <v>0.87222292508967436</v>
      </c>
      <c r="AY313" s="17">
        <v>-0.70521194947324717</v>
      </c>
      <c r="AZ313" s="17">
        <v>0.92634203349238198</v>
      </c>
      <c r="BA313" s="17">
        <v>0.68106201180014891</v>
      </c>
      <c r="BB313" s="17">
        <v>0.63463177457777731</v>
      </c>
      <c r="BC313" s="17">
        <v>0.4559866534377453</v>
      </c>
      <c r="BD313" s="17">
        <v>-0.93684778957679615</v>
      </c>
      <c r="BE313" s="17">
        <v>-0.48848936627489892</v>
      </c>
      <c r="BF313" s="17">
        <v>0.2157844808700603</v>
      </c>
      <c r="BK313" s="20">
        <v>0.96082934066209946</v>
      </c>
      <c r="BL313" s="20">
        <v>3.9119377448418174E-2</v>
      </c>
      <c r="BN313" s="21">
        <f t="shared" si="14"/>
        <v>0</v>
      </c>
    </row>
    <row r="314" spans="1:66">
      <c r="A314" s="14">
        <v>12.76</v>
      </c>
      <c r="B314" s="14">
        <v>13.37</v>
      </c>
      <c r="C314" s="14">
        <v>82.29</v>
      </c>
      <c r="D314" s="14">
        <v>504.1</v>
      </c>
      <c r="E314" s="14">
        <v>7.9479999999999995E-2</v>
      </c>
      <c r="F314" s="14">
        <v>4.052E-2</v>
      </c>
      <c r="G314" s="14">
        <v>2.5479999999999999E-2</v>
      </c>
      <c r="H314" s="14">
        <v>14.19</v>
      </c>
      <c r="I314" s="14">
        <v>618.79999999999995</v>
      </c>
      <c r="J314" s="14">
        <v>8.4110000000000004E-2</v>
      </c>
      <c r="M314" s="16">
        <v>0</v>
      </c>
      <c r="O314" s="12">
        <f t="shared" si="12"/>
        <v>1</v>
      </c>
      <c r="P314" s="12">
        <f t="shared" si="13"/>
        <v>0</v>
      </c>
      <c r="R314" s="17">
        <v>-1.4643074708783446</v>
      </c>
      <c r="S314" s="17">
        <v>1.0359333700219733</v>
      </c>
      <c r="T314" s="17">
        <v>0.4503249130137873</v>
      </c>
      <c r="U314" s="17">
        <v>0.47751119115197871</v>
      </c>
      <c r="V314" s="17">
        <v>1.5052132201123889</v>
      </c>
      <c r="W314" s="17">
        <v>-1.2567352733816861</v>
      </c>
      <c r="X314" s="17">
        <v>-1.4659127711484521</v>
      </c>
      <c r="Y314" s="17">
        <v>0.877385815472147</v>
      </c>
      <c r="Z314" s="17">
        <v>1.7463530467411736</v>
      </c>
      <c r="AA314" s="17">
        <v>1.2163845753889837</v>
      </c>
      <c r="AB314" s="17">
        <v>-0.28839333793737798</v>
      </c>
      <c r="AC314" s="17">
        <v>1.0652147513376473</v>
      </c>
      <c r="AD314" s="17">
        <v>-0.81583654438301023</v>
      </c>
      <c r="AE314" s="17">
        <v>1.6894094608623824</v>
      </c>
      <c r="AF314" s="17">
        <v>0.2496334827590041</v>
      </c>
      <c r="AG314" s="17">
        <v>0.29010426800531797</v>
      </c>
      <c r="AH314" s="17">
        <v>0.55723475600471262</v>
      </c>
      <c r="AI314" s="17">
        <v>-1.603629768829455</v>
      </c>
      <c r="AJ314" s="17">
        <v>-0.55690825498325469</v>
      </c>
      <c r="AK314" s="17">
        <v>0.41256201738018505</v>
      </c>
      <c r="AM314" s="17">
        <v>-0.73813457856067521</v>
      </c>
      <c r="AN314" s="17">
        <v>0.71109832026360509</v>
      </c>
      <c r="AO314" s="17">
        <v>0.7861426190480183</v>
      </c>
      <c r="AP314" s="17">
        <v>0.32134366202920928</v>
      </c>
      <c r="AQ314" s="17">
        <v>0.8733788403127104</v>
      </c>
      <c r="AR314" s="17">
        <v>-0.56521733697659471</v>
      </c>
      <c r="AS314" s="17">
        <v>-0.76522384596395066</v>
      </c>
      <c r="AT314" s="17">
        <v>0.86005937666566423</v>
      </c>
      <c r="AU314" s="17">
        <v>0.70504205011570453</v>
      </c>
      <c r="AV314" s="17">
        <v>0.92604000486791016</v>
      </c>
      <c r="AW314" s="17">
        <v>-0.79358544729984981</v>
      </c>
      <c r="AX314" s="17">
        <v>0.90801002460802183</v>
      </c>
      <c r="AY314" s="17">
        <v>-0.69254913279657038</v>
      </c>
      <c r="AZ314" s="17">
        <v>0.8823511011603139</v>
      </c>
      <c r="BA314" s="17">
        <v>0.88827820087768916</v>
      </c>
      <c r="BB314" s="17">
        <v>0.8333072601031587</v>
      </c>
      <c r="BC314" s="17">
        <v>0.34774506298362945</v>
      </c>
      <c r="BD314" s="17">
        <v>-0.92871044645531464</v>
      </c>
      <c r="BE314" s="17">
        <v>-0.42107071602072643</v>
      </c>
      <c r="BF314" s="17">
        <v>0.28804481735507648</v>
      </c>
      <c r="BK314" s="20">
        <v>1.0240924729999759</v>
      </c>
      <c r="BL314" s="20">
        <v>-2.4030483083117282E-2</v>
      </c>
      <c r="BN314" s="21">
        <f t="shared" si="14"/>
        <v>0</v>
      </c>
    </row>
    <row r="315" spans="1:66">
      <c r="A315" s="14">
        <v>11.54</v>
      </c>
      <c r="B315" s="14">
        <v>10.72</v>
      </c>
      <c r="C315" s="14">
        <v>73.73</v>
      </c>
      <c r="D315" s="14">
        <v>409.1</v>
      </c>
      <c r="E315" s="14">
        <v>5.969E-2</v>
      </c>
      <c r="F315" s="14">
        <v>1.367E-2</v>
      </c>
      <c r="G315" s="14">
        <v>8.907E-3</v>
      </c>
      <c r="H315" s="14">
        <v>12.34</v>
      </c>
      <c r="I315" s="14">
        <v>467.8</v>
      </c>
      <c r="J315" s="14">
        <v>4.7149999999999997E-2</v>
      </c>
      <c r="M315" s="16">
        <v>0</v>
      </c>
      <c r="O315" s="12">
        <f t="shared" si="12"/>
        <v>1</v>
      </c>
      <c r="P315" s="12">
        <f t="shared" si="13"/>
        <v>0</v>
      </c>
      <c r="R315" s="17">
        <v>-0.86216493245391179</v>
      </c>
      <c r="S315" s="17">
        <v>0.86592397083683859</v>
      </c>
      <c r="T315" s="17">
        <v>1.1492407566427856</v>
      </c>
      <c r="U315" s="17">
        <v>0.30971288832147947</v>
      </c>
      <c r="V315" s="17">
        <v>1.322038261257461</v>
      </c>
      <c r="W315" s="17">
        <v>-0.54000870393571332</v>
      </c>
      <c r="X315" s="17">
        <v>-0.93446499101467595</v>
      </c>
      <c r="Y315" s="17">
        <v>1.3623707400649003</v>
      </c>
      <c r="Z315" s="17">
        <v>0.73556995189170193</v>
      </c>
      <c r="AA315" s="17">
        <v>1.6983871669386827</v>
      </c>
      <c r="AB315" s="17">
        <v>-1.2113068807979621</v>
      </c>
      <c r="AC315" s="17">
        <v>1.5906603286575782</v>
      </c>
      <c r="AD315" s="17">
        <v>-0.8593627097567913</v>
      </c>
      <c r="AE315" s="17">
        <v>1.3374666300864129</v>
      </c>
      <c r="AF315" s="17">
        <v>1.6049118769290147</v>
      </c>
      <c r="AG315" s="17">
        <v>1.3481853892245086</v>
      </c>
      <c r="AH315" s="17">
        <v>0.33128292594394448</v>
      </c>
      <c r="AI315" s="17">
        <v>-1.6572512841003593</v>
      </c>
      <c r="AJ315" s="17">
        <v>-0.4315878441673433</v>
      </c>
      <c r="AK315" s="17">
        <v>0.36873405262777892</v>
      </c>
      <c r="AM315" s="17">
        <v>-0.6757975823221104</v>
      </c>
      <c r="AN315" s="17">
        <v>0.70689251800109998</v>
      </c>
      <c r="AO315" s="17">
        <v>0.85717343816424252</v>
      </c>
      <c r="AP315" s="17">
        <v>0.29249986626630314</v>
      </c>
      <c r="AQ315" s="17">
        <v>0.87518504399681529</v>
      </c>
      <c r="AR315" s="17">
        <v>-0.43874586585718184</v>
      </c>
      <c r="AS315" s="17">
        <v>-0.7191256906213741</v>
      </c>
      <c r="AT315" s="17">
        <v>0.90202320231668487</v>
      </c>
      <c r="AU315" s="17">
        <v>0.56263751576759724</v>
      </c>
      <c r="AV315" s="17">
        <v>0.95011229741920722</v>
      </c>
      <c r="AW315" s="17">
        <v>-0.88137588741141915</v>
      </c>
      <c r="AX315" s="17">
        <v>0.93860658246984074</v>
      </c>
      <c r="AY315" s="17">
        <v>-0.71708661321257339</v>
      </c>
      <c r="AZ315" s="17">
        <v>0.87385320872089012</v>
      </c>
      <c r="BA315" s="17">
        <v>0.95155802494601194</v>
      </c>
      <c r="BB315" s="17">
        <v>0.9124615437087904</v>
      </c>
      <c r="BC315" s="17">
        <v>0.3061518634270099</v>
      </c>
      <c r="BD315" s="17">
        <v>-0.93962524574840811</v>
      </c>
      <c r="BE315" s="17">
        <v>-0.40852919288549822</v>
      </c>
      <c r="BF315" s="17">
        <v>0.27573890263155126</v>
      </c>
      <c r="BK315" s="20">
        <v>0.92195231470769134</v>
      </c>
      <c r="BL315" s="20">
        <v>7.7889628377799031E-2</v>
      </c>
      <c r="BN315" s="21">
        <f t="shared" si="14"/>
        <v>0</v>
      </c>
    </row>
    <row r="316" spans="1:66">
      <c r="A316" s="14">
        <v>8.5969999999999995</v>
      </c>
      <c r="B316" s="14">
        <v>18.600000000000001</v>
      </c>
      <c r="C316" s="14">
        <v>54.09</v>
      </c>
      <c r="D316" s="14">
        <v>221.2</v>
      </c>
      <c r="E316" s="14">
        <v>5.8470000000000001E-2</v>
      </c>
      <c r="F316" s="14">
        <v>0</v>
      </c>
      <c r="G316" s="14">
        <v>0</v>
      </c>
      <c r="H316" s="14">
        <v>8.952</v>
      </c>
      <c r="I316" s="14">
        <v>240.1</v>
      </c>
      <c r="J316" s="14">
        <v>0</v>
      </c>
      <c r="M316" s="16">
        <v>0</v>
      </c>
      <c r="O316" s="12">
        <f t="shared" si="12"/>
        <v>1</v>
      </c>
      <c r="P316" s="12">
        <f t="shared" si="13"/>
        <v>0</v>
      </c>
      <c r="R316" s="17">
        <v>-1.4643074708783446</v>
      </c>
      <c r="S316" s="17">
        <v>1.0359333700219733</v>
      </c>
      <c r="T316" s="17">
        <v>0.4503249130137873</v>
      </c>
      <c r="U316" s="17">
        <v>0.47751119115197871</v>
      </c>
      <c r="V316" s="17">
        <v>1.5052132201123889</v>
      </c>
      <c r="W316" s="17">
        <v>-1.2567352733816861</v>
      </c>
      <c r="X316" s="17">
        <v>-1.4659127711484521</v>
      </c>
      <c r="Y316" s="17">
        <v>0.877385815472147</v>
      </c>
      <c r="Z316" s="17">
        <v>1.7463530467411736</v>
      </c>
      <c r="AA316" s="17">
        <v>1.2163845753889837</v>
      </c>
      <c r="AB316" s="17">
        <v>-0.28839333793737798</v>
      </c>
      <c r="AC316" s="17">
        <v>1.0652147513376473</v>
      </c>
      <c r="AD316" s="17">
        <v>-0.81583654438301023</v>
      </c>
      <c r="AE316" s="17">
        <v>1.6894094608623824</v>
      </c>
      <c r="AF316" s="17">
        <v>0.2496334827590041</v>
      </c>
      <c r="AG316" s="17">
        <v>0.29010426800531797</v>
      </c>
      <c r="AH316" s="17">
        <v>0.55723475600471262</v>
      </c>
      <c r="AI316" s="17">
        <v>-1.603629768829455</v>
      </c>
      <c r="AJ316" s="17">
        <v>-0.55690825498325469</v>
      </c>
      <c r="AK316" s="17">
        <v>0.41256201738018505</v>
      </c>
      <c r="AM316" s="17">
        <v>-0.76971211787610339</v>
      </c>
      <c r="AN316" s="17">
        <v>0.7089459792449655</v>
      </c>
      <c r="AO316" s="17">
        <v>0.71279775876542384</v>
      </c>
      <c r="AP316" s="17">
        <v>0.3370547676736752</v>
      </c>
      <c r="AQ316" s="17">
        <v>0.86847340384039329</v>
      </c>
      <c r="AR316" s="17">
        <v>-0.63347765165695058</v>
      </c>
      <c r="AS316" s="17">
        <v>-0.78809243692689879</v>
      </c>
      <c r="AT316" s="17">
        <v>0.81838115957299473</v>
      </c>
      <c r="AU316" s="17">
        <v>0.77343835943434414</v>
      </c>
      <c r="AV316" s="17">
        <v>0.90056462414860239</v>
      </c>
      <c r="AW316" s="17">
        <v>-0.69982507260198312</v>
      </c>
      <c r="AX316" s="17">
        <v>0.87591997438686131</v>
      </c>
      <c r="AY316" s="17">
        <v>-0.66986249521269925</v>
      </c>
      <c r="AZ316" s="17">
        <v>0.88439573697804896</v>
      </c>
      <c r="BA316" s="17">
        <v>0.80275560566115811</v>
      </c>
      <c r="BB316" s="17">
        <v>0.74206162471020531</v>
      </c>
      <c r="BC316" s="17">
        <v>0.37140521461346249</v>
      </c>
      <c r="BD316" s="17">
        <v>-0.91745453488480022</v>
      </c>
      <c r="BE316" s="17">
        <v>-0.42526554371883352</v>
      </c>
      <c r="BF316" s="17">
        <v>0.30042724756949141</v>
      </c>
      <c r="BK316" s="20">
        <v>0.94139356939485264</v>
      </c>
      <c r="BL316" s="20">
        <v>5.8591175531555496E-2</v>
      </c>
      <c r="BN316" s="21">
        <f t="shared" si="14"/>
        <v>0</v>
      </c>
    </row>
    <row r="317" spans="1:66">
      <c r="A317" s="14">
        <v>12.49</v>
      </c>
      <c r="B317" s="14">
        <v>16.850000000000001</v>
      </c>
      <c r="C317" s="14">
        <v>79.19</v>
      </c>
      <c r="D317" s="14">
        <v>481.6</v>
      </c>
      <c r="E317" s="14">
        <v>3.8339999999999999E-2</v>
      </c>
      <c r="F317" s="14">
        <v>4.4730000000000004E-3</v>
      </c>
      <c r="G317" s="14">
        <v>6.4229999999999999E-3</v>
      </c>
      <c r="H317" s="14">
        <v>13.34</v>
      </c>
      <c r="I317" s="14">
        <v>544.20000000000005</v>
      </c>
      <c r="J317" s="14">
        <v>2.784E-2</v>
      </c>
      <c r="M317" s="16">
        <v>0</v>
      </c>
      <c r="O317" s="12">
        <f t="shared" si="12"/>
        <v>1</v>
      </c>
      <c r="P317" s="12">
        <f t="shared" si="13"/>
        <v>0</v>
      </c>
      <c r="R317" s="17">
        <v>-1.4643074708783446</v>
      </c>
      <c r="S317" s="17">
        <v>1.0359333700219733</v>
      </c>
      <c r="T317" s="17">
        <v>0.4503249130137873</v>
      </c>
      <c r="U317" s="17">
        <v>0.47751119115197871</v>
      </c>
      <c r="V317" s="17">
        <v>1.5052132201123889</v>
      </c>
      <c r="W317" s="17">
        <v>-1.2567352733816861</v>
      </c>
      <c r="X317" s="17">
        <v>-1.4659127711484521</v>
      </c>
      <c r="Y317" s="17">
        <v>0.877385815472147</v>
      </c>
      <c r="Z317" s="17">
        <v>1.7463530467411736</v>
      </c>
      <c r="AA317" s="17">
        <v>1.2163845753889837</v>
      </c>
      <c r="AB317" s="17">
        <v>-0.28839333793737798</v>
      </c>
      <c r="AC317" s="17">
        <v>1.0652147513376473</v>
      </c>
      <c r="AD317" s="17">
        <v>-0.81583654438301023</v>
      </c>
      <c r="AE317" s="17">
        <v>1.6894094608623824</v>
      </c>
      <c r="AF317" s="17">
        <v>0.2496334827590041</v>
      </c>
      <c r="AG317" s="17">
        <v>0.29010426800531797</v>
      </c>
      <c r="AH317" s="17">
        <v>0.55723475600471262</v>
      </c>
      <c r="AI317" s="17">
        <v>-1.603629768829455</v>
      </c>
      <c r="AJ317" s="17">
        <v>-0.55690825498325469</v>
      </c>
      <c r="AK317" s="17">
        <v>0.41256201738018505</v>
      </c>
      <c r="AM317" s="17">
        <v>-0.67398397536428112</v>
      </c>
      <c r="AN317" s="17">
        <v>0.69293711570300454</v>
      </c>
      <c r="AO317" s="17">
        <v>0.83821333952012922</v>
      </c>
      <c r="AP317" s="17">
        <v>0.2889514514605388</v>
      </c>
      <c r="AQ317" s="17">
        <v>0.86397705804337066</v>
      </c>
      <c r="AR317" s="17">
        <v>-0.45210987017655729</v>
      </c>
      <c r="AS317" s="17">
        <v>-0.71411311022759716</v>
      </c>
      <c r="AT317" s="17">
        <v>0.88499600922891264</v>
      </c>
      <c r="AU317" s="17">
        <v>0.5792278549983475</v>
      </c>
      <c r="AV317" s="17">
        <v>0.9395529650555966</v>
      </c>
      <c r="AW317" s="17">
        <v>-0.85635310490992045</v>
      </c>
      <c r="AX317" s="17">
        <v>0.92601490287376209</v>
      </c>
      <c r="AY317" s="17">
        <v>-0.69766829767101202</v>
      </c>
      <c r="AZ317" s="17">
        <v>0.86473716618945395</v>
      </c>
      <c r="BA317" s="17">
        <v>0.93603423786689766</v>
      </c>
      <c r="BB317" s="17">
        <v>0.8909190309598658</v>
      </c>
      <c r="BC317" s="17">
        <v>0.30472006653312173</v>
      </c>
      <c r="BD317" s="17">
        <v>-0.93042406693883639</v>
      </c>
      <c r="BE317" s="17">
        <v>-0.39899173592522635</v>
      </c>
      <c r="BF317" s="17">
        <v>0.46469198645857551</v>
      </c>
      <c r="BK317" s="20">
        <v>1.0142475504123172</v>
      </c>
      <c r="BL317" s="20">
        <v>-1.425221933246151E-2</v>
      </c>
      <c r="BN317" s="21">
        <f t="shared" si="14"/>
        <v>0</v>
      </c>
    </row>
    <row r="318" spans="1:66">
      <c r="A318" s="14">
        <v>12.18</v>
      </c>
      <c r="B318" s="14">
        <v>14.08</v>
      </c>
      <c r="C318" s="14">
        <v>77.25</v>
      </c>
      <c r="D318" s="14">
        <v>461.4</v>
      </c>
      <c r="E318" s="14">
        <v>3.2120000000000003E-2</v>
      </c>
      <c r="F318" s="14">
        <v>1.123E-2</v>
      </c>
      <c r="G318" s="14">
        <v>5.0509999999999999E-3</v>
      </c>
      <c r="H318" s="14">
        <v>12.85</v>
      </c>
      <c r="I318" s="14">
        <v>513.1</v>
      </c>
      <c r="J318" s="14">
        <v>1.8519999999999998E-2</v>
      </c>
      <c r="M318" s="16">
        <v>0</v>
      </c>
      <c r="O318" s="12">
        <f t="shared" si="12"/>
        <v>1</v>
      </c>
      <c r="P318" s="12">
        <f t="shared" si="13"/>
        <v>0</v>
      </c>
      <c r="R318" s="17">
        <v>-0.86216493245391179</v>
      </c>
      <c r="S318" s="17">
        <v>0.86592397083683859</v>
      </c>
      <c r="T318" s="17">
        <v>1.1492407566427856</v>
      </c>
      <c r="U318" s="17">
        <v>0.30971288832147947</v>
      </c>
      <c r="V318" s="17">
        <v>1.322038261257461</v>
      </c>
      <c r="W318" s="17">
        <v>-0.54000870393571332</v>
      </c>
      <c r="X318" s="17">
        <v>-0.93446499101467595</v>
      </c>
      <c r="Y318" s="17">
        <v>1.3623707400649003</v>
      </c>
      <c r="Z318" s="17">
        <v>0.73556995189170193</v>
      </c>
      <c r="AA318" s="17">
        <v>1.6983871669386827</v>
      </c>
      <c r="AB318" s="17">
        <v>-1.2113068807979621</v>
      </c>
      <c r="AC318" s="17">
        <v>1.5906603286575782</v>
      </c>
      <c r="AD318" s="17">
        <v>-0.8593627097567913</v>
      </c>
      <c r="AE318" s="17">
        <v>1.3374666300864129</v>
      </c>
      <c r="AF318" s="17">
        <v>1.6049118769290147</v>
      </c>
      <c r="AG318" s="17">
        <v>1.3481853892245086</v>
      </c>
      <c r="AH318" s="17">
        <v>0.33128292594394448</v>
      </c>
      <c r="AI318" s="17">
        <v>-1.6572512841003593</v>
      </c>
      <c r="AJ318" s="17">
        <v>-0.4315878441673433</v>
      </c>
      <c r="AK318" s="17">
        <v>0.36873422441298942</v>
      </c>
      <c r="AM318" s="17">
        <v>-0.73588335891866763</v>
      </c>
      <c r="AN318" s="17">
        <v>0.70245398088024968</v>
      </c>
      <c r="AO318" s="17">
        <v>0.77537350920835968</v>
      </c>
      <c r="AP318" s="17">
        <v>0.31852027663941207</v>
      </c>
      <c r="AQ318" s="17">
        <v>0.86643837204892549</v>
      </c>
      <c r="AR318" s="17">
        <v>-0.56965113286474223</v>
      </c>
      <c r="AS318" s="17">
        <v>-0.76156200396972584</v>
      </c>
      <c r="AT318" s="17">
        <v>0.84689425510143912</v>
      </c>
      <c r="AU318" s="17">
        <v>0.70997905397084049</v>
      </c>
      <c r="AV318" s="17">
        <v>0.91747842836018934</v>
      </c>
      <c r="AW318" s="17">
        <v>-0.77148110866280928</v>
      </c>
      <c r="AX318" s="17">
        <v>0.89776713481844295</v>
      </c>
      <c r="AY318" s="17">
        <v>-0.68030339379767046</v>
      </c>
      <c r="AZ318" s="17">
        <v>0.876888234509965</v>
      </c>
      <c r="BA318" s="17">
        <v>0.87030592415991836</v>
      </c>
      <c r="BB318" s="17">
        <v>0.81254423907376927</v>
      </c>
      <c r="BC318" s="17">
        <v>0.34594415112328686</v>
      </c>
      <c r="BD318" s="17">
        <v>-0.92243653591263475</v>
      </c>
      <c r="BE318" s="17">
        <v>-0.41491504921595523</v>
      </c>
      <c r="BF318" s="17">
        <v>0.19905670327508812</v>
      </c>
      <c r="BK318" s="20">
        <v>3.3033110020655038E-2</v>
      </c>
      <c r="BL318" s="20">
        <v>0.966987732915909</v>
      </c>
      <c r="BN318" s="21">
        <f t="shared" si="14"/>
        <v>1</v>
      </c>
    </row>
    <row r="319" spans="1:66">
      <c r="A319" s="14">
        <v>18.22</v>
      </c>
      <c r="B319" s="14">
        <v>18.87</v>
      </c>
      <c r="C319" s="14">
        <v>118.7</v>
      </c>
      <c r="D319" s="14">
        <v>1027</v>
      </c>
      <c r="E319" s="14">
        <v>0.11169999999999999</v>
      </c>
      <c r="F319" s="14">
        <v>0.113</v>
      </c>
      <c r="G319" s="14">
        <v>7.9500000000000001E-2</v>
      </c>
      <c r="H319" s="14">
        <v>21.84</v>
      </c>
      <c r="I319" s="14">
        <v>1485</v>
      </c>
      <c r="J319" s="14">
        <v>0.17760000000000001</v>
      </c>
      <c r="M319" s="16">
        <v>1</v>
      </c>
      <c r="O319" s="12">
        <f t="shared" si="12"/>
        <v>0</v>
      </c>
      <c r="P319" s="12">
        <f t="shared" si="13"/>
        <v>1</v>
      </c>
      <c r="R319" s="17">
        <v>-0.86216493245391179</v>
      </c>
      <c r="S319" s="17">
        <v>0.86592397083683859</v>
      </c>
      <c r="T319" s="17">
        <v>1.1492407566427856</v>
      </c>
      <c r="U319" s="17">
        <v>0.30971288832147947</v>
      </c>
      <c r="V319" s="17">
        <v>1.322038261257461</v>
      </c>
      <c r="W319" s="17">
        <v>-0.54000870393571332</v>
      </c>
      <c r="X319" s="17">
        <v>-0.93446499101467595</v>
      </c>
      <c r="Y319" s="17">
        <v>1.3623707400649003</v>
      </c>
      <c r="Z319" s="17">
        <v>0.73556995189170193</v>
      </c>
      <c r="AA319" s="17">
        <v>1.6983871669386827</v>
      </c>
      <c r="AB319" s="17">
        <v>-1.2113068807979621</v>
      </c>
      <c r="AC319" s="17">
        <v>1.5906603286575782</v>
      </c>
      <c r="AD319" s="17">
        <v>-0.8593627097567913</v>
      </c>
      <c r="AE319" s="17">
        <v>1.3374666300864129</v>
      </c>
      <c r="AF319" s="17">
        <v>1.6049118769290147</v>
      </c>
      <c r="AG319" s="17">
        <v>1.3481853892245086</v>
      </c>
      <c r="AH319" s="17">
        <v>0.33128292594394448</v>
      </c>
      <c r="AI319" s="17">
        <v>-1.6572512841003593</v>
      </c>
      <c r="AJ319" s="17">
        <v>-0.4315878441673433</v>
      </c>
      <c r="AK319" s="17">
        <v>0.36873422441298942</v>
      </c>
      <c r="AM319" s="17">
        <v>-0.72202095250623177</v>
      </c>
      <c r="AN319" s="17">
        <v>0.69635138190601187</v>
      </c>
      <c r="AO319" s="17">
        <v>0.77942134131971252</v>
      </c>
      <c r="AP319" s="17">
        <v>0.31073046365480306</v>
      </c>
      <c r="AQ319" s="17">
        <v>0.86262008368736831</v>
      </c>
      <c r="AR319" s="17">
        <v>-0.54735447261996628</v>
      </c>
      <c r="AS319" s="17">
        <v>-0.74993610797602583</v>
      </c>
      <c r="AT319" s="17">
        <v>0.85024144806676472</v>
      </c>
      <c r="AU319" s="17">
        <v>0.68664751112881706</v>
      </c>
      <c r="AV319" s="17">
        <v>0.91903018733679398</v>
      </c>
      <c r="AW319" s="17">
        <v>-0.78362847630997867</v>
      </c>
      <c r="AX319" s="17">
        <v>0.90012609232818741</v>
      </c>
      <c r="AY319" s="17">
        <v>-0.67859062783684598</v>
      </c>
      <c r="AZ319" s="17">
        <v>0.87168059562527267</v>
      </c>
      <c r="BA319" s="17">
        <v>0.8810556230942761</v>
      </c>
      <c r="BB319" s="17">
        <v>0.82425103283519241</v>
      </c>
      <c r="BC319" s="17">
        <v>0.33609364443638584</v>
      </c>
      <c r="BD319" s="17">
        <v>-0.9213294070824366</v>
      </c>
      <c r="BE319" s="17">
        <v>-0.40859272108035444</v>
      </c>
      <c r="BF319" s="17">
        <v>0.26309579653074838</v>
      </c>
      <c r="BK319" s="20">
        <v>1.0163798234536137</v>
      </c>
      <c r="BL319" s="20">
        <v>-1.6343825570853437E-2</v>
      </c>
      <c r="BN319" s="21">
        <f t="shared" si="14"/>
        <v>0</v>
      </c>
    </row>
    <row r="320" spans="1:66">
      <c r="A320" s="14">
        <v>9.0419999999999998</v>
      </c>
      <c r="B320" s="14">
        <v>18.899999999999999</v>
      </c>
      <c r="C320" s="14">
        <v>60.07</v>
      </c>
      <c r="D320" s="14">
        <v>244.5</v>
      </c>
      <c r="E320" s="14">
        <v>0.19719999999999999</v>
      </c>
      <c r="F320" s="14">
        <v>0.19750000000000001</v>
      </c>
      <c r="G320" s="14">
        <v>4.9079999999999999E-2</v>
      </c>
      <c r="H320" s="14">
        <v>10.06</v>
      </c>
      <c r="I320" s="14">
        <v>297.10000000000002</v>
      </c>
      <c r="J320" s="14">
        <v>0.1145</v>
      </c>
      <c r="M320" s="16">
        <v>0</v>
      </c>
      <c r="O320" s="12">
        <f t="shared" si="12"/>
        <v>1</v>
      </c>
      <c r="P320" s="12">
        <f t="shared" si="13"/>
        <v>0</v>
      </c>
      <c r="R320" s="17">
        <v>-0.86216493245391179</v>
      </c>
      <c r="S320" s="17">
        <v>0.86592397083683859</v>
      </c>
      <c r="T320" s="17">
        <v>1.1492407566427856</v>
      </c>
      <c r="U320" s="17">
        <v>0.30971288832147947</v>
      </c>
      <c r="V320" s="17">
        <v>1.322038261257461</v>
      </c>
      <c r="W320" s="17">
        <v>-0.54000870393571332</v>
      </c>
      <c r="X320" s="17">
        <v>-0.93446499101467595</v>
      </c>
      <c r="Y320" s="17">
        <v>1.3623707400649003</v>
      </c>
      <c r="Z320" s="17">
        <v>0.73556995189170193</v>
      </c>
      <c r="AA320" s="17">
        <v>1.6983871669386827</v>
      </c>
      <c r="AB320" s="17">
        <v>-1.2113068807979621</v>
      </c>
      <c r="AC320" s="17">
        <v>1.5906603286575782</v>
      </c>
      <c r="AD320" s="17">
        <v>-0.8593627097567913</v>
      </c>
      <c r="AE320" s="17">
        <v>1.3374666300864129</v>
      </c>
      <c r="AF320" s="17">
        <v>1.6049118769290147</v>
      </c>
      <c r="AG320" s="17">
        <v>1.3481853892245086</v>
      </c>
      <c r="AH320" s="17">
        <v>0.33128292594394448</v>
      </c>
      <c r="AI320" s="17">
        <v>-1.6572512841003593</v>
      </c>
      <c r="AJ320" s="17">
        <v>-0.4315878441673433</v>
      </c>
      <c r="AK320" s="17">
        <v>0.36873422416122881</v>
      </c>
      <c r="AM320" s="17">
        <v>-0.79188674292727612</v>
      </c>
      <c r="AN320" s="17">
        <v>0.74690115937531043</v>
      </c>
      <c r="AO320" s="17">
        <v>0.79704862089455841</v>
      </c>
      <c r="AP320" s="17">
        <v>0.3573441874234905</v>
      </c>
      <c r="AQ320" s="17">
        <v>0.89656731484880681</v>
      </c>
      <c r="AR320" s="17">
        <v>-0.64357960590206331</v>
      </c>
      <c r="AS320" s="17">
        <v>-0.81259280812336765</v>
      </c>
      <c r="AT320" s="17">
        <v>0.8668336888744802</v>
      </c>
      <c r="AU320" s="17">
        <v>0.78187582192143146</v>
      </c>
      <c r="AV320" s="17">
        <v>0.932642787988613</v>
      </c>
      <c r="AW320" s="17">
        <v>-0.77925092730204526</v>
      </c>
      <c r="AX320" s="17">
        <v>0.91415454458599654</v>
      </c>
      <c r="AY320" s="17">
        <v>-0.71742728536151457</v>
      </c>
      <c r="AZ320" s="17">
        <v>0.907925577207087</v>
      </c>
      <c r="BA320" s="17">
        <v>0.87343984227168847</v>
      </c>
      <c r="BB320" s="17">
        <v>0.81880697448403872</v>
      </c>
      <c r="BC320" s="17">
        <v>0.3903327559530268</v>
      </c>
      <c r="BD320" s="17">
        <v>-0.9411630876190461</v>
      </c>
      <c r="BE320" s="17">
        <v>-0.45594584726346843</v>
      </c>
      <c r="BF320" s="17">
        <v>0.14284612187190518</v>
      </c>
      <c r="BK320" s="20">
        <v>3.5859797402223885E-2</v>
      </c>
      <c r="BL320" s="20">
        <v>0.96419973448622998</v>
      </c>
      <c r="BN320" s="21">
        <f t="shared" si="14"/>
        <v>1</v>
      </c>
    </row>
    <row r="321" spans="1:66">
      <c r="A321" s="14">
        <v>12.43</v>
      </c>
      <c r="B321" s="14">
        <v>17</v>
      </c>
      <c r="C321" s="14">
        <v>78.599999999999994</v>
      </c>
      <c r="D321" s="14">
        <v>477.3</v>
      </c>
      <c r="E321" s="14">
        <v>3.4540000000000001E-2</v>
      </c>
      <c r="F321" s="14">
        <v>1.342E-2</v>
      </c>
      <c r="G321" s="14">
        <v>1.6990000000000002E-2</v>
      </c>
      <c r="H321" s="14">
        <v>12.9</v>
      </c>
      <c r="I321" s="14">
        <v>515.9</v>
      </c>
      <c r="J321" s="14">
        <v>2.8320000000000001E-2</v>
      </c>
      <c r="M321" s="16">
        <v>0</v>
      </c>
      <c r="O321" s="12">
        <f t="shared" si="12"/>
        <v>1</v>
      </c>
      <c r="P321" s="12">
        <f t="shared" si="13"/>
        <v>0</v>
      </c>
      <c r="R321" s="17">
        <v>-0.86216493245391179</v>
      </c>
      <c r="S321" s="17">
        <v>0.86592397083683859</v>
      </c>
      <c r="T321" s="17">
        <v>1.1492407566427856</v>
      </c>
      <c r="U321" s="17">
        <v>0.30971288832147947</v>
      </c>
      <c r="V321" s="17">
        <v>1.322038261257461</v>
      </c>
      <c r="W321" s="17">
        <v>-0.54000870393571332</v>
      </c>
      <c r="X321" s="17">
        <v>-0.93446499101467595</v>
      </c>
      <c r="Y321" s="17">
        <v>1.3623707400649003</v>
      </c>
      <c r="Z321" s="17">
        <v>0.73556995189170193</v>
      </c>
      <c r="AA321" s="17">
        <v>1.6983871669386827</v>
      </c>
      <c r="AB321" s="17">
        <v>-1.2113068807979621</v>
      </c>
      <c r="AC321" s="17">
        <v>1.5906603286575782</v>
      </c>
      <c r="AD321" s="17">
        <v>-0.8593627097567913</v>
      </c>
      <c r="AE321" s="17">
        <v>1.3374666300864129</v>
      </c>
      <c r="AF321" s="17">
        <v>1.6049118769290147</v>
      </c>
      <c r="AG321" s="17">
        <v>1.3481853892245086</v>
      </c>
      <c r="AH321" s="17">
        <v>0.33128292594394448</v>
      </c>
      <c r="AI321" s="17">
        <v>-1.6572512841003593</v>
      </c>
      <c r="AJ321" s="17">
        <v>-0.4315878441673433</v>
      </c>
      <c r="AK321" s="17">
        <v>0.36873422441298942</v>
      </c>
      <c r="AM321" s="17">
        <v>-0.80894935209529706</v>
      </c>
      <c r="AN321" s="17">
        <v>0.74050856170912327</v>
      </c>
      <c r="AO321" s="17">
        <v>0.75995041305238997</v>
      </c>
      <c r="AP321" s="17">
        <v>0.36616316962695949</v>
      </c>
      <c r="AQ321" s="17">
        <v>0.88995368473842174</v>
      </c>
      <c r="AR321" s="17">
        <v>-0.68711122134169733</v>
      </c>
      <c r="AS321" s="17">
        <v>-0.82389374787809444</v>
      </c>
      <c r="AT321" s="17">
        <v>0.83068674782155416</v>
      </c>
      <c r="AU321" s="17">
        <v>0.82156803516149157</v>
      </c>
      <c r="AV321" s="17">
        <v>0.91109434667974387</v>
      </c>
      <c r="AW321" s="17">
        <v>-0.69515358731848265</v>
      </c>
      <c r="AX321" s="17">
        <v>0.88673824634875531</v>
      </c>
      <c r="AY321" s="17">
        <v>-0.69514713025856367</v>
      </c>
      <c r="AZ321" s="17">
        <v>0.90626949910539301</v>
      </c>
      <c r="BA321" s="17">
        <v>0.79416088473644642</v>
      </c>
      <c r="BB321" s="17">
        <v>0.73623522546683118</v>
      </c>
      <c r="BC321" s="17">
        <v>0.40504983320031662</v>
      </c>
      <c r="BD321" s="17">
        <v>-0.93111297291231998</v>
      </c>
      <c r="BE321" s="17">
        <v>-0.45488391150560353</v>
      </c>
      <c r="BF321" s="17">
        <v>0.57680920525364388</v>
      </c>
      <c r="BK321" s="20">
        <v>1.008456127553357</v>
      </c>
      <c r="BL321" s="20">
        <v>-8.348970182404037E-3</v>
      </c>
      <c r="BN321" s="21">
        <f t="shared" si="14"/>
        <v>0</v>
      </c>
    </row>
    <row r="322" spans="1:66">
      <c r="A322" s="14">
        <v>10.25</v>
      </c>
      <c r="B322" s="14">
        <v>16.18</v>
      </c>
      <c r="C322" s="14">
        <v>66.52</v>
      </c>
      <c r="D322" s="14">
        <v>324.2</v>
      </c>
      <c r="E322" s="14">
        <v>0.1111</v>
      </c>
      <c r="F322" s="14">
        <v>6.726E-2</v>
      </c>
      <c r="G322" s="14">
        <v>3.9649999999999998E-2</v>
      </c>
      <c r="H322" s="14">
        <v>11.28</v>
      </c>
      <c r="I322" s="14">
        <v>390.4</v>
      </c>
      <c r="J322" s="14">
        <v>9.7439999999999999E-2</v>
      </c>
      <c r="M322" s="16">
        <v>0</v>
      </c>
      <c r="O322" s="12">
        <f t="shared" si="12"/>
        <v>1</v>
      </c>
      <c r="P322" s="12">
        <f t="shared" si="13"/>
        <v>0</v>
      </c>
      <c r="R322" s="17">
        <v>-0.86216493245391179</v>
      </c>
      <c r="S322" s="17">
        <v>0.86592397083683859</v>
      </c>
      <c r="T322" s="17">
        <v>1.1492407566427856</v>
      </c>
      <c r="U322" s="17">
        <v>0.30971288832147947</v>
      </c>
      <c r="V322" s="17">
        <v>1.322038261257461</v>
      </c>
      <c r="W322" s="17">
        <v>-0.54000870393571332</v>
      </c>
      <c r="X322" s="17">
        <v>-0.93446499101467595</v>
      </c>
      <c r="Y322" s="17">
        <v>1.3623707400649003</v>
      </c>
      <c r="Z322" s="17">
        <v>0.73556995189170193</v>
      </c>
      <c r="AA322" s="17">
        <v>1.6983871669386827</v>
      </c>
      <c r="AB322" s="17">
        <v>-1.2113068807979621</v>
      </c>
      <c r="AC322" s="17">
        <v>1.5906603286575782</v>
      </c>
      <c r="AD322" s="17">
        <v>-0.8593627097567913</v>
      </c>
      <c r="AE322" s="17">
        <v>1.3374666300864129</v>
      </c>
      <c r="AF322" s="17">
        <v>1.6049118769290147</v>
      </c>
      <c r="AG322" s="17">
        <v>1.3481853892245086</v>
      </c>
      <c r="AH322" s="17">
        <v>0.33128292594394448</v>
      </c>
      <c r="AI322" s="17">
        <v>-1.6572512841003593</v>
      </c>
      <c r="AJ322" s="17">
        <v>-0.4315878441673433</v>
      </c>
      <c r="AK322" s="17">
        <v>0.36873422441117842</v>
      </c>
      <c r="AM322" s="17">
        <v>-0.73527045657762824</v>
      </c>
      <c r="AN322" s="17">
        <v>0.71403853412601215</v>
      </c>
      <c r="AO322" s="17">
        <v>0.80793895466585375</v>
      </c>
      <c r="AP322" s="17">
        <v>0.32055277314237784</v>
      </c>
      <c r="AQ322" s="17">
        <v>0.87602696875859298</v>
      </c>
      <c r="AR322" s="17">
        <v>-0.55595854271283063</v>
      </c>
      <c r="AS322" s="17">
        <v>-0.76382350563855461</v>
      </c>
      <c r="AT322" s="17">
        <v>0.86782371325198027</v>
      </c>
      <c r="AU322" s="17">
        <v>0.69516942912615343</v>
      </c>
      <c r="AV322" s="17">
        <v>0.93082970425452105</v>
      </c>
      <c r="AW322" s="17">
        <v>-0.80831236269416562</v>
      </c>
      <c r="AX322" s="17">
        <v>0.91389634500554484</v>
      </c>
      <c r="AY322" s="17">
        <v>-0.69869841476397376</v>
      </c>
      <c r="AZ322" s="17">
        <v>0.88382725814796415</v>
      </c>
      <c r="BA322" s="17">
        <v>0.89993818384539659</v>
      </c>
      <c r="BB322" s="17">
        <v>0.84701012081009797</v>
      </c>
      <c r="BC322" s="17">
        <v>0.34576216847868801</v>
      </c>
      <c r="BD322" s="17">
        <v>-0.93169052226525584</v>
      </c>
      <c r="BE322" s="17">
        <v>-0.42257690611963633</v>
      </c>
      <c r="BF322" s="17">
        <v>0.38063661813764982</v>
      </c>
      <c r="BK322" s="20">
        <v>1.0586520820246459</v>
      </c>
      <c r="BL322" s="20">
        <v>-5.871285639956364E-2</v>
      </c>
      <c r="BN322" s="21">
        <f t="shared" si="14"/>
        <v>0</v>
      </c>
    </row>
    <row r="323" spans="1:66">
      <c r="A323" s="14">
        <v>20.16</v>
      </c>
      <c r="B323" s="14">
        <v>19.66</v>
      </c>
      <c r="C323" s="14">
        <v>131.1</v>
      </c>
      <c r="D323" s="14">
        <v>1274</v>
      </c>
      <c r="E323" s="14">
        <v>8.5639999999999994E-2</v>
      </c>
      <c r="F323" s="14">
        <v>0.11550000000000001</v>
      </c>
      <c r="G323" s="14">
        <v>7.7259999999999995E-2</v>
      </c>
      <c r="H323" s="14">
        <v>23.06</v>
      </c>
      <c r="I323" s="14">
        <v>1657</v>
      </c>
      <c r="J323" s="14">
        <v>0.14249999999999999</v>
      </c>
      <c r="M323" s="16">
        <v>1</v>
      </c>
      <c r="O323" s="12">
        <f t="shared" ref="O323:O386" si="15">IF(M323=0,1,0)</f>
        <v>0</v>
      </c>
      <c r="P323" s="12">
        <f t="shared" ref="P323:P386" si="16">IF(M323=1,1,0)</f>
        <v>1</v>
      </c>
      <c r="R323" s="17">
        <v>-0.86216493245391179</v>
      </c>
      <c r="S323" s="17">
        <v>0.86592397083683859</v>
      </c>
      <c r="T323" s="17">
        <v>1.1492407566427856</v>
      </c>
      <c r="U323" s="17">
        <v>0.30971288832147947</v>
      </c>
      <c r="V323" s="17">
        <v>1.322038261257461</v>
      </c>
      <c r="W323" s="17">
        <v>-0.54000870393571332</v>
      </c>
      <c r="X323" s="17">
        <v>-0.93446499101467595</v>
      </c>
      <c r="Y323" s="17">
        <v>1.3623707400649003</v>
      </c>
      <c r="Z323" s="17">
        <v>0.73556995189170193</v>
      </c>
      <c r="AA323" s="17">
        <v>1.6983871669386827</v>
      </c>
      <c r="AB323" s="17">
        <v>-1.2113068807979621</v>
      </c>
      <c r="AC323" s="17">
        <v>1.5906603286575782</v>
      </c>
      <c r="AD323" s="17">
        <v>-0.8593627097567913</v>
      </c>
      <c r="AE323" s="17">
        <v>1.3374666300864129</v>
      </c>
      <c r="AF323" s="17">
        <v>1.6049118769290147</v>
      </c>
      <c r="AG323" s="17">
        <v>1.3481853892245086</v>
      </c>
      <c r="AH323" s="17">
        <v>0.33128292594394448</v>
      </c>
      <c r="AI323" s="17">
        <v>-1.6572512841003593</v>
      </c>
      <c r="AJ323" s="17">
        <v>-0.4315878441673433</v>
      </c>
      <c r="AK323" s="17">
        <v>0.36873422438985781</v>
      </c>
      <c r="AM323" s="17">
        <v>-0.74063186127006142</v>
      </c>
      <c r="AN323" s="17">
        <v>0.69795881177087982</v>
      </c>
      <c r="AO323" s="17">
        <v>0.75008598010160743</v>
      </c>
      <c r="AP323" s="17">
        <v>0.31995336576282718</v>
      </c>
      <c r="AQ323" s="17">
        <v>0.86217461253946948</v>
      </c>
      <c r="AR323" s="17">
        <v>-0.58407112028522878</v>
      </c>
      <c r="AS323" s="17">
        <v>-0.76404231159525726</v>
      </c>
      <c r="AT323" s="17">
        <v>0.8329773750800572</v>
      </c>
      <c r="AU323" s="17">
        <v>0.72500385111551835</v>
      </c>
      <c r="AV323" s="17">
        <v>0.90858473882555291</v>
      </c>
      <c r="AW323" s="17">
        <v>-0.74432451178260595</v>
      </c>
      <c r="AX323" s="17">
        <v>0.88689734304532897</v>
      </c>
      <c r="AY323" s="17">
        <v>-0.67041865335135442</v>
      </c>
      <c r="AZ323" s="17">
        <v>0.87463837073385786</v>
      </c>
      <c r="BA323" s="17">
        <v>0.84654580070020258</v>
      </c>
      <c r="BB323" s="17">
        <v>0.78643363324321514</v>
      </c>
      <c r="BC323" s="17">
        <v>0.34925847783652447</v>
      </c>
      <c r="BD323" s="17">
        <v>-0.9172515606113486</v>
      </c>
      <c r="BE323" s="17">
        <v>-0.41276551949235563</v>
      </c>
      <c r="BF323" s="17">
        <v>0.33140494617556793</v>
      </c>
      <c r="BK323" s="20">
        <v>1.0465289580909745</v>
      </c>
      <c r="BL323" s="20">
        <v>-4.6638654467952581E-2</v>
      </c>
      <c r="BN323" s="21">
        <f t="shared" si="14"/>
        <v>0</v>
      </c>
    </row>
    <row r="324" spans="1:66">
      <c r="A324" s="14">
        <v>12.86</v>
      </c>
      <c r="B324" s="14">
        <v>13.32</v>
      </c>
      <c r="C324" s="14">
        <v>82.82</v>
      </c>
      <c r="D324" s="14">
        <v>504.8</v>
      </c>
      <c r="E324" s="14">
        <v>8.8340000000000002E-2</v>
      </c>
      <c r="F324" s="14">
        <v>3.7999999999999999E-2</v>
      </c>
      <c r="G324" s="14">
        <v>3.4000000000000002E-2</v>
      </c>
      <c r="H324" s="14">
        <v>14.04</v>
      </c>
      <c r="I324" s="14">
        <v>599.5</v>
      </c>
      <c r="J324" s="14">
        <v>0.11550000000000001</v>
      </c>
      <c r="M324" s="16">
        <v>0</v>
      </c>
      <c r="O324" s="12">
        <f t="shared" si="15"/>
        <v>1</v>
      </c>
      <c r="P324" s="12">
        <f t="shared" si="16"/>
        <v>0</v>
      </c>
      <c r="R324" s="17">
        <v>-0.86216493245391179</v>
      </c>
      <c r="S324" s="17">
        <v>0.86592397083683859</v>
      </c>
      <c r="T324" s="17">
        <v>1.1492407566427856</v>
      </c>
      <c r="U324" s="17">
        <v>0.30971288832147947</v>
      </c>
      <c r="V324" s="17">
        <v>1.322038261257461</v>
      </c>
      <c r="W324" s="17">
        <v>-0.54000870393571332</v>
      </c>
      <c r="X324" s="17">
        <v>-0.93446499101467595</v>
      </c>
      <c r="Y324" s="17">
        <v>1.3623707400649003</v>
      </c>
      <c r="Z324" s="17">
        <v>0.73556995189170193</v>
      </c>
      <c r="AA324" s="17">
        <v>1.6983871669386827</v>
      </c>
      <c r="AB324" s="17">
        <v>-1.2113068807979621</v>
      </c>
      <c r="AC324" s="17">
        <v>1.5906603286575782</v>
      </c>
      <c r="AD324" s="17">
        <v>-0.8593627097567913</v>
      </c>
      <c r="AE324" s="17">
        <v>1.3374666300864129</v>
      </c>
      <c r="AF324" s="17">
        <v>1.6049118769290147</v>
      </c>
      <c r="AG324" s="17">
        <v>1.3481853892245086</v>
      </c>
      <c r="AH324" s="17">
        <v>0.33128292594394448</v>
      </c>
      <c r="AI324" s="17">
        <v>-1.6572512841003593</v>
      </c>
      <c r="AJ324" s="17">
        <v>-0.4315878441673433</v>
      </c>
      <c r="AK324" s="17">
        <v>0.36873422441298942</v>
      </c>
      <c r="AM324" s="17">
        <v>-0.67796301216142318</v>
      </c>
      <c r="AN324" s="17">
        <v>0.69930975219384939</v>
      </c>
      <c r="AO324" s="17">
        <v>0.84959922159660128</v>
      </c>
      <c r="AP324" s="17">
        <v>0.29187294110071094</v>
      </c>
      <c r="AQ324" s="17">
        <v>0.86890157874430773</v>
      </c>
      <c r="AR324" s="17">
        <v>-0.45265042314848625</v>
      </c>
      <c r="AS324" s="17">
        <v>-0.71865813634992193</v>
      </c>
      <c r="AT324" s="17">
        <v>0.89094166113060225</v>
      </c>
      <c r="AU324" s="17">
        <v>0.57957899153892922</v>
      </c>
      <c r="AV324" s="17">
        <v>0.94337466422681293</v>
      </c>
      <c r="AW324" s="17">
        <v>-0.86431727757238064</v>
      </c>
      <c r="AX324" s="17">
        <v>0.93049016549391228</v>
      </c>
      <c r="AY324" s="17">
        <v>-0.70514336662037291</v>
      </c>
      <c r="AZ324" s="17">
        <v>0.86922409698418857</v>
      </c>
      <c r="BA324" s="17">
        <v>0.94105286251908626</v>
      </c>
      <c r="BB324" s="17">
        <v>0.89781639469515562</v>
      </c>
      <c r="BC324" s="17">
        <v>0.30732836380443851</v>
      </c>
      <c r="BD324" s="17">
        <v>-0.93409184355009633</v>
      </c>
      <c r="BE324" s="17">
        <v>-0.40376953623413786</v>
      </c>
      <c r="BF324" s="17">
        <v>0.35224808430751353</v>
      </c>
      <c r="BK324" s="20">
        <v>0.91384761726757358</v>
      </c>
      <c r="BL324" s="20">
        <v>8.6058616058282161E-2</v>
      </c>
      <c r="BN324" s="21">
        <f t="shared" si="14"/>
        <v>0</v>
      </c>
    </row>
    <row r="325" spans="1:66">
      <c r="A325" s="14">
        <v>20.34</v>
      </c>
      <c r="B325" s="14">
        <v>21.51</v>
      </c>
      <c r="C325" s="14">
        <v>135.9</v>
      </c>
      <c r="D325" s="14">
        <v>1264</v>
      </c>
      <c r="E325" s="14">
        <v>0.1875</v>
      </c>
      <c r="F325" s="14">
        <v>0.25650000000000001</v>
      </c>
      <c r="G325" s="14">
        <v>0.15040000000000001</v>
      </c>
      <c r="H325" s="14">
        <v>25.3</v>
      </c>
      <c r="I325" s="14">
        <v>1938</v>
      </c>
      <c r="J325" s="14">
        <v>0.26850000000000002</v>
      </c>
      <c r="M325" s="16">
        <v>1</v>
      </c>
      <c r="O325" s="12">
        <f t="shared" si="15"/>
        <v>0</v>
      </c>
      <c r="P325" s="12">
        <f t="shared" si="16"/>
        <v>1</v>
      </c>
      <c r="R325" s="17">
        <v>-0.86216493245391179</v>
      </c>
      <c r="S325" s="17">
        <v>0.86592397083683859</v>
      </c>
      <c r="T325" s="17">
        <v>1.1492407566427856</v>
      </c>
      <c r="U325" s="17">
        <v>0.30971288832147947</v>
      </c>
      <c r="V325" s="17">
        <v>1.322038261257461</v>
      </c>
      <c r="W325" s="17">
        <v>-0.54000870393571332</v>
      </c>
      <c r="X325" s="17">
        <v>-0.93446499101467595</v>
      </c>
      <c r="Y325" s="17">
        <v>1.3623707400649003</v>
      </c>
      <c r="Z325" s="17">
        <v>0.73556995189170193</v>
      </c>
      <c r="AA325" s="17">
        <v>1.6983871669386827</v>
      </c>
      <c r="AB325" s="17">
        <v>-1.2113068807979621</v>
      </c>
      <c r="AC325" s="17">
        <v>1.5906603286575782</v>
      </c>
      <c r="AD325" s="17">
        <v>-0.8593627097567913</v>
      </c>
      <c r="AE325" s="17">
        <v>1.3374666300864129</v>
      </c>
      <c r="AF325" s="17">
        <v>1.6049118769290147</v>
      </c>
      <c r="AG325" s="17">
        <v>1.3481853892245086</v>
      </c>
      <c r="AH325" s="17">
        <v>0.33128292594394448</v>
      </c>
      <c r="AI325" s="17">
        <v>-1.6572512841003593</v>
      </c>
      <c r="AJ325" s="17">
        <v>-0.4315878441673433</v>
      </c>
      <c r="AK325" s="17">
        <v>0.36873422441298942</v>
      </c>
      <c r="AM325" s="17">
        <v>-0.69545529618512147</v>
      </c>
      <c r="AN325" s="17">
        <v>0.70929901357368441</v>
      </c>
      <c r="AO325" s="17">
        <v>0.8521677034987043</v>
      </c>
      <c r="AP325" s="17">
        <v>0.30135362262367538</v>
      </c>
      <c r="AQ325" s="17">
        <v>0.87557511882875427</v>
      </c>
      <c r="AR325" s="17">
        <v>-0.47712634440622897</v>
      </c>
      <c r="AS325" s="17">
        <v>-0.7338439304681954</v>
      </c>
      <c r="AT325" s="17">
        <v>0.8925681606231477</v>
      </c>
      <c r="AU325" s="17">
        <v>0.60780416666112469</v>
      </c>
      <c r="AV325" s="17">
        <v>0.94486181990095819</v>
      </c>
      <c r="AW325" s="17">
        <v>-0.8622468692050218</v>
      </c>
      <c r="AX325" s="17">
        <v>0.93189002318466263</v>
      </c>
      <c r="AY325" s="17">
        <v>-0.71167709896320108</v>
      </c>
      <c r="AZ325" s="17">
        <v>0.87715055203398151</v>
      </c>
      <c r="BA325" s="17">
        <v>0.93932850174349825</v>
      </c>
      <c r="BB325" s="17">
        <v>0.89585966403720751</v>
      </c>
      <c r="BC325" s="17">
        <v>0.31865309080930754</v>
      </c>
      <c r="BD325" s="17">
        <v>-0.93735486880688512</v>
      </c>
      <c r="BE325" s="17">
        <v>-0.41304626301186065</v>
      </c>
      <c r="BF325" s="17">
        <v>0.45218906078241783</v>
      </c>
      <c r="BK325" s="20">
        <v>0.8609556524046611</v>
      </c>
      <c r="BL325" s="20">
        <v>0.13942891360347201</v>
      </c>
      <c r="BN325" s="21">
        <f t="shared" si="14"/>
        <v>0</v>
      </c>
    </row>
    <row r="326" spans="1:66">
      <c r="A326" s="14">
        <v>12.2</v>
      </c>
      <c r="B326" s="14">
        <v>15.21</v>
      </c>
      <c r="C326" s="14">
        <v>78.010000000000005</v>
      </c>
      <c r="D326" s="14">
        <v>457.9</v>
      </c>
      <c r="E326" s="14">
        <v>6.5449999999999994E-2</v>
      </c>
      <c r="F326" s="14">
        <v>1.9939999999999999E-2</v>
      </c>
      <c r="G326" s="14">
        <v>1.6920000000000001E-2</v>
      </c>
      <c r="H326" s="14">
        <v>13.75</v>
      </c>
      <c r="I326" s="14">
        <v>583.1</v>
      </c>
      <c r="J326" s="14">
        <v>5.5559999999999998E-2</v>
      </c>
      <c r="M326" s="16">
        <v>0</v>
      </c>
      <c r="O326" s="12">
        <f t="shared" si="15"/>
        <v>1</v>
      </c>
      <c r="P326" s="12">
        <f t="shared" si="16"/>
        <v>0</v>
      </c>
      <c r="R326" s="17">
        <v>-0.86216493245391179</v>
      </c>
      <c r="S326" s="17">
        <v>0.86592397083683859</v>
      </c>
      <c r="T326" s="17">
        <v>1.1492407566427856</v>
      </c>
      <c r="U326" s="17">
        <v>0.30971288832147947</v>
      </c>
      <c r="V326" s="17">
        <v>1.322038261257461</v>
      </c>
      <c r="W326" s="17">
        <v>-0.54000870393571332</v>
      </c>
      <c r="X326" s="17">
        <v>-0.93446499101467595</v>
      </c>
      <c r="Y326" s="17">
        <v>1.3623707400649003</v>
      </c>
      <c r="Z326" s="17">
        <v>0.73556995189170193</v>
      </c>
      <c r="AA326" s="17">
        <v>1.6983871669386827</v>
      </c>
      <c r="AB326" s="17">
        <v>-1.2113068807979621</v>
      </c>
      <c r="AC326" s="17">
        <v>1.5906603286575782</v>
      </c>
      <c r="AD326" s="17">
        <v>-0.8593627097567913</v>
      </c>
      <c r="AE326" s="17">
        <v>1.3374666300864129</v>
      </c>
      <c r="AF326" s="17">
        <v>1.6049118769290147</v>
      </c>
      <c r="AG326" s="17">
        <v>1.3481853892245086</v>
      </c>
      <c r="AH326" s="17">
        <v>0.33128292594394448</v>
      </c>
      <c r="AI326" s="17">
        <v>-1.6572512841003593</v>
      </c>
      <c r="AJ326" s="17">
        <v>-0.4315878441673433</v>
      </c>
      <c r="AK326" s="17">
        <v>0.36873422441298942</v>
      </c>
      <c r="AM326" s="17">
        <v>-0.61208710789850096</v>
      </c>
      <c r="AN326" s="17">
        <v>0.66212199816624029</v>
      </c>
      <c r="AO326" s="17">
        <v>0.83752892608401552</v>
      </c>
      <c r="AP326" s="17">
        <v>0.2588941388463965</v>
      </c>
      <c r="AQ326" s="17">
        <v>0.84270785310758123</v>
      </c>
      <c r="AR326" s="17">
        <v>-0.36502305466474133</v>
      </c>
      <c r="AS326" s="17">
        <v>-0.66101959872877547</v>
      </c>
      <c r="AT326" s="17">
        <v>0.88401651562301764</v>
      </c>
      <c r="AU326" s="17">
        <v>0.47368077240866924</v>
      </c>
      <c r="AV326" s="17">
        <v>0.93722577086055237</v>
      </c>
      <c r="AW326" s="17">
        <v>-0.86953404904410203</v>
      </c>
      <c r="AX326" s="17">
        <v>0.92459496442881395</v>
      </c>
      <c r="AY326" s="17">
        <v>-0.68058377954789673</v>
      </c>
      <c r="AZ326" s="17">
        <v>0.83777742815649714</v>
      </c>
      <c r="BA326" s="17">
        <v>0.94559863012274548</v>
      </c>
      <c r="BB326" s="17">
        <v>0.90283737315623669</v>
      </c>
      <c r="BC326" s="17">
        <v>0.26798528877725253</v>
      </c>
      <c r="BD326" s="17">
        <v>-0.92096549277175987</v>
      </c>
      <c r="BE326" s="17">
        <v>-0.370881446771058</v>
      </c>
      <c r="BF326" s="17">
        <v>0.28725011390619887</v>
      </c>
      <c r="BK326" s="20">
        <v>0.94176051787472415</v>
      </c>
      <c r="BL326" s="20">
        <v>5.8146400116650211E-2</v>
      </c>
      <c r="BN326" s="21">
        <f t="shared" si="14"/>
        <v>0</v>
      </c>
    </row>
    <row r="327" spans="1:66">
      <c r="A327" s="14">
        <v>12.67</v>
      </c>
      <c r="B327" s="14">
        <v>17.3</v>
      </c>
      <c r="C327" s="14">
        <v>81.25</v>
      </c>
      <c r="D327" s="14">
        <v>489.9</v>
      </c>
      <c r="E327" s="14">
        <v>7.664E-2</v>
      </c>
      <c r="F327" s="14">
        <v>3.193E-2</v>
      </c>
      <c r="G327" s="14">
        <v>2.1069999999999998E-2</v>
      </c>
      <c r="H327" s="14">
        <v>13.71</v>
      </c>
      <c r="I327" s="14">
        <v>574.4</v>
      </c>
      <c r="J327" s="14">
        <v>5.602E-2</v>
      </c>
      <c r="M327" s="16">
        <v>0</v>
      </c>
      <c r="O327" s="12">
        <f t="shared" si="15"/>
        <v>1</v>
      </c>
      <c r="P327" s="12">
        <f t="shared" si="16"/>
        <v>0</v>
      </c>
      <c r="R327" s="17">
        <v>-0.86216493245391179</v>
      </c>
      <c r="S327" s="17">
        <v>0.86592397083683859</v>
      </c>
      <c r="T327" s="17">
        <v>1.1492407566427856</v>
      </c>
      <c r="U327" s="17">
        <v>0.30971288832147947</v>
      </c>
      <c r="V327" s="17">
        <v>1.322038261257461</v>
      </c>
      <c r="W327" s="17">
        <v>-0.54000870393571332</v>
      </c>
      <c r="X327" s="17">
        <v>-0.93446499101467595</v>
      </c>
      <c r="Y327" s="17">
        <v>1.3623707400649003</v>
      </c>
      <c r="Z327" s="17">
        <v>0.73556995189170193</v>
      </c>
      <c r="AA327" s="17">
        <v>1.6983871669386827</v>
      </c>
      <c r="AB327" s="17">
        <v>-1.2113068807979621</v>
      </c>
      <c r="AC327" s="17">
        <v>1.5906603286575782</v>
      </c>
      <c r="AD327" s="17">
        <v>-0.8593627097567913</v>
      </c>
      <c r="AE327" s="17">
        <v>1.3374666300864129</v>
      </c>
      <c r="AF327" s="17">
        <v>1.6049118769290147</v>
      </c>
      <c r="AG327" s="17">
        <v>1.3481853892245086</v>
      </c>
      <c r="AH327" s="17">
        <v>0.33128292594394448</v>
      </c>
      <c r="AI327" s="17">
        <v>-1.6572512841003593</v>
      </c>
      <c r="AJ327" s="17">
        <v>-0.4315878441673433</v>
      </c>
      <c r="AK327" s="17">
        <v>0.36873422439362802</v>
      </c>
      <c r="AM327" s="17">
        <v>-0.75658511320364163</v>
      </c>
      <c r="AN327" s="17">
        <v>0.70540127650989881</v>
      </c>
      <c r="AO327" s="17">
        <v>0.71763690594660301</v>
      </c>
      <c r="AP327" s="17">
        <v>0.32944334992374713</v>
      </c>
      <c r="AQ327" s="17">
        <v>0.86686111513430131</v>
      </c>
      <c r="AR327" s="17">
        <v>-0.60966248989050975</v>
      </c>
      <c r="AS327" s="17">
        <v>-0.77754244239022174</v>
      </c>
      <c r="AT327" s="17">
        <v>0.82843342141603704</v>
      </c>
      <c r="AU327" s="17">
        <v>0.75046045521079752</v>
      </c>
      <c r="AV327" s="17">
        <v>0.90644469040766473</v>
      </c>
      <c r="AW327" s="17">
        <v>-0.72703835564434216</v>
      </c>
      <c r="AX327" s="17">
        <v>0.8836372565643611</v>
      </c>
      <c r="AY327" s="17">
        <v>-0.67256456187989411</v>
      </c>
      <c r="AZ327" s="17">
        <v>0.8808638768757473</v>
      </c>
      <c r="BA327" s="17">
        <v>0.82972545974063783</v>
      </c>
      <c r="BB327" s="17">
        <v>0.76926152640864609</v>
      </c>
      <c r="BC327" s="17">
        <v>0.36120955502614449</v>
      </c>
      <c r="BD327" s="17">
        <v>-0.91867652534782873</v>
      </c>
      <c r="BE327" s="17">
        <v>-0.42048623237614058</v>
      </c>
      <c r="BF327" s="17">
        <v>0.16718499455569666</v>
      </c>
      <c r="BK327" s="20">
        <v>1.0375710456849225</v>
      </c>
      <c r="BL327" s="20">
        <v>-3.7619021191056562E-2</v>
      </c>
      <c r="BN327" s="21">
        <f t="shared" si="14"/>
        <v>0</v>
      </c>
    </row>
    <row r="328" spans="1:66">
      <c r="A328" s="14">
        <v>14.11</v>
      </c>
      <c r="B328" s="14">
        <v>12.88</v>
      </c>
      <c r="C328" s="14">
        <v>90.03</v>
      </c>
      <c r="D328" s="14">
        <v>616.5</v>
      </c>
      <c r="E328" s="14">
        <v>5.3060000000000003E-2</v>
      </c>
      <c r="F328" s="14">
        <v>1.7649999999999999E-2</v>
      </c>
      <c r="G328" s="14">
        <v>2.733E-2</v>
      </c>
      <c r="H328" s="14">
        <v>15.53</v>
      </c>
      <c r="I328" s="14">
        <v>749.9</v>
      </c>
      <c r="J328" s="14">
        <v>5.8900000000000001E-2</v>
      </c>
      <c r="M328" s="16">
        <v>0</v>
      </c>
      <c r="O328" s="12">
        <f t="shared" si="15"/>
        <v>1</v>
      </c>
      <c r="P328" s="12">
        <f t="shared" si="16"/>
        <v>0</v>
      </c>
      <c r="R328" s="17">
        <v>-0.86216493245391179</v>
      </c>
      <c r="S328" s="17">
        <v>0.86592397083683859</v>
      </c>
      <c r="T328" s="17">
        <v>1.1492407566427856</v>
      </c>
      <c r="U328" s="17">
        <v>0.30971288832147947</v>
      </c>
      <c r="V328" s="17">
        <v>1.322038261257461</v>
      </c>
      <c r="W328" s="17">
        <v>-0.54000870393571332</v>
      </c>
      <c r="X328" s="17">
        <v>-0.93446499101467595</v>
      </c>
      <c r="Y328" s="17">
        <v>1.3623707400649003</v>
      </c>
      <c r="Z328" s="17">
        <v>0.73556995189170193</v>
      </c>
      <c r="AA328" s="17">
        <v>1.6983871669386827</v>
      </c>
      <c r="AB328" s="17">
        <v>-1.2113068807979621</v>
      </c>
      <c r="AC328" s="17">
        <v>1.5906603286575782</v>
      </c>
      <c r="AD328" s="17">
        <v>-0.8593627097567913</v>
      </c>
      <c r="AE328" s="17">
        <v>1.3374666300864129</v>
      </c>
      <c r="AF328" s="17">
        <v>1.6049118769290147</v>
      </c>
      <c r="AG328" s="17">
        <v>1.3481853892245086</v>
      </c>
      <c r="AH328" s="17">
        <v>0.33128292594394448</v>
      </c>
      <c r="AI328" s="17">
        <v>-1.6572512841003593</v>
      </c>
      <c r="AJ328" s="17">
        <v>-0.4315878441673433</v>
      </c>
      <c r="AK328" s="17">
        <v>0.36873422441298942</v>
      </c>
      <c r="AM328" s="17">
        <v>-0.76824089406839313</v>
      </c>
      <c r="AN328" s="17">
        <v>0.7287320877345359</v>
      </c>
      <c r="AO328" s="17">
        <v>0.76025864980778224</v>
      </c>
      <c r="AP328" s="17">
        <v>0.34031253882997764</v>
      </c>
      <c r="AQ328" s="17">
        <v>0.88474387711421387</v>
      </c>
      <c r="AR328" s="17">
        <v>-0.61076096723039119</v>
      </c>
      <c r="AS328" s="17">
        <v>-0.791300169509076</v>
      </c>
      <c r="AT328" s="17">
        <v>0.8600346598896732</v>
      </c>
      <c r="AU328" s="17">
        <v>0.75080544009776418</v>
      </c>
      <c r="AV328" s="17">
        <v>0.92735110676069621</v>
      </c>
      <c r="AW328" s="17">
        <v>-0.77916869318217852</v>
      </c>
      <c r="AX328" s="17">
        <v>0.90853837534935933</v>
      </c>
      <c r="AY328" s="17">
        <v>-0.70284459445342362</v>
      </c>
      <c r="AZ328" s="17">
        <v>0.89563233042564583</v>
      </c>
      <c r="BA328" s="17">
        <v>0.87487080821712837</v>
      </c>
      <c r="BB328" s="17">
        <v>0.81921714167751902</v>
      </c>
      <c r="BC328" s="17">
        <v>0.37069142992112303</v>
      </c>
      <c r="BD328" s="17">
        <v>-0.93413991785272099</v>
      </c>
      <c r="BE328" s="17">
        <v>-0.43848617810878565</v>
      </c>
      <c r="BF328" s="17">
        <v>0.32446340910006871</v>
      </c>
      <c r="BK328" s="20">
        <v>1.0500047953088127</v>
      </c>
      <c r="BL328" s="20">
        <v>-5.0068202298202052E-2</v>
      </c>
      <c r="BN328" s="21">
        <f t="shared" si="14"/>
        <v>0</v>
      </c>
    </row>
    <row r="329" spans="1:66">
      <c r="A329" s="14">
        <v>12.03</v>
      </c>
      <c r="B329" s="14">
        <v>17.93</v>
      </c>
      <c r="C329" s="14">
        <v>76.09</v>
      </c>
      <c r="D329" s="14">
        <v>446</v>
      </c>
      <c r="E329" s="14">
        <v>3.8920000000000003E-2</v>
      </c>
      <c r="F329" s="14">
        <v>1.5460000000000001E-3</v>
      </c>
      <c r="G329" s="14">
        <v>5.5919999999999997E-3</v>
      </c>
      <c r="H329" s="14">
        <v>13.07</v>
      </c>
      <c r="I329" s="14">
        <v>523.4</v>
      </c>
      <c r="J329" s="14">
        <v>2.7959999999999999E-2</v>
      </c>
      <c r="M329" s="16">
        <v>0</v>
      </c>
      <c r="O329" s="12">
        <f t="shared" si="15"/>
        <v>1</v>
      </c>
      <c r="P329" s="12">
        <f t="shared" si="16"/>
        <v>0</v>
      </c>
      <c r="R329" s="17">
        <v>-0.86216493245391179</v>
      </c>
      <c r="S329" s="17">
        <v>0.86592397083683859</v>
      </c>
      <c r="T329" s="17">
        <v>1.1492407566427856</v>
      </c>
      <c r="U329" s="17">
        <v>0.30971288832147947</v>
      </c>
      <c r="V329" s="17">
        <v>1.322038261257461</v>
      </c>
      <c r="W329" s="17">
        <v>-0.54000870393571332</v>
      </c>
      <c r="X329" s="17">
        <v>-0.93446499101467595</v>
      </c>
      <c r="Y329" s="17">
        <v>1.3623707400649003</v>
      </c>
      <c r="Z329" s="17">
        <v>0.73556995189170193</v>
      </c>
      <c r="AA329" s="17">
        <v>1.6983871669386827</v>
      </c>
      <c r="AB329" s="17">
        <v>-1.2113068807979621</v>
      </c>
      <c r="AC329" s="17">
        <v>1.5906603286575782</v>
      </c>
      <c r="AD329" s="17">
        <v>-0.8593627097567913</v>
      </c>
      <c r="AE329" s="17">
        <v>1.3374666300864129</v>
      </c>
      <c r="AF329" s="17">
        <v>1.6049118769290147</v>
      </c>
      <c r="AG329" s="17">
        <v>1.3481853892245086</v>
      </c>
      <c r="AH329" s="17">
        <v>0.33128292594394448</v>
      </c>
      <c r="AI329" s="17">
        <v>-1.6572512841003593</v>
      </c>
      <c r="AJ329" s="17">
        <v>-0.4315878441673433</v>
      </c>
      <c r="AK329" s="17">
        <v>0.36873422441298942</v>
      </c>
      <c r="AM329" s="17">
        <v>-0.67985647180326125</v>
      </c>
      <c r="AN329" s="17">
        <v>0.69253557189463277</v>
      </c>
      <c r="AO329" s="17">
        <v>0.83107925379332681</v>
      </c>
      <c r="AP329" s="17">
        <v>0.29132620412518173</v>
      </c>
      <c r="AQ329" s="17">
        <v>0.86315656916461125</v>
      </c>
      <c r="AR329" s="17">
        <v>-0.46466514250982638</v>
      </c>
      <c r="AS329" s="17">
        <v>-0.71825256748874577</v>
      </c>
      <c r="AT329" s="17">
        <v>0.88026956486221741</v>
      </c>
      <c r="AU329" s="17">
        <v>0.59403424970365881</v>
      </c>
      <c r="AV329" s="17">
        <v>0.93675059848815845</v>
      </c>
      <c r="AW329" s="17">
        <v>-0.84752433476353706</v>
      </c>
      <c r="AX329" s="17">
        <v>0.92253525187216934</v>
      </c>
      <c r="AY329" s="17">
        <v>-0.69433873238022537</v>
      </c>
      <c r="AZ329" s="17">
        <v>0.86504047201734591</v>
      </c>
      <c r="BA329" s="17">
        <v>0.93005530152944671</v>
      </c>
      <c r="BB329" s="17">
        <v>0.8831025265146637</v>
      </c>
      <c r="BC329" s="17">
        <v>0.30836206689583756</v>
      </c>
      <c r="BD329" s="17">
        <v>-0.92884350967720763</v>
      </c>
      <c r="BE329" s="17">
        <v>-0.3995831472875791</v>
      </c>
      <c r="BF329" s="17">
        <v>0.14178384895853269</v>
      </c>
      <c r="BK329" s="20">
        <v>0.98703106298850218</v>
      </c>
      <c r="BL329" s="20">
        <v>1.2994567516121809E-2</v>
      </c>
      <c r="BN329" s="21">
        <f t="shared" si="14"/>
        <v>0</v>
      </c>
    </row>
    <row r="330" spans="1:66">
      <c r="A330" s="14">
        <v>16.27</v>
      </c>
      <c r="B330" s="14">
        <v>20.71</v>
      </c>
      <c r="C330" s="14">
        <v>106.9</v>
      </c>
      <c r="D330" s="14">
        <v>813.7</v>
      </c>
      <c r="E330" s="14">
        <v>0.13189999999999999</v>
      </c>
      <c r="F330" s="14">
        <v>0.14779999999999999</v>
      </c>
      <c r="G330" s="14">
        <v>8.4879999999999997E-2</v>
      </c>
      <c r="H330" s="14">
        <v>19.28</v>
      </c>
      <c r="I330" s="14">
        <v>1121</v>
      </c>
      <c r="J330" s="14">
        <v>0.1583</v>
      </c>
      <c r="M330" s="16">
        <v>1</v>
      </c>
      <c r="O330" s="12">
        <f t="shared" si="15"/>
        <v>0</v>
      </c>
      <c r="P330" s="12">
        <f t="shared" si="16"/>
        <v>1</v>
      </c>
      <c r="R330" s="17">
        <v>-0.86216493245391179</v>
      </c>
      <c r="S330" s="17">
        <v>0.86592397083683859</v>
      </c>
      <c r="T330" s="17">
        <v>1.1492407566427856</v>
      </c>
      <c r="U330" s="17">
        <v>0.30971288832147947</v>
      </c>
      <c r="V330" s="17">
        <v>1.322038261257461</v>
      </c>
      <c r="W330" s="17">
        <v>-0.54000870393571332</v>
      </c>
      <c r="X330" s="17">
        <v>-0.93446499101467595</v>
      </c>
      <c r="Y330" s="17">
        <v>1.3623707400649003</v>
      </c>
      <c r="Z330" s="17">
        <v>0.73556995189170193</v>
      </c>
      <c r="AA330" s="17">
        <v>1.6983871669386827</v>
      </c>
      <c r="AB330" s="17">
        <v>-1.2113068807979621</v>
      </c>
      <c r="AC330" s="17">
        <v>1.5906603286575782</v>
      </c>
      <c r="AD330" s="17">
        <v>-0.8593627097567913</v>
      </c>
      <c r="AE330" s="17">
        <v>1.3374666300864129</v>
      </c>
      <c r="AF330" s="17">
        <v>1.6049118769290147</v>
      </c>
      <c r="AG330" s="17">
        <v>1.3481853892245086</v>
      </c>
      <c r="AH330" s="17">
        <v>0.33128292594394448</v>
      </c>
      <c r="AI330" s="17">
        <v>-1.6572512841003593</v>
      </c>
      <c r="AJ330" s="17">
        <v>-0.4315878441673433</v>
      </c>
      <c r="AK330" s="17">
        <v>0.36873421852264687</v>
      </c>
      <c r="AM330" s="17">
        <v>-0.90740114205030731</v>
      </c>
      <c r="AN330" s="17">
        <v>0.78179493348204565</v>
      </c>
      <c r="AO330" s="17">
        <v>-0.17142662967710223</v>
      </c>
      <c r="AP330" s="17">
        <v>0.45502259146057528</v>
      </c>
      <c r="AQ330" s="17">
        <v>0.90879992883517613</v>
      </c>
      <c r="AR330" s="17">
        <v>-0.86526331245647059</v>
      </c>
      <c r="AS330" s="17">
        <v>-0.90670020356399339</v>
      </c>
      <c r="AT330" s="17">
        <v>0.68570374120449684</v>
      </c>
      <c r="AU330" s="17">
        <v>0.94952970236693235</v>
      </c>
      <c r="AV330" s="17">
        <v>0.82721562122915415</v>
      </c>
      <c r="AW330" s="17">
        <v>-0.21268743513913821</v>
      </c>
      <c r="AX330" s="17">
        <v>0.77172062223579663</v>
      </c>
      <c r="AY330" s="17">
        <v>-0.67120694188172647</v>
      </c>
      <c r="AZ330" s="17">
        <v>0.93764307623587928</v>
      </c>
      <c r="BA330" s="17">
        <v>0.14222033173911139</v>
      </c>
      <c r="BB330" s="17">
        <v>0.20415507427726404</v>
      </c>
      <c r="BC330" s="17">
        <v>0.51928853835708477</v>
      </c>
      <c r="BD330" s="17">
        <v>-0.92173492178575855</v>
      </c>
      <c r="BE330" s="17">
        <v>-0.51324326004121967</v>
      </c>
      <c r="BF330" s="17">
        <v>-0.5394757845227125</v>
      </c>
      <c r="BK330" s="20">
        <v>1.0503122847435185</v>
      </c>
      <c r="BL330" s="20">
        <v>-5.0422591103918703E-2</v>
      </c>
      <c r="BN330" s="21">
        <f t="shared" si="14"/>
        <v>0</v>
      </c>
    </row>
    <row r="331" spans="1:66">
      <c r="A331" s="14">
        <v>16.260000000000002</v>
      </c>
      <c r="B331" s="14">
        <v>21.88</v>
      </c>
      <c r="C331" s="14">
        <v>107.5</v>
      </c>
      <c r="D331" s="14">
        <v>826.8</v>
      </c>
      <c r="E331" s="14">
        <v>0.1283</v>
      </c>
      <c r="F331" s="14">
        <v>0.1799</v>
      </c>
      <c r="G331" s="14">
        <v>7.9810000000000006E-2</v>
      </c>
      <c r="H331" s="14">
        <v>17.73</v>
      </c>
      <c r="I331" s="14">
        <v>975.2</v>
      </c>
      <c r="J331" s="14">
        <v>0.1047</v>
      </c>
      <c r="M331" s="16">
        <v>1</v>
      </c>
      <c r="O331" s="12">
        <f t="shared" si="15"/>
        <v>0</v>
      </c>
      <c r="P331" s="12">
        <f t="shared" si="16"/>
        <v>1</v>
      </c>
      <c r="R331" s="17">
        <v>-1.4643074708783446</v>
      </c>
      <c r="S331" s="17">
        <v>1.0359333700219733</v>
      </c>
      <c r="T331" s="17">
        <v>0.4503249130137873</v>
      </c>
      <c r="U331" s="17">
        <v>0.47751119115197871</v>
      </c>
      <c r="V331" s="17">
        <v>1.5052132201123889</v>
      </c>
      <c r="W331" s="17">
        <v>-1.2567352733816861</v>
      </c>
      <c r="X331" s="17">
        <v>-1.4659127711484521</v>
      </c>
      <c r="Y331" s="17">
        <v>0.877385815472147</v>
      </c>
      <c r="Z331" s="17">
        <v>1.7463530467411736</v>
      </c>
      <c r="AA331" s="17">
        <v>1.2163845753889837</v>
      </c>
      <c r="AB331" s="17">
        <v>-0.28839333793737798</v>
      </c>
      <c r="AC331" s="17">
        <v>1.0652147513376473</v>
      </c>
      <c r="AD331" s="17">
        <v>-0.81583654438301023</v>
      </c>
      <c r="AE331" s="17">
        <v>1.6894094608623824</v>
      </c>
      <c r="AF331" s="17">
        <v>0.2496334827590041</v>
      </c>
      <c r="AG331" s="17">
        <v>0.29010426800531797</v>
      </c>
      <c r="AH331" s="17">
        <v>0.55723475600471262</v>
      </c>
      <c r="AI331" s="17">
        <v>-1.603629768829455</v>
      </c>
      <c r="AJ331" s="17">
        <v>-0.55690825498325469</v>
      </c>
      <c r="AK331" s="17">
        <v>0.41256192877861719</v>
      </c>
      <c r="AM331" s="17">
        <v>-0.74041491013530625</v>
      </c>
      <c r="AN331" s="17">
        <v>0.72616438866953248</v>
      </c>
      <c r="AO331" s="17">
        <v>0.82195243410171881</v>
      </c>
      <c r="AP331" s="17">
        <v>0.32556965509338526</v>
      </c>
      <c r="AQ331" s="17">
        <v>0.88520331702791277</v>
      </c>
      <c r="AR331" s="17">
        <v>-0.55336673703319916</v>
      </c>
      <c r="AS331" s="17">
        <v>-0.7704480068667795</v>
      </c>
      <c r="AT331" s="17">
        <v>0.88268469554246054</v>
      </c>
      <c r="AU331" s="17">
        <v>0.69195285335759571</v>
      </c>
      <c r="AV331" s="17">
        <v>0.94022034530128518</v>
      </c>
      <c r="AW331" s="17">
        <v>-0.83192277391890546</v>
      </c>
      <c r="AX331" s="17">
        <v>0.92514870705715191</v>
      </c>
      <c r="AY331" s="17">
        <v>-0.71459519227240809</v>
      </c>
      <c r="AZ331" s="17">
        <v>0.89147204398561808</v>
      </c>
      <c r="BA331" s="17">
        <v>0.91730921541138932</v>
      </c>
      <c r="BB331" s="17">
        <v>0.86847162949721157</v>
      </c>
      <c r="BC331" s="17">
        <v>0.34972816465055667</v>
      </c>
      <c r="BD331" s="17">
        <v>-0.93921308286285754</v>
      </c>
      <c r="BE331" s="17">
        <v>-0.43178359958468082</v>
      </c>
      <c r="BF331" s="17">
        <v>8.5250121326375786E-2</v>
      </c>
      <c r="BK331" s="20">
        <v>0.98967314082905045</v>
      </c>
      <c r="BL331" s="20">
        <v>1.0435253235661432E-2</v>
      </c>
      <c r="BN331" s="21">
        <f t="shared" si="14"/>
        <v>0</v>
      </c>
    </row>
    <row r="332" spans="1:66">
      <c r="A332" s="14">
        <v>16.03</v>
      </c>
      <c r="B332" s="14">
        <v>15.51</v>
      </c>
      <c r="C332" s="14">
        <v>105.8</v>
      </c>
      <c r="D332" s="14">
        <v>793.2</v>
      </c>
      <c r="E332" s="14">
        <v>0.1371</v>
      </c>
      <c r="F332" s="14">
        <v>0.12039999999999999</v>
      </c>
      <c r="G332" s="14">
        <v>7.041E-2</v>
      </c>
      <c r="H332" s="14">
        <v>18.760000000000002</v>
      </c>
      <c r="I332" s="14">
        <v>1070</v>
      </c>
      <c r="J332" s="14">
        <v>0.1981</v>
      </c>
      <c r="M332" s="16">
        <v>1</v>
      </c>
      <c r="O332" s="12">
        <f t="shared" si="15"/>
        <v>0</v>
      </c>
      <c r="P332" s="12">
        <f t="shared" si="16"/>
        <v>1</v>
      </c>
      <c r="R332" s="17">
        <v>-0.86216493245391179</v>
      </c>
      <c r="S332" s="17">
        <v>0.86592397083683859</v>
      </c>
      <c r="T332" s="17">
        <v>1.1492407566427856</v>
      </c>
      <c r="U332" s="17">
        <v>0.30971288832147947</v>
      </c>
      <c r="V332" s="17">
        <v>1.322038261257461</v>
      </c>
      <c r="W332" s="17">
        <v>-0.54000870393571332</v>
      </c>
      <c r="X332" s="17">
        <v>-0.93446499101467595</v>
      </c>
      <c r="Y332" s="17">
        <v>1.3623707400649003</v>
      </c>
      <c r="Z332" s="17">
        <v>0.73556995189170193</v>
      </c>
      <c r="AA332" s="17">
        <v>1.6983871669386827</v>
      </c>
      <c r="AB332" s="17">
        <v>-1.2113068807979621</v>
      </c>
      <c r="AC332" s="17">
        <v>1.5906603286575782</v>
      </c>
      <c r="AD332" s="17">
        <v>-0.8593627097567913</v>
      </c>
      <c r="AE332" s="17">
        <v>1.3374666300864129</v>
      </c>
      <c r="AF332" s="17">
        <v>1.6049118769290147</v>
      </c>
      <c r="AG332" s="17">
        <v>1.3481853892245086</v>
      </c>
      <c r="AH332" s="17">
        <v>0.33128292594394448</v>
      </c>
      <c r="AI332" s="17">
        <v>-1.6572512841003593</v>
      </c>
      <c r="AJ332" s="17">
        <v>-0.4315878441673433</v>
      </c>
      <c r="AK332" s="17">
        <v>0.36873422441298942</v>
      </c>
      <c r="AM332" s="17">
        <v>-0.90808233963028473</v>
      </c>
      <c r="AN332" s="17">
        <v>0.78635226198549535</v>
      </c>
      <c r="AO332" s="17">
        <v>0.37321098494913957</v>
      </c>
      <c r="AP332" s="17">
        <v>0.45682596227468286</v>
      </c>
      <c r="AQ332" s="17">
        <v>0.91212792502035855</v>
      </c>
      <c r="AR332" s="17">
        <v>-0.86431015397692867</v>
      </c>
      <c r="AS332" s="17">
        <v>-0.90783375260675125</v>
      </c>
      <c r="AT332" s="17">
        <v>0.70247116439817203</v>
      </c>
      <c r="AU332" s="17">
        <v>0.94895790425258852</v>
      </c>
      <c r="AV332" s="17">
        <v>0.83887221332149342</v>
      </c>
      <c r="AW332" s="17">
        <v>-0.24843223722417659</v>
      </c>
      <c r="AX332" s="17">
        <v>0.78627796091002911</v>
      </c>
      <c r="AY332" s="17">
        <v>-0.67969949056500312</v>
      </c>
      <c r="AZ332" s="17">
        <v>0.93962259354290312</v>
      </c>
      <c r="BA332" s="17">
        <v>0.19317864843597282</v>
      </c>
      <c r="BB332" s="17">
        <v>0.24459153889958291</v>
      </c>
      <c r="BC332" s="17">
        <v>0.52044602446920696</v>
      </c>
      <c r="BD332" s="17">
        <v>-0.92606266285392669</v>
      </c>
      <c r="BE332" s="17">
        <v>-0.51703027736317797</v>
      </c>
      <c r="BF332" s="17">
        <v>0.37227425697134037</v>
      </c>
      <c r="BK332" s="20">
        <v>1.0972323231338343</v>
      </c>
      <c r="BL332" s="20">
        <v>-9.7254204571675842E-2</v>
      </c>
      <c r="BN332" s="21">
        <f t="shared" si="14"/>
        <v>0</v>
      </c>
    </row>
    <row r="333" spans="1:66">
      <c r="A333" s="14">
        <v>12.98</v>
      </c>
      <c r="B333" s="14">
        <v>19.350000000000001</v>
      </c>
      <c r="C333" s="14">
        <v>84.52</v>
      </c>
      <c r="D333" s="14">
        <v>514</v>
      </c>
      <c r="E333" s="14">
        <v>0.1125</v>
      </c>
      <c r="F333" s="14">
        <v>7.1069999999999994E-2</v>
      </c>
      <c r="G333" s="14">
        <v>2.9499999999999998E-2</v>
      </c>
      <c r="H333" s="14">
        <v>14.42</v>
      </c>
      <c r="I333" s="14">
        <v>634.29999999999995</v>
      </c>
      <c r="J333" s="14">
        <v>9.8580000000000001E-2</v>
      </c>
      <c r="M333" s="16">
        <v>0</v>
      </c>
      <c r="O333" s="12">
        <f t="shared" si="15"/>
        <v>1</v>
      </c>
      <c r="P333" s="12">
        <f t="shared" si="16"/>
        <v>0</v>
      </c>
      <c r="R333" s="17">
        <v>-0.86216493245391179</v>
      </c>
      <c r="S333" s="17">
        <v>0.86592397083683859</v>
      </c>
      <c r="T333" s="17">
        <v>1.1492407566427856</v>
      </c>
      <c r="U333" s="17">
        <v>0.30971288832147947</v>
      </c>
      <c r="V333" s="17">
        <v>1.322038261257461</v>
      </c>
      <c r="W333" s="17">
        <v>-0.54000870393571332</v>
      </c>
      <c r="X333" s="17">
        <v>-0.93446499101467595</v>
      </c>
      <c r="Y333" s="17">
        <v>1.3623707400649003</v>
      </c>
      <c r="Z333" s="17">
        <v>0.73556995189170193</v>
      </c>
      <c r="AA333" s="17">
        <v>1.6983871669386827</v>
      </c>
      <c r="AB333" s="17">
        <v>-1.2113068807979621</v>
      </c>
      <c r="AC333" s="17">
        <v>1.5906603286575782</v>
      </c>
      <c r="AD333" s="17">
        <v>-0.8593627097567913</v>
      </c>
      <c r="AE333" s="17">
        <v>1.3374666300864129</v>
      </c>
      <c r="AF333" s="17">
        <v>1.6049118769290147</v>
      </c>
      <c r="AG333" s="17">
        <v>1.3481853892245086</v>
      </c>
      <c r="AH333" s="17">
        <v>0.33128292594394448</v>
      </c>
      <c r="AI333" s="17">
        <v>-1.6572512841003593</v>
      </c>
      <c r="AJ333" s="17">
        <v>-0.4315878441673433</v>
      </c>
      <c r="AK333" s="17">
        <v>0.3687342243980849</v>
      </c>
      <c r="AM333" s="17">
        <v>-0.67374488762880458</v>
      </c>
      <c r="AN333" s="17">
        <v>0.67406359655817738</v>
      </c>
      <c r="AO333" s="17">
        <v>0.79604628228964858</v>
      </c>
      <c r="AP333" s="17">
        <v>0.28522485200094222</v>
      </c>
      <c r="AQ333" s="17">
        <v>0.84788541566243592</v>
      </c>
      <c r="AR333" s="17">
        <v>-0.47337027555822436</v>
      </c>
      <c r="AS333" s="17">
        <v>-0.70906408195536608</v>
      </c>
      <c r="AT333" s="17">
        <v>0.85703115583634903</v>
      </c>
      <c r="AU333" s="17">
        <v>0.60495811473328787</v>
      </c>
      <c r="AV333" s="17">
        <v>0.92153316846316757</v>
      </c>
      <c r="AW333" s="17">
        <v>-0.81324049709165591</v>
      </c>
      <c r="AX333" s="17">
        <v>0.90463456620983063</v>
      </c>
      <c r="AY333" s="17">
        <v>-0.66986544273749682</v>
      </c>
      <c r="AZ333" s="17">
        <v>0.85224391303876246</v>
      </c>
      <c r="BA333" s="17">
        <v>0.90603363114551394</v>
      </c>
      <c r="BB333" s="17">
        <v>0.85236587376199957</v>
      </c>
      <c r="BC333" s="17">
        <v>0.30417169097451868</v>
      </c>
      <c r="BD333" s="17">
        <v>-0.9159417339746283</v>
      </c>
      <c r="BE333" s="17">
        <v>-0.38682136941156076</v>
      </c>
      <c r="BF333" s="17">
        <v>0.25031683854871711</v>
      </c>
      <c r="BK333" s="20">
        <v>0.97474152534377811</v>
      </c>
      <c r="BL333" s="20">
        <v>2.5200923589092782E-2</v>
      </c>
      <c r="BN333" s="21">
        <f t="shared" si="14"/>
        <v>0</v>
      </c>
    </row>
    <row r="334" spans="1:66">
      <c r="A334" s="14">
        <v>11.22</v>
      </c>
      <c r="B334" s="14">
        <v>19.86</v>
      </c>
      <c r="C334" s="14">
        <v>71.94</v>
      </c>
      <c r="D334" s="14">
        <v>387.3</v>
      </c>
      <c r="E334" s="14">
        <v>6.7790000000000003E-2</v>
      </c>
      <c r="F334" s="14">
        <v>5.006E-3</v>
      </c>
      <c r="G334" s="14">
        <v>7.5830000000000003E-3</v>
      </c>
      <c r="H334" s="14">
        <v>11.98</v>
      </c>
      <c r="I334" s="14">
        <v>436.1</v>
      </c>
      <c r="J334" s="14">
        <v>2.0219999999999998E-2</v>
      </c>
      <c r="M334" s="16">
        <v>0</v>
      </c>
      <c r="O334" s="12">
        <f t="shared" si="15"/>
        <v>1</v>
      </c>
      <c r="P334" s="12">
        <f t="shared" si="16"/>
        <v>0</v>
      </c>
      <c r="R334" s="17">
        <v>-1.4643074708783446</v>
      </c>
      <c r="S334" s="17">
        <v>1.0359333700219733</v>
      </c>
      <c r="T334" s="17">
        <v>0.4503249130137873</v>
      </c>
      <c r="U334" s="17">
        <v>0.47751119115197871</v>
      </c>
      <c r="V334" s="17">
        <v>1.5052132201123889</v>
      </c>
      <c r="W334" s="17">
        <v>-1.2567352733816861</v>
      </c>
      <c r="X334" s="17">
        <v>-1.4659127711484521</v>
      </c>
      <c r="Y334" s="17">
        <v>0.877385815472147</v>
      </c>
      <c r="Z334" s="17">
        <v>1.7463530467411736</v>
      </c>
      <c r="AA334" s="17">
        <v>1.2163845753889837</v>
      </c>
      <c r="AB334" s="17">
        <v>-0.28839333793737798</v>
      </c>
      <c r="AC334" s="17">
        <v>1.0652147513376473</v>
      </c>
      <c r="AD334" s="17">
        <v>-0.81583654438301023</v>
      </c>
      <c r="AE334" s="17">
        <v>1.6894094608623824</v>
      </c>
      <c r="AF334" s="17">
        <v>0.2496334827590041</v>
      </c>
      <c r="AG334" s="17">
        <v>0.29010426800531797</v>
      </c>
      <c r="AH334" s="17">
        <v>0.55723475600471262</v>
      </c>
      <c r="AI334" s="17">
        <v>-1.603629768829455</v>
      </c>
      <c r="AJ334" s="17">
        <v>-0.55690825498325469</v>
      </c>
      <c r="AK334" s="17">
        <v>0.41256201734357356</v>
      </c>
      <c r="AM334" s="17">
        <v>-0.70630653392262677</v>
      </c>
      <c r="AN334" s="17">
        <v>0.69671673051974592</v>
      </c>
      <c r="AO334" s="17">
        <v>0.79276604023725139</v>
      </c>
      <c r="AP334" s="17">
        <v>0.30362145660216822</v>
      </c>
      <c r="AQ334" s="17">
        <v>0.86436734015878325</v>
      </c>
      <c r="AR334" s="17">
        <v>-0.514465678564205</v>
      </c>
      <c r="AS334" s="17">
        <v>-0.73852130461505883</v>
      </c>
      <c r="AT334" s="17">
        <v>0.86556812219264601</v>
      </c>
      <c r="AU334" s="17">
        <v>0.65073288223637327</v>
      </c>
      <c r="AV334" s="17">
        <v>0.92829336614865998</v>
      </c>
      <c r="AW334" s="17">
        <v>-0.81562637660286397</v>
      </c>
      <c r="AX334" s="17">
        <v>0.91172260457907661</v>
      </c>
      <c r="AY334" s="17">
        <v>-0.6875408763392723</v>
      </c>
      <c r="AZ334" s="17">
        <v>0.87031167347500749</v>
      </c>
      <c r="BA334" s="17">
        <v>0.90663616781298539</v>
      </c>
      <c r="BB334" s="17">
        <v>0.85412958585795595</v>
      </c>
      <c r="BC334" s="17">
        <v>0.3254817936920652</v>
      </c>
      <c r="BD334" s="17">
        <v>-0.92574976012390975</v>
      </c>
      <c r="BE334" s="17">
        <v>-0.40632408804911718</v>
      </c>
      <c r="BF334" s="17">
        <v>9.0641900898379771E-2</v>
      </c>
      <c r="BK334" s="20">
        <v>1.0000552709841395</v>
      </c>
      <c r="BL334" s="20">
        <v>-2.0110819342206154E-4</v>
      </c>
      <c r="BN334" s="21">
        <f t="shared" si="14"/>
        <v>0</v>
      </c>
    </row>
    <row r="335" spans="1:66">
      <c r="A335" s="14">
        <v>11.25</v>
      </c>
      <c r="B335" s="14">
        <v>14.78</v>
      </c>
      <c r="C335" s="14">
        <v>71.38</v>
      </c>
      <c r="D335" s="14">
        <v>390</v>
      </c>
      <c r="E335" s="14">
        <v>4.4580000000000002E-2</v>
      </c>
      <c r="F335" s="14">
        <v>9.7369999999999998E-4</v>
      </c>
      <c r="G335" s="14">
        <v>2.941E-3</v>
      </c>
      <c r="H335" s="14">
        <v>12.76</v>
      </c>
      <c r="I335" s="14">
        <v>492.7</v>
      </c>
      <c r="J335" s="14">
        <v>1.6670000000000001E-2</v>
      </c>
      <c r="M335" s="16">
        <v>0</v>
      </c>
      <c r="O335" s="12">
        <f t="shared" si="15"/>
        <v>1</v>
      </c>
      <c r="P335" s="12">
        <f t="shared" si="16"/>
        <v>0</v>
      </c>
      <c r="R335" s="17">
        <v>-0.86216493245391179</v>
      </c>
      <c r="S335" s="17">
        <v>0.86592397083683859</v>
      </c>
      <c r="T335" s="17">
        <v>1.1492407566427856</v>
      </c>
      <c r="U335" s="17">
        <v>0.30971288832147947</v>
      </c>
      <c r="V335" s="17">
        <v>1.322038261257461</v>
      </c>
      <c r="W335" s="17">
        <v>-0.54000870393571332</v>
      </c>
      <c r="X335" s="17">
        <v>-0.93446499101467595</v>
      </c>
      <c r="Y335" s="17">
        <v>1.3623707400649003</v>
      </c>
      <c r="Z335" s="17">
        <v>0.73556995189170193</v>
      </c>
      <c r="AA335" s="17">
        <v>1.6983871669386827</v>
      </c>
      <c r="AB335" s="17">
        <v>-1.2113068807979621</v>
      </c>
      <c r="AC335" s="17">
        <v>1.5906603286575782</v>
      </c>
      <c r="AD335" s="17">
        <v>-0.8593627097567913</v>
      </c>
      <c r="AE335" s="17">
        <v>1.3374666300864129</v>
      </c>
      <c r="AF335" s="17">
        <v>1.6049118769290147</v>
      </c>
      <c r="AG335" s="17">
        <v>1.3481853892245086</v>
      </c>
      <c r="AH335" s="17">
        <v>0.33128292594394448</v>
      </c>
      <c r="AI335" s="17">
        <v>-1.6572512841003593</v>
      </c>
      <c r="AJ335" s="17">
        <v>-0.4315878441673433</v>
      </c>
      <c r="AK335" s="17">
        <v>0.36873422441298831</v>
      </c>
      <c r="AM335" s="17">
        <v>-0.72808175193165758</v>
      </c>
      <c r="AN335" s="17">
        <v>0.70535902953174301</v>
      </c>
      <c r="AO335" s="17">
        <v>0.79920432792219209</v>
      </c>
      <c r="AP335" s="17">
        <v>0.31536123387986986</v>
      </c>
      <c r="AQ335" s="17">
        <v>0.86958641239641921</v>
      </c>
      <c r="AR335" s="17">
        <v>-0.55028931562266992</v>
      </c>
      <c r="AS335" s="17">
        <v>-0.75651553873787425</v>
      </c>
      <c r="AT335" s="17">
        <v>0.85999043309922307</v>
      </c>
      <c r="AU335" s="17">
        <v>0.68945650191178964</v>
      </c>
      <c r="AV335" s="17">
        <v>0.92557724275233222</v>
      </c>
      <c r="AW335" s="17">
        <v>-0.79777907265211156</v>
      </c>
      <c r="AX335" s="17">
        <v>0.90778556614025363</v>
      </c>
      <c r="AY335" s="17">
        <v>-0.68920787663074601</v>
      </c>
      <c r="AZ335" s="17">
        <v>0.87786452146082627</v>
      </c>
      <c r="BA335" s="17">
        <v>0.89207414203441948</v>
      </c>
      <c r="BB335" s="17">
        <v>0.83737320749585253</v>
      </c>
      <c r="BC335" s="17">
        <v>0.34049565739927518</v>
      </c>
      <c r="BD335" s="17">
        <v>-0.92689461984912103</v>
      </c>
      <c r="BE335" s="17">
        <v>-0.4155411520265137</v>
      </c>
      <c r="BF335" s="17">
        <v>0.35213334079318565</v>
      </c>
      <c r="BK335" s="20">
        <v>-3.4229828537436176E-2</v>
      </c>
      <c r="BL335" s="20">
        <v>1.0342698014372964</v>
      </c>
      <c r="BN335" s="21">
        <f t="shared" si="14"/>
        <v>1</v>
      </c>
    </row>
    <row r="336" spans="1:66">
      <c r="A336" s="14">
        <v>12.3</v>
      </c>
      <c r="B336" s="14">
        <v>19.02</v>
      </c>
      <c r="C336" s="14">
        <v>77.88</v>
      </c>
      <c r="D336" s="14">
        <v>464.4</v>
      </c>
      <c r="E336" s="14">
        <v>4.2020000000000002E-2</v>
      </c>
      <c r="F336" s="14">
        <v>7.7559999999999999E-3</v>
      </c>
      <c r="G336" s="14">
        <v>8.5349999999999992E-3</v>
      </c>
      <c r="H336" s="14">
        <v>13.35</v>
      </c>
      <c r="I336" s="14">
        <v>544.29999999999995</v>
      </c>
      <c r="J336" s="14">
        <v>3.9829999999999997E-2</v>
      </c>
      <c r="M336" s="16">
        <v>0</v>
      </c>
      <c r="O336" s="12">
        <f t="shared" si="15"/>
        <v>1</v>
      </c>
      <c r="P336" s="12">
        <f t="shared" si="16"/>
        <v>0</v>
      </c>
      <c r="R336" s="17">
        <v>-1.4643074708783446</v>
      </c>
      <c r="S336" s="17">
        <v>1.0359333700219733</v>
      </c>
      <c r="T336" s="17">
        <v>0.4503249130137873</v>
      </c>
      <c r="U336" s="17">
        <v>0.47751119115197871</v>
      </c>
      <c r="V336" s="17">
        <v>1.5052132201123889</v>
      </c>
      <c r="W336" s="17">
        <v>-1.2567352733816861</v>
      </c>
      <c r="X336" s="17">
        <v>-1.4659127711484521</v>
      </c>
      <c r="Y336" s="17">
        <v>0.877385815472147</v>
      </c>
      <c r="Z336" s="17">
        <v>1.7463530467411736</v>
      </c>
      <c r="AA336" s="17">
        <v>1.2163845753889837</v>
      </c>
      <c r="AB336" s="17">
        <v>-0.28839333793737798</v>
      </c>
      <c r="AC336" s="17">
        <v>1.0652147513376473</v>
      </c>
      <c r="AD336" s="17">
        <v>-0.81583654438301023</v>
      </c>
      <c r="AE336" s="17">
        <v>1.6894094608623824</v>
      </c>
      <c r="AF336" s="17">
        <v>0.2496334827590041</v>
      </c>
      <c r="AG336" s="17">
        <v>0.29010426800531797</v>
      </c>
      <c r="AH336" s="17">
        <v>0.55723475600471262</v>
      </c>
      <c r="AI336" s="17">
        <v>-1.603629768829455</v>
      </c>
      <c r="AJ336" s="17">
        <v>-0.55690825498325469</v>
      </c>
      <c r="AK336" s="17">
        <v>0.41256201738018505</v>
      </c>
      <c r="AM336" s="17">
        <v>-0.68652915511077295</v>
      </c>
      <c r="AN336" s="17">
        <v>0.71019782143365173</v>
      </c>
      <c r="AO336" s="17">
        <v>0.85140682686200764</v>
      </c>
      <c r="AP336" s="17">
        <v>0.29769390485064806</v>
      </c>
      <c r="AQ336" s="17">
        <v>0.8769906174918719</v>
      </c>
      <c r="AR336" s="17">
        <v>-0.45718010077646365</v>
      </c>
      <c r="AS336" s="17">
        <v>-0.72767987111244881</v>
      </c>
      <c r="AT336" s="17">
        <v>0.89959604066141108</v>
      </c>
      <c r="AU336" s="17">
        <v>0.58443313584624201</v>
      </c>
      <c r="AV336" s="17">
        <v>0.94890655429842008</v>
      </c>
      <c r="AW336" s="17">
        <v>-0.87527886847301695</v>
      </c>
      <c r="AX336" s="17">
        <v>0.93694676363289509</v>
      </c>
      <c r="AY336" s="17">
        <v>-0.71709163737222381</v>
      </c>
      <c r="AZ336" s="17">
        <v>0.87689636088608458</v>
      </c>
      <c r="BA336" s="17">
        <v>0.94768426102170256</v>
      </c>
      <c r="BB336" s="17">
        <v>0.90718343287409819</v>
      </c>
      <c r="BC336" s="17">
        <v>0.31295635461720178</v>
      </c>
      <c r="BD336" s="17">
        <v>-0.93973749513567961</v>
      </c>
      <c r="BE336" s="17">
        <v>-0.41232601047108791</v>
      </c>
      <c r="BF336" s="17">
        <v>0.25961049523315721</v>
      </c>
      <c r="BK336" s="20">
        <v>1.0979242019430391</v>
      </c>
      <c r="BL336" s="20">
        <v>-9.8007516838544556E-2</v>
      </c>
      <c r="BN336" s="21">
        <f t="shared" si="14"/>
        <v>0</v>
      </c>
    </row>
    <row r="337" spans="1:66">
      <c r="A337" s="14">
        <v>17.059999999999999</v>
      </c>
      <c r="B337" s="14">
        <v>21</v>
      </c>
      <c r="C337" s="14">
        <v>111.8</v>
      </c>
      <c r="D337" s="14">
        <v>918.6</v>
      </c>
      <c r="E337" s="14">
        <v>0.1056</v>
      </c>
      <c r="F337" s="14">
        <v>0.15079999999999999</v>
      </c>
      <c r="G337" s="14">
        <v>9.9339999999999998E-2</v>
      </c>
      <c r="H337" s="14">
        <v>20.99</v>
      </c>
      <c r="I337" s="14">
        <v>1362</v>
      </c>
      <c r="J337" s="14">
        <v>0.1827</v>
      </c>
      <c r="M337" s="16">
        <v>1</v>
      </c>
      <c r="O337" s="12">
        <f t="shared" si="15"/>
        <v>0</v>
      </c>
      <c r="P337" s="12">
        <f t="shared" si="16"/>
        <v>1</v>
      </c>
      <c r="R337" s="17">
        <v>-0.86216493245391179</v>
      </c>
      <c r="S337" s="17">
        <v>0.86592397083683859</v>
      </c>
      <c r="T337" s="17">
        <v>1.1492407566427856</v>
      </c>
      <c r="U337" s="17">
        <v>0.30971288832147947</v>
      </c>
      <c r="V337" s="17">
        <v>1.322038261257461</v>
      </c>
      <c r="W337" s="17">
        <v>-0.54000870393571332</v>
      </c>
      <c r="X337" s="17">
        <v>-0.93446499101467595</v>
      </c>
      <c r="Y337" s="17">
        <v>1.3623707400649003</v>
      </c>
      <c r="Z337" s="17">
        <v>0.73556995189170193</v>
      </c>
      <c r="AA337" s="17">
        <v>1.6983871669386827</v>
      </c>
      <c r="AB337" s="17">
        <v>-1.2113068807979621</v>
      </c>
      <c r="AC337" s="17">
        <v>1.5906603286575782</v>
      </c>
      <c r="AD337" s="17">
        <v>-0.8593627097567913</v>
      </c>
      <c r="AE337" s="17">
        <v>1.3374666300864129</v>
      </c>
      <c r="AF337" s="17">
        <v>1.6049118769290147</v>
      </c>
      <c r="AG337" s="17">
        <v>1.3481853892245086</v>
      </c>
      <c r="AH337" s="17">
        <v>0.33128292594394448</v>
      </c>
      <c r="AI337" s="17">
        <v>-1.6572512841003593</v>
      </c>
      <c r="AJ337" s="17">
        <v>-0.4315878441673433</v>
      </c>
      <c r="AK337" s="17">
        <v>0.3687341408246555</v>
      </c>
      <c r="AM337" s="17">
        <v>-0.58655783927258442</v>
      </c>
      <c r="AN337" s="17">
        <v>0.6251688287199122</v>
      </c>
      <c r="AO337" s="17">
        <v>0.77971030468194735</v>
      </c>
      <c r="AP337" s="17">
        <v>0.24306475331154465</v>
      </c>
      <c r="AQ337" s="17">
        <v>0.81101535561456672</v>
      </c>
      <c r="AR337" s="17">
        <v>-0.35902209214091291</v>
      </c>
      <c r="AS337" s="17">
        <v>-0.63214919959451332</v>
      </c>
      <c r="AT337" s="17">
        <v>0.84954576702021345</v>
      </c>
      <c r="AU337" s="17">
        <v>0.46778585658847344</v>
      </c>
      <c r="AV337" s="17">
        <v>0.9133797792652707</v>
      </c>
      <c r="AW337" s="17">
        <v>-0.82780975536288948</v>
      </c>
      <c r="AX337" s="17">
        <v>0.89751280557350288</v>
      </c>
      <c r="AY337" s="17">
        <v>-0.63886762136459851</v>
      </c>
      <c r="AZ337" s="17">
        <v>0.80788284271190447</v>
      </c>
      <c r="BA337" s="17">
        <v>0.91901396456638684</v>
      </c>
      <c r="BB337" s="17">
        <v>0.86646859654372055</v>
      </c>
      <c r="BC337" s="17">
        <v>0.25344582716622982</v>
      </c>
      <c r="BD337" s="17">
        <v>-0.896552674840145</v>
      </c>
      <c r="BE337" s="17">
        <v>-0.34533212068612695</v>
      </c>
      <c r="BF337" s="17">
        <v>6.0174045533700524E-2</v>
      </c>
      <c r="BK337" s="20">
        <v>0.95058489359600595</v>
      </c>
      <c r="BL337" s="20">
        <v>4.9322073783772902E-2</v>
      </c>
      <c r="BN337" s="21">
        <f t="shared" si="14"/>
        <v>0</v>
      </c>
    </row>
    <row r="338" spans="1:66">
      <c r="A338" s="14">
        <v>12.99</v>
      </c>
      <c r="B338" s="14">
        <v>14.23</v>
      </c>
      <c r="C338" s="14">
        <v>84.08</v>
      </c>
      <c r="D338" s="14">
        <v>514.29999999999995</v>
      </c>
      <c r="E338" s="14">
        <v>9.9650000000000002E-2</v>
      </c>
      <c r="F338" s="14">
        <v>3.7379999999999997E-2</v>
      </c>
      <c r="G338" s="14">
        <v>2.0979999999999999E-2</v>
      </c>
      <c r="H338" s="14">
        <v>13.72</v>
      </c>
      <c r="I338" s="14">
        <v>576</v>
      </c>
      <c r="J338" s="14">
        <v>5.8500000000000003E-2</v>
      </c>
      <c r="M338" s="16">
        <v>0</v>
      </c>
      <c r="O338" s="12">
        <f t="shared" si="15"/>
        <v>1</v>
      </c>
      <c r="P338" s="12">
        <f t="shared" si="16"/>
        <v>0</v>
      </c>
      <c r="R338" s="17">
        <v>-0.86216493245391179</v>
      </c>
      <c r="S338" s="17">
        <v>0.86592397083683859</v>
      </c>
      <c r="T338" s="17">
        <v>1.1492407566427856</v>
      </c>
      <c r="U338" s="17">
        <v>0.30971288832147947</v>
      </c>
      <c r="V338" s="17">
        <v>1.322038261257461</v>
      </c>
      <c r="W338" s="17">
        <v>-0.54000870393571332</v>
      </c>
      <c r="X338" s="17">
        <v>-0.93446499101467595</v>
      </c>
      <c r="Y338" s="17">
        <v>1.3623707400649003</v>
      </c>
      <c r="Z338" s="17">
        <v>0.73556995189170193</v>
      </c>
      <c r="AA338" s="17">
        <v>1.6983871669386827</v>
      </c>
      <c r="AB338" s="17">
        <v>-1.2113068807979621</v>
      </c>
      <c r="AC338" s="17">
        <v>1.5906603286575782</v>
      </c>
      <c r="AD338" s="17">
        <v>-0.8593627097567913</v>
      </c>
      <c r="AE338" s="17">
        <v>1.3374666300864129</v>
      </c>
      <c r="AF338" s="17">
        <v>1.6049118769290147</v>
      </c>
      <c r="AG338" s="17">
        <v>1.3481853892245086</v>
      </c>
      <c r="AH338" s="17">
        <v>0.33128292594394448</v>
      </c>
      <c r="AI338" s="17">
        <v>-1.6572512841003593</v>
      </c>
      <c r="AJ338" s="17">
        <v>-0.4315878441673433</v>
      </c>
      <c r="AK338" s="17">
        <v>0.36873420170164839</v>
      </c>
      <c r="AM338" s="17">
        <v>-0.68108579816698211</v>
      </c>
      <c r="AN338" s="17">
        <v>0.70516577977089057</v>
      </c>
      <c r="AO338" s="17">
        <v>0.83420677069388161</v>
      </c>
      <c r="AP338" s="17">
        <v>0.29436209110864514</v>
      </c>
      <c r="AQ338" s="17">
        <v>0.87339663575632376</v>
      </c>
      <c r="AR338" s="17">
        <v>-0.45198300272469916</v>
      </c>
      <c r="AS338" s="17">
        <v>-0.72244905766114675</v>
      </c>
      <c r="AT338" s="17">
        <v>0.89659144864418006</v>
      </c>
      <c r="AU338" s="17">
        <v>0.57851721291084435</v>
      </c>
      <c r="AV338" s="17">
        <v>0.94693683509136606</v>
      </c>
      <c r="AW338" s="17">
        <v>-0.87206008059351003</v>
      </c>
      <c r="AX338" s="17">
        <v>0.93469133396762683</v>
      </c>
      <c r="AY338" s="17">
        <v>-0.71224205075910907</v>
      </c>
      <c r="AZ338" s="17">
        <v>0.87324014490205115</v>
      </c>
      <c r="BA338" s="17">
        <v>0.94582266512078972</v>
      </c>
      <c r="BB338" s="17">
        <v>0.90446944028517196</v>
      </c>
      <c r="BC338" s="17">
        <v>0.30941028198193882</v>
      </c>
      <c r="BD338" s="17">
        <v>-0.9374607954321752</v>
      </c>
      <c r="BE338" s="17">
        <v>-0.40813260285285452</v>
      </c>
      <c r="BF338" s="17">
        <v>0.26635806906422016</v>
      </c>
      <c r="BK338" s="20">
        <v>1.0467441162811739</v>
      </c>
      <c r="BL338" s="20">
        <v>-4.6773012152799873E-2</v>
      </c>
      <c r="BN338" s="21">
        <f t="shared" si="14"/>
        <v>0</v>
      </c>
    </row>
    <row r="339" spans="1:66">
      <c r="A339" s="14">
        <v>18.77</v>
      </c>
      <c r="B339" s="14">
        <v>21.43</v>
      </c>
      <c r="C339" s="14">
        <v>122.9</v>
      </c>
      <c r="D339" s="14">
        <v>1092</v>
      </c>
      <c r="E339" s="14">
        <v>0.14019999999999999</v>
      </c>
      <c r="F339" s="14">
        <v>0.106</v>
      </c>
      <c r="G339" s="14">
        <v>6.0900000000000003E-2</v>
      </c>
      <c r="H339" s="14">
        <v>24.54</v>
      </c>
      <c r="I339" s="14">
        <v>1873</v>
      </c>
      <c r="J339" s="14">
        <v>0.20480000000000001</v>
      </c>
      <c r="M339" s="16">
        <v>1</v>
      </c>
      <c r="O339" s="12">
        <f t="shared" si="15"/>
        <v>0</v>
      </c>
      <c r="P339" s="12">
        <f t="shared" si="16"/>
        <v>1</v>
      </c>
      <c r="R339" s="17">
        <v>-0.86216493245391179</v>
      </c>
      <c r="S339" s="17">
        <v>0.86592397083683859</v>
      </c>
      <c r="T339" s="17">
        <v>1.1492407566427856</v>
      </c>
      <c r="U339" s="17">
        <v>0.30971288832147947</v>
      </c>
      <c r="V339" s="17">
        <v>1.322038261257461</v>
      </c>
      <c r="W339" s="17">
        <v>-0.54000870393571332</v>
      </c>
      <c r="X339" s="17">
        <v>-0.93446499101467595</v>
      </c>
      <c r="Y339" s="17">
        <v>1.3623707400649003</v>
      </c>
      <c r="Z339" s="17">
        <v>0.73556995189170193</v>
      </c>
      <c r="AA339" s="17">
        <v>1.6983871669386827</v>
      </c>
      <c r="AB339" s="17">
        <v>-1.2113068807979621</v>
      </c>
      <c r="AC339" s="17">
        <v>1.5906603286575782</v>
      </c>
      <c r="AD339" s="17">
        <v>-0.8593627097567913</v>
      </c>
      <c r="AE339" s="17">
        <v>1.3374666300864129</v>
      </c>
      <c r="AF339" s="17">
        <v>1.6049118769290147</v>
      </c>
      <c r="AG339" s="17">
        <v>1.3481853892245086</v>
      </c>
      <c r="AH339" s="17">
        <v>0.33128292594394448</v>
      </c>
      <c r="AI339" s="17">
        <v>-1.6572512841003593</v>
      </c>
      <c r="AJ339" s="17">
        <v>-0.4315878441673433</v>
      </c>
      <c r="AK339" s="17">
        <v>0.36873422441298909</v>
      </c>
      <c r="AM339" s="17">
        <v>-0.70755350834319941</v>
      </c>
      <c r="AN339" s="17">
        <v>0.70597319594036689</v>
      </c>
      <c r="AO339" s="17">
        <v>0.8002068947709341</v>
      </c>
      <c r="AP339" s="17">
        <v>0.30602415188581039</v>
      </c>
      <c r="AQ339" s="17">
        <v>0.87189767444620692</v>
      </c>
      <c r="AR339" s="17">
        <v>-0.50654456029600625</v>
      </c>
      <c r="AS339" s="17">
        <v>-0.74172401796085841</v>
      </c>
      <c r="AT339" s="17">
        <v>0.87891850302185925</v>
      </c>
      <c r="AU339" s="17">
        <v>0.64150602112888455</v>
      </c>
      <c r="AV339" s="17">
        <v>0.93678387050004941</v>
      </c>
      <c r="AW339" s="17">
        <v>-0.83699482721976681</v>
      </c>
      <c r="AX339" s="17">
        <v>0.92187689952921359</v>
      </c>
      <c r="AY339" s="17">
        <v>-0.7008806681111176</v>
      </c>
      <c r="AZ339" s="17">
        <v>0.8762242936073531</v>
      </c>
      <c r="BA339" s="17">
        <v>0.92203504526047342</v>
      </c>
      <c r="BB339" s="17">
        <v>0.87343926211870593</v>
      </c>
      <c r="BC339" s="17">
        <v>0.32651286383663847</v>
      </c>
      <c r="BD339" s="17">
        <v>-0.9323904117514884</v>
      </c>
      <c r="BE339" s="17">
        <v>-0.41266073248699758</v>
      </c>
      <c r="BF339" s="17">
        <v>0.19739309756215584</v>
      </c>
      <c r="BK339" s="20">
        <v>1.287651322851004E-2</v>
      </c>
      <c r="BL339" s="20">
        <v>0.98718229334808782</v>
      </c>
      <c r="BN339" s="21">
        <f t="shared" ref="BN339:BN402" si="17">IF(BK339&gt;BL339,0,1)</f>
        <v>1</v>
      </c>
    </row>
    <row r="340" spans="1:66">
      <c r="A340" s="14">
        <v>10.050000000000001</v>
      </c>
      <c r="B340" s="14">
        <v>17.53</v>
      </c>
      <c r="C340" s="14">
        <v>64.41</v>
      </c>
      <c r="D340" s="14">
        <v>310.8</v>
      </c>
      <c r="E340" s="14">
        <v>7.3260000000000006E-2</v>
      </c>
      <c r="F340" s="14">
        <v>2.511E-2</v>
      </c>
      <c r="G340" s="14">
        <v>1.7749999999999998E-2</v>
      </c>
      <c r="H340" s="14">
        <v>11.16</v>
      </c>
      <c r="I340" s="14">
        <v>384</v>
      </c>
      <c r="J340" s="14">
        <v>6.4990000000000006E-2</v>
      </c>
      <c r="M340" s="16">
        <v>0</v>
      </c>
      <c r="O340" s="12">
        <f t="shared" si="15"/>
        <v>1</v>
      </c>
      <c r="P340" s="12">
        <f t="shared" si="16"/>
        <v>0</v>
      </c>
      <c r="R340" s="17">
        <v>-0.86216493245391179</v>
      </c>
      <c r="S340" s="17">
        <v>0.86592397083683859</v>
      </c>
      <c r="T340" s="17">
        <v>1.1492407566427856</v>
      </c>
      <c r="U340" s="17">
        <v>0.30971288832147947</v>
      </c>
      <c r="V340" s="17">
        <v>1.322038261257461</v>
      </c>
      <c r="W340" s="17">
        <v>-0.54000870393571332</v>
      </c>
      <c r="X340" s="17">
        <v>-0.93446499101467595</v>
      </c>
      <c r="Y340" s="17">
        <v>1.3623707400649003</v>
      </c>
      <c r="Z340" s="17">
        <v>0.73556995189170193</v>
      </c>
      <c r="AA340" s="17">
        <v>1.6983871669386827</v>
      </c>
      <c r="AB340" s="17">
        <v>-1.2113068807979621</v>
      </c>
      <c r="AC340" s="17">
        <v>1.5906603286575782</v>
      </c>
      <c r="AD340" s="17">
        <v>-0.8593627097567913</v>
      </c>
      <c r="AE340" s="17">
        <v>1.3374666300864129</v>
      </c>
      <c r="AF340" s="17">
        <v>1.6049118769290147</v>
      </c>
      <c r="AG340" s="17">
        <v>1.3481853892245086</v>
      </c>
      <c r="AH340" s="17">
        <v>0.33128292594394448</v>
      </c>
      <c r="AI340" s="17">
        <v>-1.6572512841003593</v>
      </c>
      <c r="AJ340" s="17">
        <v>-0.4315878441673433</v>
      </c>
      <c r="AK340" s="17">
        <v>0.36873422441298942</v>
      </c>
      <c r="AM340" s="17">
        <v>-0.70688426558010398</v>
      </c>
      <c r="AN340" s="17">
        <v>0.69831728323498266</v>
      </c>
      <c r="AO340" s="17">
        <v>0.80805646199543102</v>
      </c>
      <c r="AP340" s="17">
        <v>0.30419596509862845</v>
      </c>
      <c r="AQ340" s="17">
        <v>0.86565208131621008</v>
      </c>
      <c r="AR340" s="17">
        <v>-0.51387208026946674</v>
      </c>
      <c r="AS340" s="17">
        <v>-0.73933685575904151</v>
      </c>
      <c r="AT340" s="17">
        <v>0.86763321794662696</v>
      </c>
      <c r="AU340" s="17">
        <v>0.65000899126938105</v>
      </c>
      <c r="AV340" s="17">
        <v>0.92963439027368333</v>
      </c>
      <c r="AW340" s="17">
        <v>-0.81881125637124375</v>
      </c>
      <c r="AX340" s="17">
        <v>0.91331195079191385</v>
      </c>
      <c r="AY340" s="17">
        <v>-0.68967021662969352</v>
      </c>
      <c r="AZ340" s="17">
        <v>0.87137776189473304</v>
      </c>
      <c r="BA340" s="17">
        <v>0.90897559487062485</v>
      </c>
      <c r="BB340" s="17">
        <v>0.85702680621521943</v>
      </c>
      <c r="BC340" s="17">
        <v>0.3258999258003224</v>
      </c>
      <c r="BD340" s="17">
        <v>-0.92683912433178428</v>
      </c>
      <c r="BE340" s="17">
        <v>-0.40746794012804921</v>
      </c>
      <c r="BF340" s="17">
        <v>0.29088691319788595</v>
      </c>
      <c r="BK340" s="20">
        <v>1.0210503201140544</v>
      </c>
      <c r="BL340" s="20">
        <v>-2.1187850757642582E-2</v>
      </c>
      <c r="BN340" s="21">
        <f t="shared" si="17"/>
        <v>0</v>
      </c>
    </row>
    <row r="341" spans="1:66">
      <c r="A341" s="14">
        <v>23.51</v>
      </c>
      <c r="B341" s="14">
        <v>24.27</v>
      </c>
      <c r="C341" s="14">
        <v>155.1</v>
      </c>
      <c r="D341" s="14">
        <v>1747</v>
      </c>
      <c r="E341" s="14">
        <v>0.1283</v>
      </c>
      <c r="F341" s="14">
        <v>0.23080000000000001</v>
      </c>
      <c r="G341" s="14">
        <v>0.14099999999999999</v>
      </c>
      <c r="H341" s="14">
        <v>30.67</v>
      </c>
      <c r="I341" s="14">
        <v>2906</v>
      </c>
      <c r="J341" s="14">
        <v>0.2089</v>
      </c>
      <c r="M341" s="16">
        <v>1</v>
      </c>
      <c r="O341" s="12">
        <f t="shared" si="15"/>
        <v>0</v>
      </c>
      <c r="P341" s="12">
        <f t="shared" si="16"/>
        <v>1</v>
      </c>
      <c r="R341" s="17">
        <v>-0.86216493245391179</v>
      </c>
      <c r="S341" s="17">
        <v>0.86592397083683859</v>
      </c>
      <c r="T341" s="17">
        <v>1.1492407566427856</v>
      </c>
      <c r="U341" s="17">
        <v>0.30971288832147947</v>
      </c>
      <c r="V341" s="17">
        <v>1.322038261257461</v>
      </c>
      <c r="W341" s="17">
        <v>-0.54000870393571332</v>
      </c>
      <c r="X341" s="17">
        <v>-0.93446499101467595</v>
      </c>
      <c r="Y341" s="17">
        <v>1.3623707400649003</v>
      </c>
      <c r="Z341" s="17">
        <v>0.73556995189170193</v>
      </c>
      <c r="AA341" s="17">
        <v>1.6983871669386827</v>
      </c>
      <c r="AB341" s="17">
        <v>-1.2113068807979621</v>
      </c>
      <c r="AC341" s="17">
        <v>1.5906603286575782</v>
      </c>
      <c r="AD341" s="17">
        <v>-0.8593627097567913</v>
      </c>
      <c r="AE341" s="17">
        <v>1.3374666300864129</v>
      </c>
      <c r="AF341" s="17">
        <v>1.6049118769290147</v>
      </c>
      <c r="AG341" s="17">
        <v>1.3481853892245086</v>
      </c>
      <c r="AH341" s="17">
        <v>0.33128292594394448</v>
      </c>
      <c r="AI341" s="17">
        <v>-1.6572512841003593</v>
      </c>
      <c r="AJ341" s="17">
        <v>-0.4315878441673433</v>
      </c>
      <c r="AK341" s="17">
        <v>-1.1596142367281286</v>
      </c>
      <c r="AM341" s="17">
        <v>-0.75793324450554034</v>
      </c>
      <c r="AN341" s="17">
        <v>0.72961920055644736</v>
      </c>
      <c r="AO341" s="17">
        <v>0.78841950415262618</v>
      </c>
      <c r="AP341" s="17">
        <v>0.33509525090292097</v>
      </c>
      <c r="AQ341" s="17">
        <v>0.88637949208442068</v>
      </c>
      <c r="AR341" s="17">
        <v>-0.58749650767986861</v>
      </c>
      <c r="AS341" s="17">
        <v>-0.78396915717199234</v>
      </c>
      <c r="AT341" s="17">
        <v>0.87230474563844485</v>
      </c>
      <c r="AU341" s="17">
        <v>0.72742462199178126</v>
      </c>
      <c r="AV341" s="17">
        <v>0.93451487131527122</v>
      </c>
      <c r="AW341" s="17">
        <v>-0.80657157022171544</v>
      </c>
      <c r="AX341" s="17">
        <v>0.91765681464632465</v>
      </c>
      <c r="AY341" s="17">
        <v>-0.71030858148031362</v>
      </c>
      <c r="AZ341" s="17">
        <v>0.89512506870063435</v>
      </c>
      <c r="BA341" s="17">
        <v>0.89755579907740202</v>
      </c>
      <c r="BB341" s="17">
        <v>0.845045836690833</v>
      </c>
      <c r="BC341" s="17">
        <v>0.36277134077715134</v>
      </c>
      <c r="BD341" s="17">
        <v>-0.93747999169574536</v>
      </c>
      <c r="BE341" s="17">
        <v>-0.43723599839270927</v>
      </c>
      <c r="BF341" s="17">
        <v>0.32928374601484572</v>
      </c>
      <c r="BK341" s="20">
        <v>6.0948777951377285E-2</v>
      </c>
      <c r="BL341" s="20">
        <v>0.93923639456842678</v>
      </c>
      <c r="BN341" s="21">
        <f t="shared" si="17"/>
        <v>1</v>
      </c>
    </row>
    <row r="342" spans="1:66">
      <c r="A342" s="14">
        <v>14.42</v>
      </c>
      <c r="B342" s="14">
        <v>16.54</v>
      </c>
      <c r="C342" s="14">
        <v>94.15</v>
      </c>
      <c r="D342" s="14">
        <v>641.20000000000005</v>
      </c>
      <c r="E342" s="14">
        <v>0.1139</v>
      </c>
      <c r="F342" s="14">
        <v>8.0070000000000002E-2</v>
      </c>
      <c r="G342" s="14">
        <v>4.2229999999999997E-2</v>
      </c>
      <c r="H342" s="14">
        <v>16.670000000000002</v>
      </c>
      <c r="I342" s="14">
        <v>862.1</v>
      </c>
      <c r="J342" s="14">
        <v>0.1414</v>
      </c>
      <c r="M342" s="16">
        <v>0</v>
      </c>
      <c r="O342" s="12">
        <f t="shared" si="15"/>
        <v>1</v>
      </c>
      <c r="P342" s="12">
        <f t="shared" si="16"/>
        <v>0</v>
      </c>
      <c r="R342" s="17">
        <v>-0.86216493245391179</v>
      </c>
      <c r="S342" s="17">
        <v>0.86592397083683859</v>
      </c>
      <c r="T342" s="17">
        <v>1.1492407566427856</v>
      </c>
      <c r="U342" s="17">
        <v>0.30971288832147947</v>
      </c>
      <c r="V342" s="17">
        <v>1.322038261257461</v>
      </c>
      <c r="W342" s="17">
        <v>-0.54000870393571332</v>
      </c>
      <c r="X342" s="17">
        <v>-0.93446499101467595</v>
      </c>
      <c r="Y342" s="17">
        <v>1.3623707400649003</v>
      </c>
      <c r="Z342" s="17">
        <v>0.73556995189170193</v>
      </c>
      <c r="AA342" s="17">
        <v>1.6983871669386827</v>
      </c>
      <c r="AB342" s="17">
        <v>-1.2113068807979621</v>
      </c>
      <c r="AC342" s="17">
        <v>1.5906603286575782</v>
      </c>
      <c r="AD342" s="17">
        <v>-0.8593627097567913</v>
      </c>
      <c r="AE342" s="17">
        <v>1.3374666300864129</v>
      </c>
      <c r="AF342" s="17">
        <v>1.6049118769290147</v>
      </c>
      <c r="AG342" s="17">
        <v>1.3481853892245086</v>
      </c>
      <c r="AH342" s="17">
        <v>0.33128292594394448</v>
      </c>
      <c r="AI342" s="17">
        <v>-1.6572512841003593</v>
      </c>
      <c r="AJ342" s="17">
        <v>-0.4315878441673433</v>
      </c>
      <c r="AK342" s="17">
        <v>0.36873422441298942</v>
      </c>
      <c r="AM342" s="17">
        <v>-0.72364524800967245</v>
      </c>
      <c r="AN342" s="17">
        <v>0.70161547569269944</v>
      </c>
      <c r="AO342" s="17">
        <v>0.77672654767045035</v>
      </c>
      <c r="AP342" s="17">
        <v>0.31252650212404204</v>
      </c>
      <c r="AQ342" s="17">
        <v>0.8668878320547766</v>
      </c>
      <c r="AR342" s="17">
        <v>-0.54508057251300424</v>
      </c>
      <c r="AS342" s="17">
        <v>-0.75237800892554307</v>
      </c>
      <c r="AT342" s="17">
        <v>0.85784316515645742</v>
      </c>
      <c r="AU342" s="17">
        <v>0.68401707023598735</v>
      </c>
      <c r="AV342" s="17">
        <v>0.92401792441396313</v>
      </c>
      <c r="AW342" s="17">
        <v>-0.79595028998950568</v>
      </c>
      <c r="AX342" s="17">
        <v>0.90605539491309939</v>
      </c>
      <c r="AY342" s="17">
        <v>-0.68584594182612024</v>
      </c>
      <c r="AZ342" s="17">
        <v>0.87511592043840047</v>
      </c>
      <c r="BA342" s="17">
        <v>0.89083678055029869</v>
      </c>
      <c r="BB342" s="17">
        <v>0.83574210308610208</v>
      </c>
      <c r="BC342" s="17">
        <v>0.33732849640491702</v>
      </c>
      <c r="BD342" s="17">
        <v>-0.92512257173721535</v>
      </c>
      <c r="BE342" s="17">
        <v>-0.41232486828487014</v>
      </c>
      <c r="BF342" s="17">
        <v>0.26482219155043168</v>
      </c>
      <c r="BK342" s="20">
        <v>1.058922228282895</v>
      </c>
      <c r="BL342" s="20">
        <v>-5.899582392354976E-2</v>
      </c>
      <c r="BN342" s="21">
        <f t="shared" si="17"/>
        <v>0</v>
      </c>
    </row>
    <row r="343" spans="1:66">
      <c r="A343" s="14">
        <v>9.6059999999999999</v>
      </c>
      <c r="B343" s="14">
        <v>16.84</v>
      </c>
      <c r="C343" s="14">
        <v>61.64</v>
      </c>
      <c r="D343" s="14">
        <v>280.5</v>
      </c>
      <c r="E343" s="14">
        <v>9.2280000000000001E-2</v>
      </c>
      <c r="F343" s="14">
        <v>8.4220000000000003E-2</v>
      </c>
      <c r="G343" s="14">
        <v>2.2919999999999999E-2</v>
      </c>
      <c r="H343" s="14">
        <v>10.75</v>
      </c>
      <c r="I343" s="14">
        <v>353.6</v>
      </c>
      <c r="J343" s="14">
        <v>8.1199999999999994E-2</v>
      </c>
      <c r="M343" s="16">
        <v>0</v>
      </c>
      <c r="O343" s="12">
        <f t="shared" si="15"/>
        <v>1</v>
      </c>
      <c r="P343" s="12">
        <f t="shared" si="16"/>
        <v>0</v>
      </c>
      <c r="R343" s="17">
        <v>-0.86216493245391179</v>
      </c>
      <c r="S343" s="17">
        <v>0.86592397083683859</v>
      </c>
      <c r="T343" s="17">
        <v>1.1492407566427856</v>
      </c>
      <c r="U343" s="17">
        <v>0.30971288832147947</v>
      </c>
      <c r="V343" s="17">
        <v>1.322038261257461</v>
      </c>
      <c r="W343" s="17">
        <v>-0.54000870393571332</v>
      </c>
      <c r="X343" s="17">
        <v>-0.93446499101467595</v>
      </c>
      <c r="Y343" s="17">
        <v>1.3623707400649003</v>
      </c>
      <c r="Z343" s="17">
        <v>0.73556995189170193</v>
      </c>
      <c r="AA343" s="17">
        <v>1.6983871669386827</v>
      </c>
      <c r="AB343" s="17">
        <v>-1.2113068807979621</v>
      </c>
      <c r="AC343" s="17">
        <v>1.5906603286575782</v>
      </c>
      <c r="AD343" s="17">
        <v>-0.8593627097567913</v>
      </c>
      <c r="AE343" s="17">
        <v>1.3374666300864129</v>
      </c>
      <c r="AF343" s="17">
        <v>1.6049118769290147</v>
      </c>
      <c r="AG343" s="17">
        <v>1.3481853892245086</v>
      </c>
      <c r="AH343" s="17">
        <v>0.33128292594394448</v>
      </c>
      <c r="AI343" s="17">
        <v>-1.6572512841003593</v>
      </c>
      <c r="AJ343" s="17">
        <v>-0.4315878441673433</v>
      </c>
      <c r="AK343" s="17">
        <v>0.36873422441277093</v>
      </c>
      <c r="AM343" s="17">
        <v>-0.62494158803825028</v>
      </c>
      <c r="AN343" s="17">
        <v>0.66677742312959143</v>
      </c>
      <c r="AO343" s="17">
        <v>0.82914686675414939</v>
      </c>
      <c r="AP343" s="17">
        <v>0.26455410077102581</v>
      </c>
      <c r="AQ343" s="17">
        <v>0.84572918295442956</v>
      </c>
      <c r="AR343" s="17">
        <v>-0.38467273374807781</v>
      </c>
      <c r="AS343" s="17">
        <v>-0.67161718709063911</v>
      </c>
      <c r="AT343" s="17">
        <v>0.88211158679530388</v>
      </c>
      <c r="AU343" s="17">
        <v>0.4982281799927924</v>
      </c>
      <c r="AV343" s="17">
        <v>0.93633950360094798</v>
      </c>
      <c r="AW343" s="17">
        <v>-0.8640858203209224</v>
      </c>
      <c r="AX343" s="17">
        <v>0.92328966233927889</v>
      </c>
      <c r="AY343" s="17">
        <v>-0.68172711935248698</v>
      </c>
      <c r="AZ343" s="17">
        <v>0.84232704696731242</v>
      </c>
      <c r="BA343" s="17">
        <v>0.94200953366291496</v>
      </c>
      <c r="BB343" s="17">
        <v>0.89805449493113398</v>
      </c>
      <c r="BC343" s="17">
        <v>0.27525006483499109</v>
      </c>
      <c r="BD343" s="17">
        <v>-0.9217196681240476</v>
      </c>
      <c r="BE343" s="17">
        <v>-0.37546792678773439</v>
      </c>
      <c r="BF343" s="17">
        <v>0.28875848417538907</v>
      </c>
      <c r="BK343" s="20">
        <v>1.008943861264463</v>
      </c>
      <c r="BL343" s="20">
        <v>-8.9674833838797111E-3</v>
      </c>
      <c r="BN343" s="21">
        <f t="shared" si="17"/>
        <v>0</v>
      </c>
    </row>
    <row r="344" spans="1:66">
      <c r="A344" s="14">
        <v>11.06</v>
      </c>
      <c r="B344" s="14">
        <v>14.96</v>
      </c>
      <c r="C344" s="14">
        <v>71.489999999999995</v>
      </c>
      <c r="D344" s="14">
        <v>373.9</v>
      </c>
      <c r="E344" s="14">
        <v>9.0969999999999995E-2</v>
      </c>
      <c r="F344" s="14">
        <v>5.3969999999999997E-2</v>
      </c>
      <c r="G344" s="14">
        <v>3.3410000000000002E-2</v>
      </c>
      <c r="H344" s="14">
        <v>11.92</v>
      </c>
      <c r="I344" s="14">
        <v>440</v>
      </c>
      <c r="J344" s="14">
        <v>0.1075</v>
      </c>
      <c r="M344" s="16">
        <v>0</v>
      </c>
      <c r="O344" s="12">
        <f t="shared" si="15"/>
        <v>1</v>
      </c>
      <c r="P344" s="12">
        <f t="shared" si="16"/>
        <v>0</v>
      </c>
      <c r="R344" s="17">
        <v>-0.86216493245391179</v>
      </c>
      <c r="S344" s="17">
        <v>0.86592397083683859</v>
      </c>
      <c r="T344" s="17">
        <v>1.1492407566427856</v>
      </c>
      <c r="U344" s="17">
        <v>0.30971288832147947</v>
      </c>
      <c r="V344" s="17">
        <v>1.322038261257461</v>
      </c>
      <c r="W344" s="17">
        <v>-0.54000870393571332</v>
      </c>
      <c r="X344" s="17">
        <v>-0.93446499101467595</v>
      </c>
      <c r="Y344" s="17">
        <v>1.3623707400649003</v>
      </c>
      <c r="Z344" s="17">
        <v>0.73556995189170193</v>
      </c>
      <c r="AA344" s="17">
        <v>1.6983871669386827</v>
      </c>
      <c r="AB344" s="17">
        <v>-1.2113068807979621</v>
      </c>
      <c r="AC344" s="17">
        <v>1.5906603286575782</v>
      </c>
      <c r="AD344" s="17">
        <v>-0.8593627097567913</v>
      </c>
      <c r="AE344" s="17">
        <v>1.3374666300864129</v>
      </c>
      <c r="AF344" s="17">
        <v>1.6049118769290147</v>
      </c>
      <c r="AG344" s="17">
        <v>1.3481853892245086</v>
      </c>
      <c r="AH344" s="17">
        <v>0.33128292594394448</v>
      </c>
      <c r="AI344" s="17">
        <v>-1.6572512841003593</v>
      </c>
      <c r="AJ344" s="17">
        <v>-0.4315878441673433</v>
      </c>
      <c r="AK344" s="17">
        <v>0.36873422441271675</v>
      </c>
      <c r="AM344" s="17">
        <v>-0.56196081561560185</v>
      </c>
      <c r="AN344" s="17">
        <v>0.62984891651260821</v>
      </c>
      <c r="AO344" s="17">
        <v>0.82397608777391351</v>
      </c>
      <c r="AP344" s="17">
        <v>0.23532302020842472</v>
      </c>
      <c r="AQ344" s="17">
        <v>0.81762447327625654</v>
      </c>
      <c r="AR344" s="17">
        <v>-0.30764729292245074</v>
      </c>
      <c r="AS344" s="17">
        <v>-0.61543953288262077</v>
      </c>
      <c r="AT344" s="17">
        <v>0.87259034316170625</v>
      </c>
      <c r="AU344" s="17">
        <v>0.40108180052093406</v>
      </c>
      <c r="AV344" s="17">
        <v>0.92835081209281223</v>
      </c>
      <c r="AW344" s="17">
        <v>-0.86452274706559906</v>
      </c>
      <c r="AX344" s="17">
        <v>0.91531983627926528</v>
      </c>
      <c r="AY344" s="17">
        <v>-0.65595894281168332</v>
      </c>
      <c r="AZ344" s="17">
        <v>0.80883934672746105</v>
      </c>
      <c r="BA344" s="17">
        <v>0.94341877974074517</v>
      </c>
      <c r="BB344" s="17">
        <v>0.89889113289770939</v>
      </c>
      <c r="BC344" s="17">
        <v>0.24072417243991973</v>
      </c>
      <c r="BD344" s="17">
        <v>-0.90658511312441936</v>
      </c>
      <c r="BE344" s="17">
        <v>-0.34505501575541681</v>
      </c>
      <c r="BF344" s="17">
        <v>-8.0945375546688347E-2</v>
      </c>
      <c r="BK344" s="20">
        <v>1.0251736133993421</v>
      </c>
      <c r="BL344" s="20">
        <v>-2.5199621929440228E-2</v>
      </c>
      <c r="BN344" s="21">
        <f t="shared" si="17"/>
        <v>0</v>
      </c>
    </row>
    <row r="345" spans="1:66">
      <c r="A345" s="14">
        <v>19.68</v>
      </c>
      <c r="B345" s="14">
        <v>21.68</v>
      </c>
      <c r="C345" s="14">
        <v>129.9</v>
      </c>
      <c r="D345" s="14">
        <v>1194</v>
      </c>
      <c r="E345" s="14">
        <v>0.13389999999999999</v>
      </c>
      <c r="F345" s="14">
        <v>0.18629999999999999</v>
      </c>
      <c r="G345" s="14">
        <v>0.1103</v>
      </c>
      <c r="H345" s="14">
        <v>22.75</v>
      </c>
      <c r="I345" s="14">
        <v>1540</v>
      </c>
      <c r="J345" s="14">
        <v>0.22550000000000001</v>
      </c>
      <c r="M345" s="16">
        <v>1</v>
      </c>
      <c r="O345" s="12">
        <f t="shared" si="15"/>
        <v>0</v>
      </c>
      <c r="P345" s="12">
        <f t="shared" si="16"/>
        <v>1</v>
      </c>
      <c r="R345" s="17">
        <v>-0.86216493245391179</v>
      </c>
      <c r="S345" s="17">
        <v>0.86592397083683859</v>
      </c>
      <c r="T345" s="17">
        <v>1.1492407566427856</v>
      </c>
      <c r="U345" s="17">
        <v>0.30971288832147947</v>
      </c>
      <c r="V345" s="17">
        <v>1.322038261257461</v>
      </c>
      <c r="W345" s="17">
        <v>-0.54000870393571332</v>
      </c>
      <c r="X345" s="17">
        <v>-0.93446499101467595</v>
      </c>
      <c r="Y345" s="17">
        <v>1.3623707400649003</v>
      </c>
      <c r="Z345" s="17">
        <v>0.73556995189170193</v>
      </c>
      <c r="AA345" s="17">
        <v>1.6983871669386827</v>
      </c>
      <c r="AB345" s="17">
        <v>-1.2113068807979621</v>
      </c>
      <c r="AC345" s="17">
        <v>1.5906603286575782</v>
      </c>
      <c r="AD345" s="17">
        <v>-0.8593627097567913</v>
      </c>
      <c r="AE345" s="17">
        <v>1.3374666300864129</v>
      </c>
      <c r="AF345" s="17">
        <v>1.6049118769290147</v>
      </c>
      <c r="AG345" s="17">
        <v>1.3481853892245086</v>
      </c>
      <c r="AH345" s="17">
        <v>0.33128292594394448</v>
      </c>
      <c r="AI345" s="17">
        <v>-1.6572512841003593</v>
      </c>
      <c r="AJ345" s="17">
        <v>-0.4315878441673433</v>
      </c>
      <c r="AK345" s="17">
        <v>0.36873422441298942</v>
      </c>
      <c r="AM345" s="17">
        <v>-0.68079540310337983</v>
      </c>
      <c r="AN345" s="17">
        <v>0.7003194727498554</v>
      </c>
      <c r="AO345" s="17">
        <v>0.84490238522906125</v>
      </c>
      <c r="AP345" s="17">
        <v>0.29326372360007663</v>
      </c>
      <c r="AQ345" s="17">
        <v>0.86949828186002032</v>
      </c>
      <c r="AR345" s="17">
        <v>-0.45730987715854116</v>
      </c>
      <c r="AS345" s="17">
        <v>-0.7209616554641477</v>
      </c>
      <c r="AT345" s="17">
        <v>0.89040301906925223</v>
      </c>
      <c r="AU345" s="17">
        <v>0.58504198724734457</v>
      </c>
      <c r="AV345" s="17">
        <v>0.94311915991321005</v>
      </c>
      <c r="AW345" s="17">
        <v>-0.86277779171512736</v>
      </c>
      <c r="AX345" s="17">
        <v>0.93012257878657156</v>
      </c>
      <c r="AY345" s="17">
        <v>-0.70531960746314659</v>
      </c>
      <c r="AZ345" s="17">
        <v>0.87013429644963725</v>
      </c>
      <c r="BA345" s="17">
        <v>0.94001101865809855</v>
      </c>
      <c r="BB345" s="17">
        <v>0.89645564573853997</v>
      </c>
      <c r="BC345" s="17">
        <v>0.30912033289680219</v>
      </c>
      <c r="BD345" s="17">
        <v>-0.9342073119508425</v>
      </c>
      <c r="BE345" s="17">
        <v>-0.40485264144018895</v>
      </c>
      <c r="BF345" s="17">
        <v>0.35864083712799183</v>
      </c>
      <c r="BK345" s="20">
        <v>1.0105643916466807</v>
      </c>
      <c r="BL345" s="20">
        <v>-1.0598639884075708E-2</v>
      </c>
      <c r="BN345" s="21">
        <f t="shared" si="17"/>
        <v>0</v>
      </c>
    </row>
    <row r="346" spans="1:66">
      <c r="A346" s="14">
        <v>11.71</v>
      </c>
      <c r="B346" s="14">
        <v>15.45</v>
      </c>
      <c r="C346" s="14">
        <v>75.03</v>
      </c>
      <c r="D346" s="14">
        <v>420.3</v>
      </c>
      <c r="E346" s="14">
        <v>7.281E-2</v>
      </c>
      <c r="F346" s="14">
        <v>4.0059999999999998E-2</v>
      </c>
      <c r="G346" s="14">
        <v>3.2500000000000001E-2</v>
      </c>
      <c r="H346" s="14">
        <v>13.06</v>
      </c>
      <c r="I346" s="14">
        <v>516.4</v>
      </c>
      <c r="J346" s="14">
        <v>7.8640000000000002E-2</v>
      </c>
      <c r="M346" s="16">
        <v>0</v>
      </c>
      <c r="O346" s="12">
        <f t="shared" si="15"/>
        <v>1</v>
      </c>
      <c r="P346" s="12">
        <f t="shared" si="16"/>
        <v>0</v>
      </c>
      <c r="R346" s="17">
        <v>-0.86216493245391179</v>
      </c>
      <c r="S346" s="17">
        <v>0.86592397083683859</v>
      </c>
      <c r="T346" s="17">
        <v>1.1492407566427856</v>
      </c>
      <c r="U346" s="17">
        <v>0.30971288832147947</v>
      </c>
      <c r="V346" s="17">
        <v>1.322038261257461</v>
      </c>
      <c r="W346" s="17">
        <v>-0.54000870393571332</v>
      </c>
      <c r="X346" s="17">
        <v>-0.93446499101467595</v>
      </c>
      <c r="Y346" s="17">
        <v>1.3623707400649003</v>
      </c>
      <c r="Z346" s="17">
        <v>0.73556995189170193</v>
      </c>
      <c r="AA346" s="17">
        <v>1.6983871669386827</v>
      </c>
      <c r="AB346" s="17">
        <v>-1.2113068807979621</v>
      </c>
      <c r="AC346" s="17">
        <v>1.5906603286575782</v>
      </c>
      <c r="AD346" s="17">
        <v>-0.8593627097567913</v>
      </c>
      <c r="AE346" s="17">
        <v>1.3374666300864129</v>
      </c>
      <c r="AF346" s="17">
        <v>1.6049118769290147</v>
      </c>
      <c r="AG346" s="17">
        <v>1.3481853892245086</v>
      </c>
      <c r="AH346" s="17">
        <v>0.33128292594394448</v>
      </c>
      <c r="AI346" s="17">
        <v>-1.6572512841003593</v>
      </c>
      <c r="AJ346" s="17">
        <v>-0.4315878441673433</v>
      </c>
      <c r="AK346" s="17">
        <v>0.36873422440948955</v>
      </c>
      <c r="AM346" s="17">
        <v>-0.63968615322832401</v>
      </c>
      <c r="AN346" s="17">
        <v>0.68367192958052914</v>
      </c>
      <c r="AO346" s="17">
        <v>0.85023859911680499</v>
      </c>
      <c r="AP346" s="17">
        <v>0.27340199629562262</v>
      </c>
      <c r="AQ346" s="17">
        <v>0.85899511689999664</v>
      </c>
      <c r="AR346" s="17">
        <v>-0.393502258411422</v>
      </c>
      <c r="AS346" s="17">
        <v>-0.68691562478812007</v>
      </c>
      <c r="AT346" s="17">
        <v>0.89472242093287113</v>
      </c>
      <c r="AU346" s="17">
        <v>0.5084321316570023</v>
      </c>
      <c r="AV346" s="17">
        <v>0.94473596380320679</v>
      </c>
      <c r="AW346" s="17">
        <v>-0.87863141779402709</v>
      </c>
      <c r="AX346" s="17">
        <v>0.9328908358699346</v>
      </c>
      <c r="AY346" s="17">
        <v>-0.699474835777671</v>
      </c>
      <c r="AZ346" s="17">
        <v>0.85535918267959654</v>
      </c>
      <c r="BA346" s="17">
        <v>0.95057193110628191</v>
      </c>
      <c r="BB346" s="17">
        <v>0.91039773536774871</v>
      </c>
      <c r="BC346" s="17">
        <v>0.2840258300976381</v>
      </c>
      <c r="BD346" s="17">
        <v>-0.93093324122802457</v>
      </c>
      <c r="BE346" s="17">
        <v>-0.3881816269240323</v>
      </c>
      <c r="BF346" s="17">
        <v>0.38321373378632617</v>
      </c>
      <c r="BK346" s="20">
        <v>-5.8391474297812947E-2</v>
      </c>
      <c r="BL346" s="20">
        <v>1.058368744385991</v>
      </c>
      <c r="BN346" s="21">
        <f t="shared" si="17"/>
        <v>1</v>
      </c>
    </row>
    <row r="347" spans="1:66">
      <c r="A347" s="14">
        <v>10.26</v>
      </c>
      <c r="B347" s="14">
        <v>14.71</v>
      </c>
      <c r="C347" s="14">
        <v>66.2</v>
      </c>
      <c r="D347" s="14">
        <v>321.60000000000002</v>
      </c>
      <c r="E347" s="14">
        <v>9.1590000000000005E-2</v>
      </c>
      <c r="F347" s="14">
        <v>3.5810000000000002E-2</v>
      </c>
      <c r="G347" s="14">
        <v>2.0369999999999999E-2</v>
      </c>
      <c r="H347" s="14">
        <v>10.88</v>
      </c>
      <c r="I347" s="14">
        <v>357.1</v>
      </c>
      <c r="J347" s="14">
        <v>4.0739999999999998E-2</v>
      </c>
      <c r="M347" s="16">
        <v>0</v>
      </c>
      <c r="O347" s="12">
        <f t="shared" si="15"/>
        <v>1</v>
      </c>
      <c r="P347" s="12">
        <f t="shared" si="16"/>
        <v>0</v>
      </c>
      <c r="R347" s="17">
        <v>-0.86216493245391179</v>
      </c>
      <c r="S347" s="17">
        <v>0.86592397083683859</v>
      </c>
      <c r="T347" s="17">
        <v>1.1492407566427856</v>
      </c>
      <c r="U347" s="17">
        <v>0.30971288832147947</v>
      </c>
      <c r="V347" s="17">
        <v>1.322038261257461</v>
      </c>
      <c r="W347" s="17">
        <v>-0.54000870393571332</v>
      </c>
      <c r="X347" s="17">
        <v>-0.93446499101467595</v>
      </c>
      <c r="Y347" s="17">
        <v>1.3623707400649003</v>
      </c>
      <c r="Z347" s="17">
        <v>0.73556995189170193</v>
      </c>
      <c r="AA347" s="17">
        <v>1.6983871669386827</v>
      </c>
      <c r="AB347" s="17">
        <v>-1.2113068807979621</v>
      </c>
      <c r="AC347" s="17">
        <v>1.5906603286575782</v>
      </c>
      <c r="AD347" s="17">
        <v>-0.8593627097567913</v>
      </c>
      <c r="AE347" s="17">
        <v>1.3374666300864129</v>
      </c>
      <c r="AF347" s="17">
        <v>1.6049118769290147</v>
      </c>
      <c r="AG347" s="17">
        <v>1.3481853892245086</v>
      </c>
      <c r="AH347" s="17">
        <v>0.33128292594394448</v>
      </c>
      <c r="AI347" s="17">
        <v>-1.6572512841003593</v>
      </c>
      <c r="AJ347" s="17">
        <v>-0.4315878441673433</v>
      </c>
      <c r="AK347" s="17">
        <v>0.36873420554540626</v>
      </c>
      <c r="AM347" s="17">
        <v>-0.87393870791114969</v>
      </c>
      <c r="AN347" s="17">
        <v>0.77123853931821695</v>
      </c>
      <c r="AO347" s="17">
        <v>0.45637807007855208</v>
      </c>
      <c r="AP347" s="17">
        <v>0.42003728357275782</v>
      </c>
      <c r="AQ347" s="17">
        <v>0.90588527495435933</v>
      </c>
      <c r="AR347" s="17">
        <v>-0.80214179988630785</v>
      </c>
      <c r="AS347" s="17">
        <v>-0.8787222340426275</v>
      </c>
      <c r="AT347" s="17">
        <v>0.77608275769178703</v>
      </c>
      <c r="AU347" s="17">
        <v>0.91058828757581511</v>
      </c>
      <c r="AV347" s="17">
        <v>0.88194510441688145</v>
      </c>
      <c r="AW347" s="17">
        <v>-0.49685388404424813</v>
      </c>
      <c r="AX347" s="17">
        <v>0.84548864599902507</v>
      </c>
      <c r="AY347" s="17">
        <v>-0.69290986371595009</v>
      </c>
      <c r="AZ347" s="17">
        <v>0.92870662336434462</v>
      </c>
      <c r="BA347" s="17">
        <v>0.55188348081485361</v>
      </c>
      <c r="BB347" s="17">
        <v>0.52494243018746345</v>
      </c>
      <c r="BC347" s="17">
        <v>0.47337153954627215</v>
      </c>
      <c r="BD347" s="17">
        <v>-0.93144038357539716</v>
      </c>
      <c r="BE347" s="17">
        <v>-0.49378949580628351</v>
      </c>
      <c r="BF347" s="17">
        <v>0.25425234528179147</v>
      </c>
      <c r="BK347" s="20">
        <v>0.35032108560664077</v>
      </c>
      <c r="BL347" s="20">
        <v>0.64979293339239763</v>
      </c>
      <c r="BN347" s="21">
        <f t="shared" si="17"/>
        <v>1</v>
      </c>
    </row>
    <row r="348" spans="1:66">
      <c r="A348" s="14">
        <v>12.06</v>
      </c>
      <c r="B348" s="14">
        <v>18.899999999999999</v>
      </c>
      <c r="C348" s="14">
        <v>76.66</v>
      </c>
      <c r="D348" s="14">
        <v>445.3</v>
      </c>
      <c r="E348" s="14">
        <v>5.7939999999999998E-2</v>
      </c>
      <c r="F348" s="14">
        <v>7.5100000000000002E-3</v>
      </c>
      <c r="G348" s="14">
        <v>8.4880000000000008E-3</v>
      </c>
      <c r="H348" s="14">
        <v>13.64</v>
      </c>
      <c r="I348" s="14">
        <v>562.6</v>
      </c>
      <c r="J348" s="14">
        <v>5.0930000000000003E-2</v>
      </c>
      <c r="M348" s="16">
        <v>0</v>
      </c>
      <c r="O348" s="12">
        <f t="shared" si="15"/>
        <v>1</v>
      </c>
      <c r="P348" s="12">
        <f t="shared" si="16"/>
        <v>0</v>
      </c>
      <c r="R348" s="17">
        <v>-0.86216493245391179</v>
      </c>
      <c r="S348" s="17">
        <v>0.86592397083683859</v>
      </c>
      <c r="T348" s="17">
        <v>1.1492407566427856</v>
      </c>
      <c r="U348" s="17">
        <v>0.30971288832147947</v>
      </c>
      <c r="V348" s="17">
        <v>1.322038261257461</v>
      </c>
      <c r="W348" s="17">
        <v>-0.54000870393571332</v>
      </c>
      <c r="X348" s="17">
        <v>-0.93446499101467595</v>
      </c>
      <c r="Y348" s="17">
        <v>1.3623707400649003</v>
      </c>
      <c r="Z348" s="17">
        <v>0.73556995189170193</v>
      </c>
      <c r="AA348" s="17">
        <v>1.6983871669386827</v>
      </c>
      <c r="AB348" s="17">
        <v>-1.2113068807979621</v>
      </c>
      <c r="AC348" s="17">
        <v>1.5906603286575782</v>
      </c>
      <c r="AD348" s="17">
        <v>-0.8593627097567913</v>
      </c>
      <c r="AE348" s="17">
        <v>1.3374666300864129</v>
      </c>
      <c r="AF348" s="17">
        <v>1.6049118769290147</v>
      </c>
      <c r="AG348" s="17">
        <v>1.3481853892245086</v>
      </c>
      <c r="AH348" s="17">
        <v>0.33128292594394448</v>
      </c>
      <c r="AI348" s="17">
        <v>-1.6572512841003593</v>
      </c>
      <c r="AJ348" s="17">
        <v>-0.4315878441673433</v>
      </c>
      <c r="AK348" s="17">
        <v>0.32068680785517734</v>
      </c>
      <c r="AM348" s="17">
        <v>-0.71644094146874682</v>
      </c>
      <c r="AN348" s="17">
        <v>0.6962267713597009</v>
      </c>
      <c r="AO348" s="17">
        <v>0.77041332468460788</v>
      </c>
      <c r="AP348" s="17">
        <v>0.30812234265421817</v>
      </c>
      <c r="AQ348" s="17">
        <v>0.86303611669570235</v>
      </c>
      <c r="AR348" s="17">
        <v>-0.53596415603326442</v>
      </c>
      <c r="AS348" s="17">
        <v>-0.74581113775869567</v>
      </c>
      <c r="AT348" s="17">
        <v>0.85550120385939765</v>
      </c>
      <c r="AU348" s="17">
        <v>0.67437490543838108</v>
      </c>
      <c r="AV348" s="17">
        <v>0.92220844978617056</v>
      </c>
      <c r="AW348" s="17">
        <v>-0.79494223629733984</v>
      </c>
      <c r="AX348" s="17">
        <v>0.9041212498268878</v>
      </c>
      <c r="AY348" s="17">
        <v>-0.68144519455110231</v>
      </c>
      <c r="AZ348" s="17">
        <v>0.87102815107086928</v>
      </c>
      <c r="BA348" s="17">
        <v>0.89036769857838138</v>
      </c>
      <c r="BB348" s="17">
        <v>0.83491524468173817</v>
      </c>
      <c r="BC348" s="17">
        <v>0.33227365395121228</v>
      </c>
      <c r="BD348" s="17">
        <v>-0.92274506369128184</v>
      </c>
      <c r="BE348" s="17">
        <v>-0.40760770964746174</v>
      </c>
      <c r="BF348" s="17">
        <v>-0.75925777645956682</v>
      </c>
      <c r="BK348" s="20">
        <v>7.2892532040078756E-2</v>
      </c>
      <c r="BL348" s="20">
        <v>0.92715955164842245</v>
      </c>
      <c r="BN348" s="21">
        <f t="shared" si="17"/>
        <v>1</v>
      </c>
    </row>
    <row r="349" spans="1:66">
      <c r="A349" s="14">
        <v>14.76</v>
      </c>
      <c r="B349" s="14">
        <v>14.74</v>
      </c>
      <c r="C349" s="14">
        <v>94.87</v>
      </c>
      <c r="D349" s="14">
        <v>668.7</v>
      </c>
      <c r="E349" s="14">
        <v>7.7799999999999994E-2</v>
      </c>
      <c r="F349" s="14">
        <v>4.6080000000000003E-2</v>
      </c>
      <c r="G349" s="14">
        <v>3.5279999999999999E-2</v>
      </c>
      <c r="H349" s="14">
        <v>17.27</v>
      </c>
      <c r="I349" s="14">
        <v>880.8</v>
      </c>
      <c r="J349" s="14">
        <v>0.12509999999999999</v>
      </c>
      <c r="M349" s="16">
        <v>0</v>
      </c>
      <c r="O349" s="12">
        <f t="shared" si="15"/>
        <v>1</v>
      </c>
      <c r="P349" s="12">
        <f t="shared" si="16"/>
        <v>0</v>
      </c>
      <c r="R349" s="17">
        <v>-0.86216493245391179</v>
      </c>
      <c r="S349" s="17">
        <v>0.86592397083683859</v>
      </c>
      <c r="T349" s="17">
        <v>1.1492407566427856</v>
      </c>
      <c r="U349" s="17">
        <v>0.30971288832147947</v>
      </c>
      <c r="V349" s="17">
        <v>1.322038261257461</v>
      </c>
      <c r="W349" s="17">
        <v>-0.54000870393571332</v>
      </c>
      <c r="X349" s="17">
        <v>-0.93446499101467595</v>
      </c>
      <c r="Y349" s="17">
        <v>1.3623707400649003</v>
      </c>
      <c r="Z349" s="17">
        <v>0.73556995189170193</v>
      </c>
      <c r="AA349" s="17">
        <v>1.6983871669386827</v>
      </c>
      <c r="AB349" s="17">
        <v>-1.2113068807979621</v>
      </c>
      <c r="AC349" s="17">
        <v>1.5906603286575782</v>
      </c>
      <c r="AD349" s="17">
        <v>-0.8593627097567913</v>
      </c>
      <c r="AE349" s="17">
        <v>1.3374666300864129</v>
      </c>
      <c r="AF349" s="17">
        <v>1.6049118769290147</v>
      </c>
      <c r="AG349" s="17">
        <v>1.3481853892245086</v>
      </c>
      <c r="AH349" s="17">
        <v>0.33128292594394448</v>
      </c>
      <c r="AI349" s="17">
        <v>-1.6572512841003593</v>
      </c>
      <c r="AJ349" s="17">
        <v>-0.4315878441673433</v>
      </c>
      <c r="AK349" s="17">
        <v>0.36873422441298942</v>
      </c>
      <c r="AM349" s="17">
        <v>-0.67513782213612283</v>
      </c>
      <c r="AN349" s="17">
        <v>0.70083858208340222</v>
      </c>
      <c r="AO349" s="17">
        <v>0.85539875590637349</v>
      </c>
      <c r="AP349" s="17">
        <v>0.29100072517474618</v>
      </c>
      <c r="AQ349" s="17">
        <v>0.87036976164298974</v>
      </c>
      <c r="AR349" s="17">
        <v>-0.44491042099696243</v>
      </c>
      <c r="AS349" s="17">
        <v>-0.71703324845975625</v>
      </c>
      <c r="AT349" s="17">
        <v>0.89478684931006125</v>
      </c>
      <c r="AU349" s="17">
        <v>0.57030402810745229</v>
      </c>
      <c r="AV349" s="17">
        <v>0.94567410616264147</v>
      </c>
      <c r="AW349" s="17">
        <v>-0.87078910986508196</v>
      </c>
      <c r="AX349" s="17">
        <v>0.93330118565306164</v>
      </c>
      <c r="AY349" s="17">
        <v>-0.70864239551784602</v>
      </c>
      <c r="AZ349" s="17">
        <v>0.86994080035418198</v>
      </c>
      <c r="BA349" s="17">
        <v>0.94516143304053812</v>
      </c>
      <c r="BB349" s="17">
        <v>0.90342683597348405</v>
      </c>
      <c r="BC349" s="17">
        <v>0.3056074688557609</v>
      </c>
      <c r="BD349" s="17">
        <v>-0.93571825275610376</v>
      </c>
      <c r="BE349" s="17">
        <v>-0.40437702573708589</v>
      </c>
      <c r="BF349" s="17">
        <v>0.42489749621363093</v>
      </c>
      <c r="BK349" s="20">
        <v>0.98148610026155292</v>
      </c>
      <c r="BL349" s="20">
        <v>1.850647098972041E-2</v>
      </c>
      <c r="BN349" s="21">
        <f t="shared" si="17"/>
        <v>0</v>
      </c>
    </row>
    <row r="350" spans="1:66">
      <c r="A350" s="14">
        <v>11.47</v>
      </c>
      <c r="B350" s="14">
        <v>16.03</v>
      </c>
      <c r="C350" s="14">
        <v>73.02</v>
      </c>
      <c r="D350" s="14">
        <v>402.7</v>
      </c>
      <c r="E350" s="14">
        <v>5.8860000000000003E-2</v>
      </c>
      <c r="F350" s="14">
        <v>2.5870000000000001E-2</v>
      </c>
      <c r="G350" s="14">
        <v>2.3220000000000001E-2</v>
      </c>
      <c r="H350" s="14">
        <v>12.51</v>
      </c>
      <c r="I350" s="14">
        <v>475.8</v>
      </c>
      <c r="J350" s="14">
        <v>6.5479999999999997E-2</v>
      </c>
      <c r="M350" s="16">
        <v>0</v>
      </c>
      <c r="O350" s="12">
        <f t="shared" si="15"/>
        <v>1</v>
      </c>
      <c r="P350" s="12">
        <f t="shared" si="16"/>
        <v>0</v>
      </c>
      <c r="R350" s="17">
        <v>-0.86216493245391179</v>
      </c>
      <c r="S350" s="17">
        <v>0.86592397083683859</v>
      </c>
      <c r="T350" s="17">
        <v>1.1492407566427856</v>
      </c>
      <c r="U350" s="17">
        <v>0.30971288832147947</v>
      </c>
      <c r="V350" s="17">
        <v>1.322038261257461</v>
      </c>
      <c r="W350" s="17">
        <v>-0.54000870393571332</v>
      </c>
      <c r="X350" s="17">
        <v>-0.93446499101467595</v>
      </c>
      <c r="Y350" s="17">
        <v>1.3623707400649003</v>
      </c>
      <c r="Z350" s="17">
        <v>0.73556995189170193</v>
      </c>
      <c r="AA350" s="17">
        <v>1.6983871669386827</v>
      </c>
      <c r="AB350" s="17">
        <v>-1.2113068807979621</v>
      </c>
      <c r="AC350" s="17">
        <v>1.5906603286575782</v>
      </c>
      <c r="AD350" s="17">
        <v>-0.8593627097567913</v>
      </c>
      <c r="AE350" s="17">
        <v>1.3374666300864129</v>
      </c>
      <c r="AF350" s="17">
        <v>1.6049118769290147</v>
      </c>
      <c r="AG350" s="17">
        <v>1.3481853892245086</v>
      </c>
      <c r="AH350" s="17">
        <v>0.33128292594394448</v>
      </c>
      <c r="AI350" s="17">
        <v>-1.6572512841003593</v>
      </c>
      <c r="AJ350" s="17">
        <v>-0.4315878441673433</v>
      </c>
      <c r="AK350" s="17">
        <v>0.3687342244129892</v>
      </c>
      <c r="AM350" s="17">
        <v>-0.70926694928393919</v>
      </c>
      <c r="AN350" s="17">
        <v>0.67587666854269834</v>
      </c>
      <c r="AO350" s="17">
        <v>0.737089397995772</v>
      </c>
      <c r="AP350" s="17">
        <v>0.3009586605033191</v>
      </c>
      <c r="AQ350" s="17">
        <v>0.84608972914252312</v>
      </c>
      <c r="AR350" s="17">
        <v>-0.54267111099351828</v>
      </c>
      <c r="AS350" s="17">
        <v>-0.735682575040848</v>
      </c>
      <c r="AT350" s="17">
        <v>0.82574548584095053</v>
      </c>
      <c r="AU350" s="17">
        <v>0.68234897500585912</v>
      </c>
      <c r="AV350" s="17">
        <v>0.90212552715378325</v>
      </c>
      <c r="AW350" s="17">
        <v>-0.74754426045894806</v>
      </c>
      <c r="AX350" s="17">
        <v>0.88046474244938389</v>
      </c>
      <c r="AY350" s="17">
        <v>-0.65386483619263003</v>
      </c>
      <c r="AZ350" s="17">
        <v>0.857234341290666</v>
      </c>
      <c r="BA350" s="17">
        <v>0.8513279909636895</v>
      </c>
      <c r="BB350" s="17">
        <v>0.79015448860297754</v>
      </c>
      <c r="BC350" s="17">
        <v>0.32701338586431339</v>
      </c>
      <c r="BD350" s="17">
        <v>-0.90744300339707484</v>
      </c>
      <c r="BE350" s="17">
        <v>-0.39338132244980573</v>
      </c>
      <c r="BF350" s="17">
        <v>-3.1876502735196821E-2</v>
      </c>
      <c r="BK350" s="20">
        <v>0.99163250364039823</v>
      </c>
      <c r="BL350" s="20">
        <v>8.3768694152621809E-3</v>
      </c>
      <c r="BN350" s="21">
        <f t="shared" si="17"/>
        <v>0</v>
      </c>
    </row>
    <row r="351" spans="1:66">
      <c r="A351" s="14">
        <v>11.95</v>
      </c>
      <c r="B351" s="14">
        <v>14.96</v>
      </c>
      <c r="C351" s="14">
        <v>77.23</v>
      </c>
      <c r="D351" s="14">
        <v>426.7</v>
      </c>
      <c r="E351" s="14">
        <v>0.1206</v>
      </c>
      <c r="F351" s="14">
        <v>1.171E-2</v>
      </c>
      <c r="G351" s="14">
        <v>1.787E-2</v>
      </c>
      <c r="H351" s="14">
        <v>12.81</v>
      </c>
      <c r="I351" s="14">
        <v>496.2</v>
      </c>
      <c r="J351" s="14">
        <v>4.7660000000000001E-2</v>
      </c>
      <c r="M351" s="16">
        <v>0</v>
      </c>
      <c r="O351" s="12">
        <f t="shared" si="15"/>
        <v>1</v>
      </c>
      <c r="P351" s="12">
        <f t="shared" si="16"/>
        <v>0</v>
      </c>
      <c r="R351" s="17">
        <v>-1.4643074708783446</v>
      </c>
      <c r="S351" s="17">
        <v>1.0359333700219733</v>
      </c>
      <c r="T351" s="17">
        <v>0.4503249130137873</v>
      </c>
      <c r="U351" s="17">
        <v>0.47751119115197871</v>
      </c>
      <c r="V351" s="17">
        <v>1.5052132201123889</v>
      </c>
      <c r="W351" s="17">
        <v>-1.2567352733816861</v>
      </c>
      <c r="X351" s="17">
        <v>-1.4659127711484521</v>
      </c>
      <c r="Y351" s="17">
        <v>0.877385815472147</v>
      </c>
      <c r="Z351" s="17">
        <v>1.7463530467411736</v>
      </c>
      <c r="AA351" s="17">
        <v>1.2163845753889837</v>
      </c>
      <c r="AB351" s="17">
        <v>-0.28839333793737798</v>
      </c>
      <c r="AC351" s="17">
        <v>1.0652147513376473</v>
      </c>
      <c r="AD351" s="17">
        <v>-0.81583654438301023</v>
      </c>
      <c r="AE351" s="17">
        <v>1.6894094608623824</v>
      </c>
      <c r="AF351" s="17">
        <v>0.2496334827590041</v>
      </c>
      <c r="AG351" s="17">
        <v>0.29010426800531797</v>
      </c>
      <c r="AH351" s="17">
        <v>0.55723475600471262</v>
      </c>
      <c r="AI351" s="17">
        <v>-1.603629768829455</v>
      </c>
      <c r="AJ351" s="17">
        <v>-0.55690825498325469</v>
      </c>
      <c r="AK351" s="17">
        <v>0.41256201738018505</v>
      </c>
      <c r="AM351" s="17">
        <v>-0.86418154677295811</v>
      </c>
      <c r="AN351" s="17">
        <v>0.75909850225140363</v>
      </c>
      <c r="AO351" s="17">
        <v>0.59315465585502103</v>
      </c>
      <c r="AP351" s="17">
        <v>0.4091672145131357</v>
      </c>
      <c r="AQ351" s="17">
        <v>0.8978975576310112</v>
      </c>
      <c r="AR351" s="17">
        <v>-0.78991242685927088</v>
      </c>
      <c r="AS351" s="17">
        <v>-0.86922554029319565</v>
      </c>
      <c r="AT351" s="17">
        <v>0.76493014143475024</v>
      </c>
      <c r="AU351" s="17">
        <v>0.90232979284171966</v>
      </c>
      <c r="AV351" s="17">
        <v>0.87338982675000476</v>
      </c>
      <c r="AW351" s="17">
        <v>-0.48758579773973038</v>
      </c>
      <c r="AX351" s="17">
        <v>0.83579314177706254</v>
      </c>
      <c r="AY351" s="17">
        <v>-0.68032381379573692</v>
      </c>
      <c r="AZ351" s="17">
        <v>0.92188553370139936</v>
      </c>
      <c r="BA351" s="17">
        <v>0.54283043372358297</v>
      </c>
      <c r="BB351" s="17">
        <v>0.51557121270295592</v>
      </c>
      <c r="BC351" s="17">
        <v>0.46149956397823538</v>
      </c>
      <c r="BD351" s="17">
        <v>-0.92498345958032446</v>
      </c>
      <c r="BE351" s="17">
        <v>-0.48189872037274845</v>
      </c>
      <c r="BF351" s="17">
        <v>0.57587966048350903</v>
      </c>
      <c r="BK351" s="20">
        <v>1.0127300800771413</v>
      </c>
      <c r="BL351" s="20">
        <v>-1.2657940085337214E-2</v>
      </c>
      <c r="BN351" s="21">
        <f t="shared" si="17"/>
        <v>0</v>
      </c>
    </row>
    <row r="352" spans="1:66">
      <c r="A352" s="14">
        <v>11.66</v>
      </c>
      <c r="B352" s="14">
        <v>17.07</v>
      </c>
      <c r="C352" s="14">
        <v>73.7</v>
      </c>
      <c r="D352" s="14">
        <v>421</v>
      </c>
      <c r="E352" s="14">
        <v>3.6299999999999999E-2</v>
      </c>
      <c r="F352" s="14">
        <v>8.3059999999999991E-3</v>
      </c>
      <c r="G352" s="14">
        <v>1.162E-2</v>
      </c>
      <c r="H352" s="14">
        <v>13.28</v>
      </c>
      <c r="I352" s="14">
        <v>542.5</v>
      </c>
      <c r="J352" s="14">
        <v>4.2619999999999998E-2</v>
      </c>
      <c r="M352" s="16">
        <v>0</v>
      </c>
      <c r="O352" s="12">
        <f t="shared" si="15"/>
        <v>1</v>
      </c>
      <c r="P352" s="12">
        <f t="shared" si="16"/>
        <v>0</v>
      </c>
      <c r="R352" s="17">
        <v>-0.86216493245391179</v>
      </c>
      <c r="S352" s="17">
        <v>0.86592397083683859</v>
      </c>
      <c r="T352" s="17">
        <v>1.1492407566427856</v>
      </c>
      <c r="U352" s="17">
        <v>0.30971288832147947</v>
      </c>
      <c r="V352" s="17">
        <v>1.322038261257461</v>
      </c>
      <c r="W352" s="17">
        <v>-0.54000870393571332</v>
      </c>
      <c r="X352" s="17">
        <v>-0.93446499101467595</v>
      </c>
      <c r="Y352" s="17">
        <v>1.3623707400649003</v>
      </c>
      <c r="Z352" s="17">
        <v>0.73556995189170193</v>
      </c>
      <c r="AA352" s="17">
        <v>1.6983871669386827</v>
      </c>
      <c r="AB352" s="17">
        <v>-1.2113068807979621</v>
      </c>
      <c r="AC352" s="17">
        <v>1.5906603286575782</v>
      </c>
      <c r="AD352" s="17">
        <v>-0.8593627097567913</v>
      </c>
      <c r="AE352" s="17">
        <v>1.3374666300864129</v>
      </c>
      <c r="AF352" s="17">
        <v>1.6049118769290147</v>
      </c>
      <c r="AG352" s="17">
        <v>1.3481853892245086</v>
      </c>
      <c r="AH352" s="17">
        <v>0.33128292594394448</v>
      </c>
      <c r="AI352" s="17">
        <v>-1.6572512841003593</v>
      </c>
      <c r="AJ352" s="17">
        <v>-0.4315878441673433</v>
      </c>
      <c r="AK352" s="17">
        <v>-1.6284958632190174</v>
      </c>
      <c r="AM352" s="17">
        <v>-0.73797576510156992</v>
      </c>
      <c r="AN352" s="17">
        <v>0.70563288079036446</v>
      </c>
      <c r="AO352" s="17">
        <v>0.7787318490531111</v>
      </c>
      <c r="AP352" s="17">
        <v>0.32016825387022202</v>
      </c>
      <c r="AQ352" s="17">
        <v>0.86889085051138881</v>
      </c>
      <c r="AR352" s="17">
        <v>-0.57068852661907565</v>
      </c>
      <c r="AS352" s="17">
        <v>-0.76383676761309438</v>
      </c>
      <c r="AT352" s="17">
        <v>0.85049313939243076</v>
      </c>
      <c r="AU352" s="17">
        <v>0.71094899258433064</v>
      </c>
      <c r="AV352" s="17">
        <v>0.91990561615205557</v>
      </c>
      <c r="AW352" s="17">
        <v>-0.77683686783869477</v>
      </c>
      <c r="AX352" s="17">
        <v>0.90061253490893556</v>
      </c>
      <c r="AY352" s="17">
        <v>-0.68409240334551158</v>
      </c>
      <c r="AZ352" s="17">
        <v>0.87903917808295207</v>
      </c>
      <c r="BA352" s="17">
        <v>0.8746584322142601</v>
      </c>
      <c r="BB352" s="17">
        <v>0.81757869276533279</v>
      </c>
      <c r="BC352" s="17">
        <v>0.3475108568956537</v>
      </c>
      <c r="BD352" s="17">
        <v>-0.92443181783636463</v>
      </c>
      <c r="BE352" s="17">
        <v>-0.41738111349901619</v>
      </c>
      <c r="BF352" s="17">
        <v>0.36086617830573797</v>
      </c>
      <c r="BK352" s="20">
        <v>1.0316852433960455</v>
      </c>
      <c r="BL352" s="20">
        <v>-3.173100501796601E-2</v>
      </c>
      <c r="BN352" s="21">
        <f t="shared" si="17"/>
        <v>0</v>
      </c>
    </row>
    <row r="353" spans="1:66">
      <c r="A353" s="14">
        <v>15.75</v>
      </c>
      <c r="B353" s="14">
        <v>19.22</v>
      </c>
      <c r="C353" s="14">
        <v>107.1</v>
      </c>
      <c r="D353" s="14">
        <v>758.6</v>
      </c>
      <c r="E353" s="14">
        <v>0.2364</v>
      </c>
      <c r="F353" s="14">
        <v>0.29139999999999999</v>
      </c>
      <c r="G353" s="14">
        <v>0.1242</v>
      </c>
      <c r="H353" s="14">
        <v>17.36</v>
      </c>
      <c r="I353" s="14">
        <v>915.3</v>
      </c>
      <c r="J353" s="14">
        <v>0.2135</v>
      </c>
      <c r="M353" s="16">
        <v>1</v>
      </c>
      <c r="O353" s="12">
        <f t="shared" si="15"/>
        <v>0</v>
      </c>
      <c r="P353" s="12">
        <f t="shared" si="16"/>
        <v>1</v>
      </c>
      <c r="R353" s="17">
        <v>-0.86216493245391179</v>
      </c>
      <c r="S353" s="17">
        <v>0.86592397083683859</v>
      </c>
      <c r="T353" s="17">
        <v>1.1492407566427856</v>
      </c>
      <c r="U353" s="17">
        <v>0.30971288832147947</v>
      </c>
      <c r="V353" s="17">
        <v>1.322038261257461</v>
      </c>
      <c r="W353" s="17">
        <v>-0.54000870393571332</v>
      </c>
      <c r="X353" s="17">
        <v>-0.93446499101467595</v>
      </c>
      <c r="Y353" s="17">
        <v>1.3623707400649003</v>
      </c>
      <c r="Z353" s="17">
        <v>0.73556995189170193</v>
      </c>
      <c r="AA353" s="17">
        <v>1.6983871669386827</v>
      </c>
      <c r="AB353" s="17">
        <v>-1.2113068807979621</v>
      </c>
      <c r="AC353" s="17">
        <v>1.5906603286575782</v>
      </c>
      <c r="AD353" s="17">
        <v>-0.8593627097567913</v>
      </c>
      <c r="AE353" s="17">
        <v>1.3374666300864129</v>
      </c>
      <c r="AF353" s="17">
        <v>1.6049118769290147</v>
      </c>
      <c r="AG353" s="17">
        <v>1.3481853892245086</v>
      </c>
      <c r="AH353" s="17">
        <v>0.33128292594394448</v>
      </c>
      <c r="AI353" s="17">
        <v>-1.6572512841003593</v>
      </c>
      <c r="AJ353" s="17">
        <v>-0.4315878441673433</v>
      </c>
      <c r="AK353" s="17">
        <v>0.36873422441298942</v>
      </c>
      <c r="AM353" s="17">
        <v>-0.92829545987850404</v>
      </c>
      <c r="AN353" s="17">
        <v>0.79485688089859141</v>
      </c>
      <c r="AO353" s="17">
        <v>-8.2664464926035214E-2</v>
      </c>
      <c r="AP353" s="17">
        <v>0.48371043323531276</v>
      </c>
      <c r="AQ353" s="17">
        <v>0.91474134510846428</v>
      </c>
      <c r="AR353" s="17">
        <v>-0.90053326730345107</v>
      </c>
      <c r="AS353" s="17">
        <v>-0.92540985163060785</v>
      </c>
      <c r="AT353" s="17">
        <v>0.61821591615163174</v>
      </c>
      <c r="AU353" s="17">
        <v>0.96767143401388211</v>
      </c>
      <c r="AV353" s="17">
        <v>0.78587774535454469</v>
      </c>
      <c r="AW353" s="17">
        <v>1.0456461990301211E-3</v>
      </c>
      <c r="AX353" s="17">
        <v>0.714582357659865</v>
      </c>
      <c r="AY353" s="17">
        <v>-0.66329620127163502</v>
      </c>
      <c r="AZ353" s="17">
        <v>0.94596197039643204</v>
      </c>
      <c r="BA353" s="17">
        <v>-0.17288663694498504</v>
      </c>
      <c r="BB353" s="17">
        <v>-4.1524030569807857E-2</v>
      </c>
      <c r="BC353" s="17">
        <v>0.55484189894887415</v>
      </c>
      <c r="BD353" s="17">
        <v>-0.91858174693406291</v>
      </c>
      <c r="BE353" s="17">
        <v>-0.53248187008851999</v>
      </c>
      <c r="BF353" s="17">
        <v>0.12251373966349836</v>
      </c>
      <c r="BK353" s="20">
        <v>-1.1857748028406603E-2</v>
      </c>
      <c r="BL353" s="20">
        <v>1.0118343508225141</v>
      </c>
      <c r="BN353" s="21">
        <f t="shared" si="17"/>
        <v>1</v>
      </c>
    </row>
    <row r="354" spans="1:66">
      <c r="A354" s="14">
        <v>25.73</v>
      </c>
      <c r="B354" s="14">
        <v>17.46</v>
      </c>
      <c r="C354" s="14">
        <v>174.2</v>
      </c>
      <c r="D354" s="14">
        <v>2010</v>
      </c>
      <c r="E354" s="14">
        <v>0.23630000000000001</v>
      </c>
      <c r="F354" s="14">
        <v>0.33679999999999999</v>
      </c>
      <c r="G354" s="14">
        <v>0.1913</v>
      </c>
      <c r="H354" s="14">
        <v>33.130000000000003</v>
      </c>
      <c r="I354" s="14">
        <v>3234</v>
      </c>
      <c r="J354" s="14">
        <v>0.27560000000000001</v>
      </c>
      <c r="M354" s="16">
        <v>1</v>
      </c>
      <c r="O354" s="12">
        <f t="shared" si="15"/>
        <v>0</v>
      </c>
      <c r="P354" s="12">
        <f t="shared" si="16"/>
        <v>1</v>
      </c>
      <c r="R354" s="17">
        <v>-0.86216493245391179</v>
      </c>
      <c r="S354" s="17">
        <v>0.86592397083683859</v>
      </c>
      <c r="T354" s="17">
        <v>1.1492407566427856</v>
      </c>
      <c r="U354" s="17">
        <v>0.30971288832147947</v>
      </c>
      <c r="V354" s="17">
        <v>1.322038261257461</v>
      </c>
      <c r="W354" s="17">
        <v>-0.54000870393571332</v>
      </c>
      <c r="X354" s="17">
        <v>-0.93446499101467595</v>
      </c>
      <c r="Y354" s="17">
        <v>1.3623707400649003</v>
      </c>
      <c r="Z354" s="17">
        <v>0.73556995189170193</v>
      </c>
      <c r="AA354" s="17">
        <v>1.6983871669386827</v>
      </c>
      <c r="AB354" s="17">
        <v>-1.2113068807979621</v>
      </c>
      <c r="AC354" s="17">
        <v>1.5906603286575782</v>
      </c>
      <c r="AD354" s="17">
        <v>-0.8593627097567913</v>
      </c>
      <c r="AE354" s="17">
        <v>1.3374666300864129</v>
      </c>
      <c r="AF354" s="17">
        <v>1.6049118769290147</v>
      </c>
      <c r="AG354" s="17">
        <v>1.3481853892245086</v>
      </c>
      <c r="AH354" s="17">
        <v>0.33128292594394448</v>
      </c>
      <c r="AI354" s="17">
        <v>-1.6572512841003593</v>
      </c>
      <c r="AJ354" s="17">
        <v>-0.4315878441673433</v>
      </c>
      <c r="AK354" s="17">
        <v>0.34774662636594844</v>
      </c>
      <c r="AM354" s="17">
        <v>-0.71288639473223525</v>
      </c>
      <c r="AN354" s="17">
        <v>0.70138932195590942</v>
      </c>
      <c r="AO354" s="17">
        <v>0.78186976528610996</v>
      </c>
      <c r="AP354" s="17">
        <v>0.30751584723297171</v>
      </c>
      <c r="AQ354" s="17">
        <v>0.86767198539708501</v>
      </c>
      <c r="AR354" s="17">
        <v>-0.52291603588642832</v>
      </c>
      <c r="AS354" s="17">
        <v>-0.74446440549471837</v>
      </c>
      <c r="AT354" s="17">
        <v>0.8673514216071101</v>
      </c>
      <c r="AU354" s="17">
        <v>0.65990623610726318</v>
      </c>
      <c r="AV354" s="17">
        <v>0.92967638776515471</v>
      </c>
      <c r="AW354" s="17">
        <v>-0.81617522051204905</v>
      </c>
      <c r="AX354" s="17">
        <v>0.91318679159756511</v>
      </c>
      <c r="AY354" s="17">
        <v>-0.69123076497232094</v>
      </c>
      <c r="AZ354" s="17">
        <v>0.87389635957349854</v>
      </c>
      <c r="BA354" s="17">
        <v>0.90679689769759408</v>
      </c>
      <c r="BB354" s="17">
        <v>0.85454308917496957</v>
      </c>
      <c r="BC354" s="17">
        <v>0.32998103568755605</v>
      </c>
      <c r="BD354" s="17">
        <v>-0.92770516744943432</v>
      </c>
      <c r="BE354" s="17">
        <v>-0.41044373455421612</v>
      </c>
      <c r="BF354" s="17">
        <v>0.12922078698830319</v>
      </c>
      <c r="BK354" s="20">
        <v>0.90484405873606055</v>
      </c>
      <c r="BL354" s="20">
        <v>9.4998380720733591E-2</v>
      </c>
      <c r="BN354" s="21">
        <f t="shared" si="17"/>
        <v>0</v>
      </c>
    </row>
    <row r="355" spans="1:66">
      <c r="A355" s="14">
        <v>15.08</v>
      </c>
      <c r="B355" s="14">
        <v>25.74</v>
      </c>
      <c r="C355" s="14">
        <v>98</v>
      </c>
      <c r="D355" s="14">
        <v>716.6</v>
      </c>
      <c r="E355" s="14">
        <v>9.7689999999999999E-2</v>
      </c>
      <c r="F355" s="14">
        <v>0.1235</v>
      </c>
      <c r="G355" s="14">
        <v>6.5530000000000005E-2</v>
      </c>
      <c r="H355" s="14">
        <v>18.510000000000002</v>
      </c>
      <c r="I355" s="14">
        <v>1050</v>
      </c>
      <c r="J355" s="14">
        <v>0.15260000000000001</v>
      </c>
      <c r="M355" s="16">
        <v>1</v>
      </c>
      <c r="O355" s="12">
        <f t="shared" si="15"/>
        <v>0</v>
      </c>
      <c r="P355" s="12">
        <f t="shared" si="16"/>
        <v>1</v>
      </c>
      <c r="R355" s="17">
        <v>-1.4643074708783446</v>
      </c>
      <c r="S355" s="17">
        <v>1.0359333700219733</v>
      </c>
      <c r="T355" s="17">
        <v>0.4503249130137873</v>
      </c>
      <c r="U355" s="17">
        <v>0.47751119115197871</v>
      </c>
      <c r="V355" s="17">
        <v>1.5052132201123889</v>
      </c>
      <c r="W355" s="17">
        <v>-1.2567352733816861</v>
      </c>
      <c r="X355" s="17">
        <v>-1.4659127711484521</v>
      </c>
      <c r="Y355" s="17">
        <v>0.877385815472147</v>
      </c>
      <c r="Z355" s="17">
        <v>1.7463530467411736</v>
      </c>
      <c r="AA355" s="17">
        <v>1.2163845753889837</v>
      </c>
      <c r="AB355" s="17">
        <v>-0.28839333793737798</v>
      </c>
      <c r="AC355" s="17">
        <v>1.0652147513376473</v>
      </c>
      <c r="AD355" s="17">
        <v>-0.81583654438301023</v>
      </c>
      <c r="AE355" s="17">
        <v>1.6894094608623824</v>
      </c>
      <c r="AF355" s="17">
        <v>0.2496334827590041</v>
      </c>
      <c r="AG355" s="17">
        <v>0.29010426800531797</v>
      </c>
      <c r="AH355" s="17">
        <v>0.55723475600471262</v>
      </c>
      <c r="AI355" s="17">
        <v>-1.603629768829455</v>
      </c>
      <c r="AJ355" s="17">
        <v>-0.55690825498325469</v>
      </c>
      <c r="AK355" s="17">
        <v>0.41256201738018505</v>
      </c>
      <c r="AM355" s="17">
        <v>-0.71311503042139002</v>
      </c>
      <c r="AN355" s="17">
        <v>0.71423488349417974</v>
      </c>
      <c r="AO355" s="17">
        <v>0.83084246334709366</v>
      </c>
      <c r="AP355" s="17">
        <v>0.31021836335883257</v>
      </c>
      <c r="AQ355" s="17">
        <v>0.87808248889467433</v>
      </c>
      <c r="AR355" s="17">
        <v>-0.50863842903464784</v>
      </c>
      <c r="AS355" s="17">
        <v>-0.74781138592600915</v>
      </c>
      <c r="AT355" s="17">
        <v>0.88675820175028619</v>
      </c>
      <c r="AU355" s="17">
        <v>0.64351083036348111</v>
      </c>
      <c r="AV355" s="17">
        <v>0.94181908966721051</v>
      </c>
      <c r="AW355" s="17">
        <v>-0.84793509341963735</v>
      </c>
      <c r="AX355" s="17">
        <v>0.92780569185419259</v>
      </c>
      <c r="AY355" s="17">
        <v>-0.71050397861411441</v>
      </c>
      <c r="AZ355" s="17">
        <v>0.88182296684324879</v>
      </c>
      <c r="BA355" s="17">
        <v>0.92941010927566692</v>
      </c>
      <c r="BB355" s="17">
        <v>0.88311682258298996</v>
      </c>
      <c r="BC355" s="17">
        <v>0.3304209636301717</v>
      </c>
      <c r="BD355" s="17">
        <v>-0.93701180529274197</v>
      </c>
      <c r="BE355" s="17">
        <v>-0.41911427264186546</v>
      </c>
      <c r="BF355" s="17">
        <v>0.22377254072817834</v>
      </c>
      <c r="BK355" s="20">
        <v>-6.0524147276667155E-2</v>
      </c>
      <c r="BL355" s="20">
        <v>1.0605360610163634</v>
      </c>
      <c r="BN355" s="21">
        <f t="shared" si="17"/>
        <v>1</v>
      </c>
    </row>
    <row r="356" spans="1:66">
      <c r="A356" s="14">
        <v>11.14</v>
      </c>
      <c r="B356" s="14">
        <v>14.07</v>
      </c>
      <c r="C356" s="14">
        <v>71.239999999999995</v>
      </c>
      <c r="D356" s="14">
        <v>384.6</v>
      </c>
      <c r="E356" s="14">
        <v>6.0639999999999999E-2</v>
      </c>
      <c r="F356" s="14">
        <v>4.505E-2</v>
      </c>
      <c r="G356" s="14">
        <v>1.4710000000000001E-2</v>
      </c>
      <c r="H356" s="14">
        <v>12.12</v>
      </c>
      <c r="I356" s="14">
        <v>453.5</v>
      </c>
      <c r="J356" s="14">
        <v>3.9219999999999998E-2</v>
      </c>
      <c r="M356" s="16">
        <v>0</v>
      </c>
      <c r="O356" s="12">
        <f t="shared" si="15"/>
        <v>1</v>
      </c>
      <c r="P356" s="12">
        <f t="shared" si="16"/>
        <v>0</v>
      </c>
      <c r="R356" s="17">
        <v>-0.86216493245391179</v>
      </c>
      <c r="S356" s="17">
        <v>0.86592397083683859</v>
      </c>
      <c r="T356" s="17">
        <v>1.1492407566427856</v>
      </c>
      <c r="U356" s="17">
        <v>0.30971288832147947</v>
      </c>
      <c r="V356" s="17">
        <v>1.322038261257461</v>
      </c>
      <c r="W356" s="17">
        <v>-0.54000870393571332</v>
      </c>
      <c r="X356" s="17">
        <v>-0.93446499101467595</v>
      </c>
      <c r="Y356" s="17">
        <v>1.3623707400649003</v>
      </c>
      <c r="Z356" s="17">
        <v>0.73556995189170193</v>
      </c>
      <c r="AA356" s="17">
        <v>1.6983871669386827</v>
      </c>
      <c r="AB356" s="17">
        <v>-1.2113068807979621</v>
      </c>
      <c r="AC356" s="17">
        <v>1.5906603286575782</v>
      </c>
      <c r="AD356" s="17">
        <v>-0.8593627097567913</v>
      </c>
      <c r="AE356" s="17">
        <v>1.3374666300864129</v>
      </c>
      <c r="AF356" s="17">
        <v>1.6049118769290147</v>
      </c>
      <c r="AG356" s="17">
        <v>1.3481853892245086</v>
      </c>
      <c r="AH356" s="17">
        <v>0.33128292594394448</v>
      </c>
      <c r="AI356" s="17">
        <v>-1.6572512841003593</v>
      </c>
      <c r="AJ356" s="17">
        <v>-0.4315878441673433</v>
      </c>
      <c r="AK356" s="17">
        <v>0.3687342244129449</v>
      </c>
      <c r="AM356" s="17">
        <v>-0.7260814132166945</v>
      </c>
      <c r="AN356" s="17">
        <v>0.71713119268537251</v>
      </c>
      <c r="AO356" s="17">
        <v>0.81394238519329432</v>
      </c>
      <c r="AP356" s="17">
        <v>0.31680993333295665</v>
      </c>
      <c r="AQ356" s="17">
        <v>0.87930453970359035</v>
      </c>
      <c r="AR356" s="17">
        <v>-0.53290831597105415</v>
      </c>
      <c r="AS356" s="17">
        <v>-0.75789366345197839</v>
      </c>
      <c r="AT356" s="17">
        <v>0.88081924630273722</v>
      </c>
      <c r="AU356" s="17">
        <v>0.67024304231134635</v>
      </c>
      <c r="AV356" s="17">
        <v>0.93858478210521545</v>
      </c>
      <c r="AW356" s="17">
        <v>-0.83389759535296637</v>
      </c>
      <c r="AX356" s="17">
        <v>0.92355586057907302</v>
      </c>
      <c r="AY356" s="17">
        <v>-0.70832024159768114</v>
      </c>
      <c r="AZ356" s="17">
        <v>0.88479022393027096</v>
      </c>
      <c r="BA356" s="17">
        <v>0.91923574542518993</v>
      </c>
      <c r="BB356" s="17">
        <v>0.87043617825219155</v>
      </c>
      <c r="BC356" s="17">
        <v>0.33936304763581238</v>
      </c>
      <c r="BD356" s="17">
        <v>-0.93615109379652184</v>
      </c>
      <c r="BE356" s="17">
        <v>-0.42316721105759897</v>
      </c>
      <c r="BF356" s="17">
        <v>0.37460735488485997</v>
      </c>
      <c r="BK356" s="20">
        <v>1.0420666902475277</v>
      </c>
      <c r="BL356" s="20">
        <v>-4.1961851149084219E-2</v>
      </c>
      <c r="BN356" s="21">
        <f t="shared" si="17"/>
        <v>0</v>
      </c>
    </row>
    <row r="357" spans="1:66">
      <c r="A357" s="14">
        <v>12.56</v>
      </c>
      <c r="B357" s="14">
        <v>19.07</v>
      </c>
      <c r="C357" s="14">
        <v>81.92</v>
      </c>
      <c r="D357" s="14">
        <v>485.8</v>
      </c>
      <c r="E357" s="14">
        <v>0.1038</v>
      </c>
      <c r="F357" s="14">
        <v>0.10299999999999999</v>
      </c>
      <c r="G357" s="14">
        <v>4.3909999999999998E-2</v>
      </c>
      <c r="H357" s="14">
        <v>13.37</v>
      </c>
      <c r="I357" s="14">
        <v>547.4</v>
      </c>
      <c r="J357" s="14">
        <v>9.2649999999999996E-2</v>
      </c>
      <c r="M357" s="16">
        <v>0</v>
      </c>
      <c r="O357" s="12">
        <f t="shared" si="15"/>
        <v>1</v>
      </c>
      <c r="P357" s="12">
        <f t="shared" si="16"/>
        <v>0</v>
      </c>
      <c r="R357" s="17">
        <v>-1.4643074708783446</v>
      </c>
      <c r="S357" s="17">
        <v>1.0359333700219733</v>
      </c>
      <c r="T357" s="17">
        <v>0.4503249130137873</v>
      </c>
      <c r="U357" s="17">
        <v>0.47751119115197871</v>
      </c>
      <c r="V357" s="17">
        <v>1.5052132201123889</v>
      </c>
      <c r="W357" s="17">
        <v>-1.2567352733816861</v>
      </c>
      <c r="X357" s="17">
        <v>-1.4659127711484521</v>
      </c>
      <c r="Y357" s="17">
        <v>0.877385815472147</v>
      </c>
      <c r="Z357" s="17">
        <v>1.7463530467411736</v>
      </c>
      <c r="AA357" s="17">
        <v>1.2163845753889837</v>
      </c>
      <c r="AB357" s="17">
        <v>-0.28839333793737798</v>
      </c>
      <c r="AC357" s="17">
        <v>1.0652147513376473</v>
      </c>
      <c r="AD357" s="17">
        <v>-0.81583654438301023</v>
      </c>
      <c r="AE357" s="17">
        <v>1.6894094608623824</v>
      </c>
      <c r="AF357" s="17">
        <v>0.2496334827590041</v>
      </c>
      <c r="AG357" s="17">
        <v>0.29010426800531797</v>
      </c>
      <c r="AH357" s="17">
        <v>0.55723475600471262</v>
      </c>
      <c r="AI357" s="17">
        <v>-1.603629768829455</v>
      </c>
      <c r="AJ357" s="17">
        <v>-0.55690825498325469</v>
      </c>
      <c r="AK357" s="17">
        <v>0.41256201738018505</v>
      </c>
      <c r="AM357" s="17">
        <v>-0.68942378763127588</v>
      </c>
      <c r="AN357" s="17">
        <v>0.69951331393507754</v>
      </c>
      <c r="AO357" s="17">
        <v>0.82699126065623585</v>
      </c>
      <c r="AP357" s="17">
        <v>0.29677226036213283</v>
      </c>
      <c r="AQ357" s="17">
        <v>0.86813522615333816</v>
      </c>
      <c r="AR357" s="17">
        <v>-0.47621772729915485</v>
      </c>
      <c r="AS357" s="17">
        <v>-0.72697270296745098</v>
      </c>
      <c r="AT357" s="17">
        <v>0.88325411436611245</v>
      </c>
      <c r="AU357" s="17">
        <v>0.60718349956392481</v>
      </c>
      <c r="AV357" s="17">
        <v>0.93891962224195025</v>
      </c>
      <c r="AW357" s="17">
        <v>-0.8494226933072565</v>
      </c>
      <c r="AX357" s="17">
        <v>0.92489624102686718</v>
      </c>
      <c r="AY357" s="17">
        <v>-0.70009909534383452</v>
      </c>
      <c r="AZ357" s="17">
        <v>0.87043528108796298</v>
      </c>
      <c r="BA357" s="17">
        <v>0.93107309048045261</v>
      </c>
      <c r="BB357" s="17">
        <v>0.88468181169410831</v>
      </c>
      <c r="BC357" s="17">
        <v>0.3145596043800194</v>
      </c>
      <c r="BD357" s="17">
        <v>-0.93179351136681143</v>
      </c>
      <c r="BE357" s="17">
        <v>-0.40559193501830543</v>
      </c>
      <c r="BF357" s="17">
        <v>0.25619397198874333</v>
      </c>
      <c r="BK357" s="20">
        <v>-0.10451162065804619</v>
      </c>
      <c r="BL357" s="20">
        <v>1.104308257101315</v>
      </c>
      <c r="BN357" s="21">
        <f t="shared" si="17"/>
        <v>1</v>
      </c>
    </row>
    <row r="358" spans="1:66">
      <c r="A358" s="14">
        <v>13.05</v>
      </c>
      <c r="B358" s="14">
        <v>18.59</v>
      </c>
      <c r="C358" s="14">
        <v>85.09</v>
      </c>
      <c r="D358" s="14">
        <v>512</v>
      </c>
      <c r="E358" s="14">
        <v>0.13039999999999999</v>
      </c>
      <c r="F358" s="14">
        <v>9.6030000000000004E-2</v>
      </c>
      <c r="G358" s="14">
        <v>5.6030000000000003E-2</v>
      </c>
      <c r="H358" s="14">
        <v>14.19</v>
      </c>
      <c r="I358" s="14">
        <v>591.20000000000005</v>
      </c>
      <c r="J358" s="14">
        <v>0.1258</v>
      </c>
      <c r="M358" s="16">
        <v>0</v>
      </c>
      <c r="O358" s="12">
        <f t="shared" si="15"/>
        <v>1</v>
      </c>
      <c r="P358" s="12">
        <f t="shared" si="16"/>
        <v>0</v>
      </c>
      <c r="R358" s="17">
        <v>-0.86216493245391179</v>
      </c>
      <c r="S358" s="17">
        <v>0.86592397083683859</v>
      </c>
      <c r="T358" s="17">
        <v>1.1492407566427856</v>
      </c>
      <c r="U358" s="17">
        <v>0.30971288832147947</v>
      </c>
      <c r="V358" s="17">
        <v>1.322038261257461</v>
      </c>
      <c r="W358" s="17">
        <v>-0.54000870393571332</v>
      </c>
      <c r="X358" s="17">
        <v>-0.93446499101467595</v>
      </c>
      <c r="Y358" s="17">
        <v>1.3623707400649003</v>
      </c>
      <c r="Z358" s="17">
        <v>0.73556995189170193</v>
      </c>
      <c r="AA358" s="17">
        <v>1.6983871669386827</v>
      </c>
      <c r="AB358" s="17">
        <v>-1.2113068807979621</v>
      </c>
      <c r="AC358" s="17">
        <v>1.5906603286575782</v>
      </c>
      <c r="AD358" s="17">
        <v>-0.8593627097567913</v>
      </c>
      <c r="AE358" s="17">
        <v>1.3374666300864129</v>
      </c>
      <c r="AF358" s="17">
        <v>1.6049118769290147</v>
      </c>
      <c r="AG358" s="17">
        <v>1.3481853892245086</v>
      </c>
      <c r="AH358" s="17">
        <v>0.33128292594394448</v>
      </c>
      <c r="AI358" s="17">
        <v>-1.6572512841003593</v>
      </c>
      <c r="AJ358" s="17">
        <v>-0.4315878441673433</v>
      </c>
      <c r="AK358" s="17">
        <v>0.36873415703779044</v>
      </c>
      <c r="AM358" s="17">
        <v>-0.87568286215568225</v>
      </c>
      <c r="AN358" s="17">
        <v>0.77759830429268884</v>
      </c>
      <c r="AO358" s="17">
        <v>0.55952174371128915</v>
      </c>
      <c r="AP358" s="17">
        <v>0.42300553690001164</v>
      </c>
      <c r="AQ358" s="17">
        <v>0.91039599993079412</v>
      </c>
      <c r="AR358" s="17">
        <v>-0.80145379530064398</v>
      </c>
      <c r="AS358" s="17">
        <v>-0.88107101465657611</v>
      </c>
      <c r="AT358" s="17">
        <v>0.79134736971594899</v>
      </c>
      <c r="AU358" s="17">
        <v>0.91002409382950755</v>
      </c>
      <c r="AV358" s="17">
        <v>0.89195804516291777</v>
      </c>
      <c r="AW358" s="17">
        <v>-0.5297820835976591</v>
      </c>
      <c r="AX358" s="17">
        <v>0.85795382593672243</v>
      </c>
      <c r="AY358" s="17">
        <v>-0.70310442747935831</v>
      </c>
      <c r="AZ358" s="17">
        <v>0.93177754723558981</v>
      </c>
      <c r="BA358" s="17">
        <v>0.59340610268265415</v>
      </c>
      <c r="BB358" s="17">
        <v>0.56046582801073341</v>
      </c>
      <c r="BC358" s="17">
        <v>0.47566540627752246</v>
      </c>
      <c r="BD358" s="17">
        <v>-0.93626778322394844</v>
      </c>
      <c r="BE358" s="17">
        <v>-0.49916419289328195</v>
      </c>
      <c r="BF358" s="17">
        <v>9.454937126956181E-2</v>
      </c>
      <c r="BK358" s="20">
        <v>0.61539798343148844</v>
      </c>
      <c r="BL358" s="20">
        <v>0.38460984514630298</v>
      </c>
      <c r="BN358" s="21">
        <f t="shared" si="17"/>
        <v>0</v>
      </c>
    </row>
    <row r="359" spans="1:66">
      <c r="A359" s="14">
        <v>13.87</v>
      </c>
      <c r="B359" s="14">
        <v>16.21</v>
      </c>
      <c r="C359" s="14">
        <v>88.52</v>
      </c>
      <c r="D359" s="14">
        <v>593.70000000000005</v>
      </c>
      <c r="E359" s="14">
        <v>5.4919999999999997E-2</v>
      </c>
      <c r="F359" s="14">
        <v>1.502E-2</v>
      </c>
      <c r="G359" s="14">
        <v>2.0879999999999999E-2</v>
      </c>
      <c r="H359" s="14">
        <v>15.11</v>
      </c>
      <c r="I359" s="14">
        <v>694.4</v>
      </c>
      <c r="J359" s="14">
        <v>5.5559999999999998E-2</v>
      </c>
      <c r="M359" s="16">
        <v>0</v>
      </c>
      <c r="O359" s="12">
        <f t="shared" si="15"/>
        <v>1</v>
      </c>
      <c r="P359" s="12">
        <f t="shared" si="16"/>
        <v>0</v>
      </c>
      <c r="R359" s="17">
        <v>-0.86216493245391179</v>
      </c>
      <c r="S359" s="17">
        <v>0.86592397083683859</v>
      </c>
      <c r="T359" s="17">
        <v>1.1492407566427856</v>
      </c>
      <c r="U359" s="17">
        <v>0.30971288832147947</v>
      </c>
      <c r="V359" s="17">
        <v>1.322038261257461</v>
      </c>
      <c r="W359" s="17">
        <v>-0.54000870393571332</v>
      </c>
      <c r="X359" s="17">
        <v>-0.93446499101467595</v>
      </c>
      <c r="Y359" s="17">
        <v>1.3623707400649003</v>
      </c>
      <c r="Z359" s="17">
        <v>0.73556995189170193</v>
      </c>
      <c r="AA359" s="17">
        <v>1.6983871669386827</v>
      </c>
      <c r="AB359" s="17">
        <v>-1.2113068807979621</v>
      </c>
      <c r="AC359" s="17">
        <v>1.5906603286575782</v>
      </c>
      <c r="AD359" s="17">
        <v>-0.8593627097567913</v>
      </c>
      <c r="AE359" s="17">
        <v>1.3374666300864129</v>
      </c>
      <c r="AF359" s="17">
        <v>1.6049118769290147</v>
      </c>
      <c r="AG359" s="17">
        <v>1.3481853892245086</v>
      </c>
      <c r="AH359" s="17">
        <v>0.33128292594394448</v>
      </c>
      <c r="AI359" s="17">
        <v>-1.6572512841003593</v>
      </c>
      <c r="AJ359" s="17">
        <v>-0.4315878441673433</v>
      </c>
      <c r="AK359" s="17">
        <v>0.36873422441298898</v>
      </c>
      <c r="AM359" s="17">
        <v>-0.83315565029951399</v>
      </c>
      <c r="AN359" s="17">
        <v>0.76664414656316504</v>
      </c>
      <c r="AO359" s="17">
        <v>0.76550343398847154</v>
      </c>
      <c r="AP359" s="17">
        <v>0.38772880585506581</v>
      </c>
      <c r="AQ359" s="17">
        <v>0.90722759792117758</v>
      </c>
      <c r="AR359" s="17">
        <v>-0.71635951913829754</v>
      </c>
      <c r="AS359" s="17">
        <v>-0.84701453913847458</v>
      </c>
      <c r="AT359" s="17">
        <v>0.8513521344288062</v>
      </c>
      <c r="AU359" s="17">
        <v>0.84582438726189479</v>
      </c>
      <c r="AV359" s="17">
        <v>0.92549849812227469</v>
      </c>
      <c r="AW359" s="17">
        <v>-0.71857109952873821</v>
      </c>
      <c r="AX359" s="17">
        <v>0.90338485040509919</v>
      </c>
      <c r="AY359" s="17">
        <v>-0.72161164863966254</v>
      </c>
      <c r="AZ359" s="17">
        <v>0.92206623730620019</v>
      </c>
      <c r="BA359" s="17">
        <v>0.8145212140876249</v>
      </c>
      <c r="BB359" s="17">
        <v>0.75877298606520327</v>
      </c>
      <c r="BC359" s="17">
        <v>0.42851853496987447</v>
      </c>
      <c r="BD359" s="17">
        <v>-0.94362935813053894</v>
      </c>
      <c r="BE359" s="17">
        <v>-0.47949988159724949</v>
      </c>
      <c r="BF359" s="17">
        <v>0.36918245041782805</v>
      </c>
      <c r="BK359" s="20">
        <v>1.0578814781177208</v>
      </c>
      <c r="BL359" s="20">
        <v>-5.7825293525910253E-2</v>
      </c>
      <c r="BN359" s="21">
        <f t="shared" si="17"/>
        <v>0</v>
      </c>
    </row>
    <row r="360" spans="1:66">
      <c r="A360" s="14">
        <v>8.8780000000000001</v>
      </c>
      <c r="B360" s="14">
        <v>15.49</v>
      </c>
      <c r="C360" s="14">
        <v>56.74</v>
      </c>
      <c r="D360" s="14">
        <v>241</v>
      </c>
      <c r="E360" s="14">
        <v>7.6980000000000007E-2</v>
      </c>
      <c r="F360" s="14">
        <v>4.7210000000000002E-2</v>
      </c>
      <c r="G360" s="14">
        <v>2.3810000000000001E-2</v>
      </c>
      <c r="H360" s="14">
        <v>9.9809999999999999</v>
      </c>
      <c r="I360" s="14">
        <v>302</v>
      </c>
      <c r="J360" s="14">
        <v>4.7620000000000003E-2</v>
      </c>
      <c r="M360" s="16">
        <v>0</v>
      </c>
      <c r="O360" s="12">
        <f t="shared" si="15"/>
        <v>1</v>
      </c>
      <c r="P360" s="12">
        <f t="shared" si="16"/>
        <v>0</v>
      </c>
      <c r="R360" s="17">
        <v>-0.86216493245391179</v>
      </c>
      <c r="S360" s="17">
        <v>0.86592397083683859</v>
      </c>
      <c r="T360" s="17">
        <v>1.1492407566427856</v>
      </c>
      <c r="U360" s="17">
        <v>0.30971288832147947</v>
      </c>
      <c r="V360" s="17">
        <v>1.322038261257461</v>
      </c>
      <c r="W360" s="17">
        <v>-0.54000870393571332</v>
      </c>
      <c r="X360" s="17">
        <v>-0.93446499101467595</v>
      </c>
      <c r="Y360" s="17">
        <v>1.3623707400649003</v>
      </c>
      <c r="Z360" s="17">
        <v>0.73556995189170193</v>
      </c>
      <c r="AA360" s="17">
        <v>1.6983871669386827</v>
      </c>
      <c r="AB360" s="17">
        <v>-1.2113068807979621</v>
      </c>
      <c r="AC360" s="17">
        <v>1.5906603286575782</v>
      </c>
      <c r="AD360" s="17">
        <v>-0.8593627097567913</v>
      </c>
      <c r="AE360" s="17">
        <v>1.3374666300864129</v>
      </c>
      <c r="AF360" s="17">
        <v>1.6049118769290147</v>
      </c>
      <c r="AG360" s="17">
        <v>1.3481853892245086</v>
      </c>
      <c r="AH360" s="17">
        <v>0.33128292594394448</v>
      </c>
      <c r="AI360" s="17">
        <v>-1.6572512841003593</v>
      </c>
      <c r="AJ360" s="17">
        <v>-0.4315878441673433</v>
      </c>
      <c r="AK360" s="17">
        <v>0.36873422441298942</v>
      </c>
      <c r="AM360" s="17">
        <v>-0.85335049150738995</v>
      </c>
      <c r="AN360" s="17">
        <v>0.74894913180831979</v>
      </c>
      <c r="AO360" s="17">
        <v>0.55256730125954612</v>
      </c>
      <c r="AP360" s="17">
        <v>0.39843174798778097</v>
      </c>
      <c r="AQ360" s="17">
        <v>0.89135744436479702</v>
      </c>
      <c r="AR360" s="17">
        <v>-0.77444559445242578</v>
      </c>
      <c r="AS360" s="17">
        <v>-0.85916909276779418</v>
      </c>
      <c r="AT360" s="17">
        <v>0.76243648292465793</v>
      </c>
      <c r="AU360" s="17">
        <v>0.89144182078986289</v>
      </c>
      <c r="AV360" s="17">
        <v>0.87038877943521742</v>
      </c>
      <c r="AW360" s="17">
        <v>-0.49890475192739669</v>
      </c>
      <c r="AX360" s="17">
        <v>0.83316099418386425</v>
      </c>
      <c r="AY360" s="17">
        <v>-0.67240569461398636</v>
      </c>
      <c r="AZ360" s="17">
        <v>0.91565016887995898</v>
      </c>
      <c r="BA360" s="17">
        <v>0.5604179527962061</v>
      </c>
      <c r="BB360" s="17">
        <v>0.52860771303731524</v>
      </c>
      <c r="BC360" s="17">
        <v>0.44910459540205255</v>
      </c>
      <c r="BD360" s="17">
        <v>-0.92062099788396989</v>
      </c>
      <c r="BE360" s="17">
        <v>-0.47154439465930009</v>
      </c>
      <c r="BF360" s="17">
        <v>0.38703503288599095</v>
      </c>
      <c r="BK360" s="20">
        <v>1.0366198424417856</v>
      </c>
      <c r="BL360" s="20">
        <v>-3.665604597730325E-2</v>
      </c>
      <c r="BN360" s="21">
        <f t="shared" si="17"/>
        <v>0</v>
      </c>
    </row>
    <row r="361" spans="1:66">
      <c r="A361" s="14">
        <v>9.4359999999999999</v>
      </c>
      <c r="B361" s="14">
        <v>18.32</v>
      </c>
      <c r="C361" s="14">
        <v>59.82</v>
      </c>
      <c r="D361" s="14">
        <v>278.60000000000002</v>
      </c>
      <c r="E361" s="14">
        <v>5.9560000000000002E-2</v>
      </c>
      <c r="F361" s="14">
        <v>2.7099999999999999E-2</v>
      </c>
      <c r="G361" s="14">
        <v>1.406E-2</v>
      </c>
      <c r="H361" s="14">
        <v>12.02</v>
      </c>
      <c r="I361" s="14">
        <v>439.6</v>
      </c>
      <c r="J361" s="14">
        <v>5.0520000000000002E-2</v>
      </c>
      <c r="M361" s="16">
        <v>0</v>
      </c>
      <c r="O361" s="12">
        <f t="shared" si="15"/>
        <v>1</v>
      </c>
      <c r="P361" s="12">
        <f t="shared" si="16"/>
        <v>0</v>
      </c>
      <c r="R361" s="17">
        <v>-0.86216493245391179</v>
      </c>
      <c r="S361" s="17">
        <v>0.86592397083683859</v>
      </c>
      <c r="T361" s="17">
        <v>1.1492407566427856</v>
      </c>
      <c r="U361" s="17">
        <v>0.30971288832147947</v>
      </c>
      <c r="V361" s="17">
        <v>1.322038261257461</v>
      </c>
      <c r="W361" s="17">
        <v>-0.54000870393571332</v>
      </c>
      <c r="X361" s="17">
        <v>-0.93446499101467595</v>
      </c>
      <c r="Y361" s="17">
        <v>1.3623707400649003</v>
      </c>
      <c r="Z361" s="17">
        <v>0.73556995189170193</v>
      </c>
      <c r="AA361" s="17">
        <v>1.6983871669386827</v>
      </c>
      <c r="AB361" s="17">
        <v>-1.2113068807979621</v>
      </c>
      <c r="AC361" s="17">
        <v>1.5906603286575782</v>
      </c>
      <c r="AD361" s="17">
        <v>-0.8593627097567913</v>
      </c>
      <c r="AE361" s="17">
        <v>1.3374666300864129</v>
      </c>
      <c r="AF361" s="17">
        <v>1.6049118769290147</v>
      </c>
      <c r="AG361" s="17">
        <v>1.3481853892245086</v>
      </c>
      <c r="AH361" s="17">
        <v>0.33128292594394448</v>
      </c>
      <c r="AI361" s="17">
        <v>-1.6572512841003593</v>
      </c>
      <c r="AJ361" s="17">
        <v>-0.4315878441673433</v>
      </c>
      <c r="AK361" s="17">
        <v>0.36873422441296066</v>
      </c>
      <c r="AM361" s="17">
        <v>-0.76231541901478983</v>
      </c>
      <c r="AN361" s="17">
        <v>0.72777535296661522</v>
      </c>
      <c r="AO361" s="17">
        <v>0.78350776982269499</v>
      </c>
      <c r="AP361" s="17">
        <v>0.33698187878470109</v>
      </c>
      <c r="AQ361" s="17">
        <v>0.8845385405841677</v>
      </c>
      <c r="AR361" s="17">
        <v>-0.59897596690764443</v>
      </c>
      <c r="AS361" s="17">
        <v>-0.78674664436996433</v>
      </c>
      <c r="AT361" s="17">
        <v>0.86468148035857262</v>
      </c>
      <c r="AU361" s="17">
        <v>0.73910519300878597</v>
      </c>
      <c r="AV361" s="17">
        <v>0.9299819622442953</v>
      </c>
      <c r="AW361" s="17">
        <v>-0.79070553807378396</v>
      </c>
      <c r="AX361" s="17">
        <v>0.91196849241683275</v>
      </c>
      <c r="AY361" s="17">
        <v>-0.70486097183391772</v>
      </c>
      <c r="AZ361" s="17">
        <v>0.89450287015944518</v>
      </c>
      <c r="BA361" s="17">
        <v>0.88471408725683998</v>
      </c>
      <c r="BB361" s="17">
        <v>0.83019543555116082</v>
      </c>
      <c r="BC361" s="17">
        <v>0.36607473929315854</v>
      </c>
      <c r="BD361" s="17">
        <v>-0.93500651453337524</v>
      </c>
      <c r="BE361" s="17">
        <v>-0.43673493898979465</v>
      </c>
      <c r="BF361" s="17">
        <v>0.13897618857077035</v>
      </c>
      <c r="BK361" s="20">
        <v>1.6347888917492694E-2</v>
      </c>
      <c r="BL361" s="20">
        <v>0.98361079088458669</v>
      </c>
      <c r="BN361" s="21">
        <f t="shared" si="17"/>
        <v>1</v>
      </c>
    </row>
    <row r="362" spans="1:66">
      <c r="A362" s="14">
        <v>12.54</v>
      </c>
      <c r="B362" s="14">
        <v>18.07</v>
      </c>
      <c r="C362" s="14">
        <v>79.42</v>
      </c>
      <c r="D362" s="14">
        <v>491.9</v>
      </c>
      <c r="E362" s="14">
        <v>2.6499999999999999E-2</v>
      </c>
      <c r="F362" s="14">
        <v>1.194E-3</v>
      </c>
      <c r="G362" s="14">
        <v>5.4489999999999999E-3</v>
      </c>
      <c r="H362" s="14">
        <v>13.72</v>
      </c>
      <c r="I362" s="14">
        <v>585.70000000000005</v>
      </c>
      <c r="J362" s="14">
        <v>1.635E-2</v>
      </c>
      <c r="M362" s="16">
        <v>0</v>
      </c>
      <c r="O362" s="12">
        <f t="shared" si="15"/>
        <v>1</v>
      </c>
      <c r="P362" s="12">
        <f t="shared" si="16"/>
        <v>0</v>
      </c>
      <c r="R362" s="17">
        <v>-1.4643074708783446</v>
      </c>
      <c r="S362" s="17">
        <v>1.0359333700219733</v>
      </c>
      <c r="T362" s="17">
        <v>0.4503249130137873</v>
      </c>
      <c r="U362" s="17">
        <v>0.47751119115197871</v>
      </c>
      <c r="V362" s="17">
        <v>1.5052132201123889</v>
      </c>
      <c r="W362" s="17">
        <v>-1.2567352733816861</v>
      </c>
      <c r="X362" s="17">
        <v>-1.4659127711484521</v>
      </c>
      <c r="Y362" s="17">
        <v>0.877385815472147</v>
      </c>
      <c r="Z362" s="17">
        <v>1.7463530467411736</v>
      </c>
      <c r="AA362" s="17">
        <v>1.2163845753889837</v>
      </c>
      <c r="AB362" s="17">
        <v>-0.28839333793737798</v>
      </c>
      <c r="AC362" s="17">
        <v>1.0652147513376473</v>
      </c>
      <c r="AD362" s="17">
        <v>-0.81583654438301023</v>
      </c>
      <c r="AE362" s="17">
        <v>1.6894094608623824</v>
      </c>
      <c r="AF362" s="17">
        <v>0.2496334827590041</v>
      </c>
      <c r="AG362" s="17">
        <v>0.29010426800531797</v>
      </c>
      <c r="AH362" s="17">
        <v>0.55723475600471262</v>
      </c>
      <c r="AI362" s="17">
        <v>-1.603629768829455</v>
      </c>
      <c r="AJ362" s="17">
        <v>-0.55690825498325469</v>
      </c>
      <c r="AK362" s="17">
        <v>0.41256201738018505</v>
      </c>
      <c r="AM362" s="17">
        <v>-0.66454114120646945</v>
      </c>
      <c r="AN362" s="17">
        <v>0.68736740390582995</v>
      </c>
      <c r="AO362" s="17">
        <v>0.83622132860563347</v>
      </c>
      <c r="AP362" s="17">
        <v>0.28398136810160107</v>
      </c>
      <c r="AQ362" s="17">
        <v>0.86010127939650294</v>
      </c>
      <c r="AR362" s="17">
        <v>-0.43943023877155302</v>
      </c>
      <c r="AS362" s="17">
        <v>-0.70582378890037156</v>
      </c>
      <c r="AT362" s="17">
        <v>0.88381805288992898</v>
      </c>
      <c r="AU362" s="17">
        <v>0.56437186107978343</v>
      </c>
      <c r="AV362" s="17">
        <v>0.93853806539167395</v>
      </c>
      <c r="AW362" s="17">
        <v>-0.85704290001967443</v>
      </c>
      <c r="AX362" s="17">
        <v>0.92502129182407844</v>
      </c>
      <c r="AY362" s="17">
        <v>-0.69387098276636894</v>
      </c>
      <c r="AZ362" s="17">
        <v>0.86018495916601512</v>
      </c>
      <c r="BA362" s="17">
        <v>0.93670313904271041</v>
      </c>
      <c r="BB362" s="17">
        <v>0.89160800754480574</v>
      </c>
      <c r="BC362" s="17">
        <v>0.29882028767770419</v>
      </c>
      <c r="BD362" s="17">
        <v>-0.92842923434439095</v>
      </c>
      <c r="BE362" s="17">
        <v>-0.3940093125869279</v>
      </c>
      <c r="BF362" s="17">
        <v>0.22563644215083917</v>
      </c>
      <c r="BK362" s="20">
        <v>1.0291547181863081</v>
      </c>
      <c r="BL362" s="20">
        <v>-2.9295436807148297E-2</v>
      </c>
      <c r="BN362" s="21">
        <f t="shared" si="17"/>
        <v>0</v>
      </c>
    </row>
    <row r="363" spans="1:66">
      <c r="A363" s="14">
        <v>13.3</v>
      </c>
      <c r="B363" s="14">
        <v>21.57</v>
      </c>
      <c r="C363" s="14">
        <v>85.24</v>
      </c>
      <c r="D363" s="14">
        <v>546.1</v>
      </c>
      <c r="E363" s="14">
        <v>6.3729999999999995E-2</v>
      </c>
      <c r="F363" s="14">
        <v>3.3439999999999998E-2</v>
      </c>
      <c r="G363" s="14">
        <v>2.4240000000000001E-2</v>
      </c>
      <c r="H363" s="14">
        <v>14.2</v>
      </c>
      <c r="I363" s="14">
        <v>621.20000000000005</v>
      </c>
      <c r="J363" s="14">
        <v>5.6140000000000002E-2</v>
      </c>
      <c r="M363" s="16">
        <v>0</v>
      </c>
      <c r="O363" s="12">
        <f t="shared" si="15"/>
        <v>1</v>
      </c>
      <c r="P363" s="12">
        <f t="shared" si="16"/>
        <v>0</v>
      </c>
      <c r="R363" s="17">
        <v>-1.4643074708783446</v>
      </c>
      <c r="S363" s="17">
        <v>1.0359333700219733</v>
      </c>
      <c r="T363" s="17">
        <v>0.4503249130137873</v>
      </c>
      <c r="U363" s="17">
        <v>0.47751119115197871</v>
      </c>
      <c r="V363" s="17">
        <v>1.5052132201123889</v>
      </c>
      <c r="W363" s="17">
        <v>-1.2567352733816861</v>
      </c>
      <c r="X363" s="17">
        <v>-1.4659127711484521</v>
      </c>
      <c r="Y363" s="17">
        <v>0.877385815472147</v>
      </c>
      <c r="Z363" s="17">
        <v>1.7463530467411736</v>
      </c>
      <c r="AA363" s="17">
        <v>1.2163845753889837</v>
      </c>
      <c r="AB363" s="17">
        <v>-0.28839333793737798</v>
      </c>
      <c r="AC363" s="17">
        <v>1.0652147513376473</v>
      </c>
      <c r="AD363" s="17">
        <v>-0.81583654438301023</v>
      </c>
      <c r="AE363" s="17">
        <v>1.6894094608623824</v>
      </c>
      <c r="AF363" s="17">
        <v>0.2496334827590041</v>
      </c>
      <c r="AG363" s="17">
        <v>0.29010426800531797</v>
      </c>
      <c r="AH363" s="17">
        <v>0.55723475600471262</v>
      </c>
      <c r="AI363" s="17">
        <v>-1.603629768829455</v>
      </c>
      <c r="AJ363" s="17">
        <v>-0.55690825498325469</v>
      </c>
      <c r="AK363" s="17">
        <v>0.41256201738018505</v>
      </c>
      <c r="AM363" s="17">
        <v>-0.67101054691262763</v>
      </c>
      <c r="AN363" s="17">
        <v>0.68162699320359454</v>
      </c>
      <c r="AO363" s="17">
        <v>0.79351493696980357</v>
      </c>
      <c r="AP363" s="17">
        <v>0.28552593467263399</v>
      </c>
      <c r="AQ363" s="17">
        <v>0.85468541051676072</v>
      </c>
      <c r="AR363" s="17">
        <v>-0.45930844476480015</v>
      </c>
      <c r="AS363" s="17">
        <v>-0.70900877736913726</v>
      </c>
      <c r="AT363" s="17">
        <v>0.87094098691829414</v>
      </c>
      <c r="AU363" s="17">
        <v>0.58822263237383199</v>
      </c>
      <c r="AV363" s="17">
        <v>0.93051218084668519</v>
      </c>
      <c r="AW363" s="17">
        <v>-0.83572928014650982</v>
      </c>
      <c r="AX363" s="17">
        <v>0.91533804586204159</v>
      </c>
      <c r="AY363" s="17">
        <v>-0.6824388160552266</v>
      </c>
      <c r="AZ363" s="17">
        <v>0.8570174761288103</v>
      </c>
      <c r="BA363" s="17">
        <v>0.92225008804484976</v>
      </c>
      <c r="BB363" s="17">
        <v>0.8727137293058268</v>
      </c>
      <c r="BC363" s="17">
        <v>0.30264570100442018</v>
      </c>
      <c r="BD363" s="17">
        <v>-0.92265242769316036</v>
      </c>
      <c r="BE363" s="17">
        <v>-0.39123454278618036</v>
      </c>
      <c r="BF363" s="17">
        <v>3.8822053343039523E-2</v>
      </c>
      <c r="BK363" s="20">
        <v>0.97031906340597851</v>
      </c>
      <c r="BL363" s="20">
        <v>2.990818969762234E-2</v>
      </c>
      <c r="BN363" s="21">
        <f t="shared" si="17"/>
        <v>0</v>
      </c>
    </row>
    <row r="364" spans="1:66">
      <c r="A364" s="14">
        <v>12.76</v>
      </c>
      <c r="B364" s="14">
        <v>18.84</v>
      </c>
      <c r="C364" s="14">
        <v>81.87</v>
      </c>
      <c r="D364" s="14">
        <v>496.6</v>
      </c>
      <c r="E364" s="14">
        <v>7.9519999999999993E-2</v>
      </c>
      <c r="F364" s="14">
        <v>2.6880000000000001E-2</v>
      </c>
      <c r="G364" s="14">
        <v>1.7809999999999999E-2</v>
      </c>
      <c r="H364" s="14">
        <v>13.75</v>
      </c>
      <c r="I364" s="14">
        <v>579.70000000000005</v>
      </c>
      <c r="J364" s="14">
        <v>8.3119999999999999E-2</v>
      </c>
      <c r="M364" s="16">
        <v>0</v>
      </c>
      <c r="O364" s="12">
        <f t="shared" si="15"/>
        <v>1</v>
      </c>
      <c r="P364" s="12">
        <f t="shared" si="16"/>
        <v>0</v>
      </c>
      <c r="R364" s="17">
        <v>-1.4643074708783446</v>
      </c>
      <c r="S364" s="17">
        <v>1.0359333700219733</v>
      </c>
      <c r="T364" s="17">
        <v>0.4503249130137873</v>
      </c>
      <c r="U364" s="17">
        <v>0.47751119115197871</v>
      </c>
      <c r="V364" s="17">
        <v>1.5052132201123889</v>
      </c>
      <c r="W364" s="17">
        <v>-1.2567352733816861</v>
      </c>
      <c r="X364" s="17">
        <v>-1.4659127711484521</v>
      </c>
      <c r="Y364" s="17">
        <v>0.877385815472147</v>
      </c>
      <c r="Z364" s="17">
        <v>1.7463530467411736</v>
      </c>
      <c r="AA364" s="17">
        <v>1.2163845753889837</v>
      </c>
      <c r="AB364" s="17">
        <v>-0.28839333793737798</v>
      </c>
      <c r="AC364" s="17">
        <v>1.0652147513376473</v>
      </c>
      <c r="AD364" s="17">
        <v>-0.81583654438301023</v>
      </c>
      <c r="AE364" s="17">
        <v>1.6894094608623824</v>
      </c>
      <c r="AF364" s="17">
        <v>0.2496334827590041</v>
      </c>
      <c r="AG364" s="17">
        <v>0.29010426800531797</v>
      </c>
      <c r="AH364" s="17">
        <v>0.55723475600471262</v>
      </c>
      <c r="AI364" s="17">
        <v>-1.603629768829455</v>
      </c>
      <c r="AJ364" s="17">
        <v>-0.55690825498325469</v>
      </c>
      <c r="AK364" s="17">
        <v>0.41256201738018505</v>
      </c>
      <c r="AM364" s="17">
        <v>-0.70970903385194128</v>
      </c>
      <c r="AN364" s="17">
        <v>0.70814744547160768</v>
      </c>
      <c r="AO364" s="17">
        <v>0.82315332327868529</v>
      </c>
      <c r="AP364" s="17">
        <v>0.30743311475983015</v>
      </c>
      <c r="AQ364" s="17">
        <v>0.87348025858582123</v>
      </c>
      <c r="AR364" s="17">
        <v>-0.5085582516142485</v>
      </c>
      <c r="AS364" s="17">
        <v>-0.74382764928229372</v>
      </c>
      <c r="AT364" s="17">
        <v>0.88046518067288859</v>
      </c>
      <c r="AU364" s="17">
        <v>0.64367514428951667</v>
      </c>
      <c r="AV364" s="17">
        <v>0.93781953348299951</v>
      </c>
      <c r="AW364" s="17">
        <v>-0.83880627655783357</v>
      </c>
      <c r="AX364" s="17">
        <v>0.92306709905658468</v>
      </c>
      <c r="AY364" s="17">
        <v>-0.70306919118497013</v>
      </c>
      <c r="AZ364" s="17">
        <v>0.87777475852872633</v>
      </c>
      <c r="BA364" s="17">
        <v>0.92323330218795374</v>
      </c>
      <c r="BB364" s="17">
        <v>0.87503437569221587</v>
      </c>
      <c r="BC364" s="17">
        <v>0.32799837031392465</v>
      </c>
      <c r="BD364" s="17">
        <v>-0.93346910536758509</v>
      </c>
      <c r="BE364" s="17">
        <v>-0.41445722082953879</v>
      </c>
      <c r="BF364" s="17">
        <v>0.28425016853106327</v>
      </c>
      <c r="BK364" s="20">
        <v>1.0571574682514489</v>
      </c>
      <c r="BL364" s="20">
        <v>-5.7245004531788546E-2</v>
      </c>
      <c r="BN364" s="21">
        <f t="shared" si="17"/>
        <v>0</v>
      </c>
    </row>
    <row r="365" spans="1:66">
      <c r="A365" s="14">
        <v>16.5</v>
      </c>
      <c r="B365" s="14">
        <v>18.29</v>
      </c>
      <c r="C365" s="14">
        <v>106.6</v>
      </c>
      <c r="D365" s="14">
        <v>838.1</v>
      </c>
      <c r="E365" s="14">
        <v>8.4680000000000005E-2</v>
      </c>
      <c r="F365" s="14">
        <v>5.8619999999999998E-2</v>
      </c>
      <c r="G365" s="14">
        <v>4.8349999999999997E-2</v>
      </c>
      <c r="H365" s="14">
        <v>18.13</v>
      </c>
      <c r="I365" s="14">
        <v>1009</v>
      </c>
      <c r="J365" s="14">
        <v>9.1230000000000006E-2</v>
      </c>
      <c r="M365" s="16">
        <v>0</v>
      </c>
      <c r="O365" s="12">
        <f t="shared" si="15"/>
        <v>1</v>
      </c>
      <c r="P365" s="12">
        <f t="shared" si="16"/>
        <v>0</v>
      </c>
      <c r="R365" s="17">
        <v>-0.86216493245391179</v>
      </c>
      <c r="S365" s="17">
        <v>0.86592397083683859</v>
      </c>
      <c r="T365" s="17">
        <v>1.1492407566427856</v>
      </c>
      <c r="U365" s="17">
        <v>0.30971288832147947</v>
      </c>
      <c r="V365" s="17">
        <v>1.322038261257461</v>
      </c>
      <c r="W365" s="17">
        <v>-0.54000870393571332</v>
      </c>
      <c r="X365" s="17">
        <v>-0.93446499101467595</v>
      </c>
      <c r="Y365" s="17">
        <v>1.3623707400649003</v>
      </c>
      <c r="Z365" s="17">
        <v>0.73556995189170193</v>
      </c>
      <c r="AA365" s="17">
        <v>1.6983871669386827</v>
      </c>
      <c r="AB365" s="17">
        <v>-1.2113068807979621</v>
      </c>
      <c r="AC365" s="17">
        <v>1.5906603286575782</v>
      </c>
      <c r="AD365" s="17">
        <v>-0.8593627097567913</v>
      </c>
      <c r="AE365" s="17">
        <v>1.3374666300864129</v>
      </c>
      <c r="AF365" s="17">
        <v>1.6049118769290147</v>
      </c>
      <c r="AG365" s="17">
        <v>1.3481853892245086</v>
      </c>
      <c r="AH365" s="17">
        <v>0.33128292594394448</v>
      </c>
      <c r="AI365" s="17">
        <v>-1.6572512841003593</v>
      </c>
      <c r="AJ365" s="17">
        <v>-0.4315878441673433</v>
      </c>
      <c r="AK365" s="17">
        <v>0.36873422441297199</v>
      </c>
      <c r="AM365" s="17">
        <v>-0.89870823990289606</v>
      </c>
      <c r="AN365" s="17">
        <v>0.77452184374455579</v>
      </c>
      <c r="AO365" s="17">
        <v>0.26131948752077866</v>
      </c>
      <c r="AP365" s="17">
        <v>0.44408301788534682</v>
      </c>
      <c r="AQ365" s="17">
        <v>0.90469829607709018</v>
      </c>
      <c r="AR365" s="17">
        <v>-0.85156022764493722</v>
      </c>
      <c r="AS365" s="17">
        <v>-0.89873744191394866</v>
      </c>
      <c r="AT365" s="17">
        <v>0.69668751965137077</v>
      </c>
      <c r="AU365" s="17">
        <v>0.94179477104265275</v>
      </c>
      <c r="AV365" s="17">
        <v>0.83283522162194668</v>
      </c>
      <c r="AW365" s="17">
        <v>-0.26119235244739675</v>
      </c>
      <c r="AX365" s="17">
        <v>0.78040761611680587</v>
      </c>
      <c r="AY365" s="17">
        <v>-0.6689017550830455</v>
      </c>
      <c r="AZ365" s="17">
        <v>0.93334694686657371</v>
      </c>
      <c r="BA365" s="17">
        <v>0.21662057803957804</v>
      </c>
      <c r="BB365" s="17">
        <v>0.26020652251045318</v>
      </c>
      <c r="BC365" s="17">
        <v>0.50620130096430294</v>
      </c>
      <c r="BD365" s="17">
        <v>-0.92020407153648209</v>
      </c>
      <c r="BE365" s="17">
        <v>-0.50443230953831752</v>
      </c>
      <c r="BF365" s="17">
        <v>0.19517309130779109</v>
      </c>
      <c r="BK365" s="20">
        <v>0.51260789505753923</v>
      </c>
      <c r="BL365" s="20">
        <v>0.48742689739126394</v>
      </c>
      <c r="BN365" s="21">
        <f t="shared" si="17"/>
        <v>0</v>
      </c>
    </row>
    <row r="366" spans="1:66">
      <c r="A366" s="14">
        <v>13.4</v>
      </c>
      <c r="B366" s="14">
        <v>16.95</v>
      </c>
      <c r="C366" s="14">
        <v>85.48</v>
      </c>
      <c r="D366" s="14">
        <v>552.4</v>
      </c>
      <c r="E366" s="14">
        <v>5.6959999999999997E-2</v>
      </c>
      <c r="F366" s="14">
        <v>2.181E-2</v>
      </c>
      <c r="G366" s="14">
        <v>1.473E-2</v>
      </c>
      <c r="H366" s="14">
        <v>14.73</v>
      </c>
      <c r="I366" s="14">
        <v>663.5</v>
      </c>
      <c r="J366" s="14">
        <v>6.9870000000000002E-2</v>
      </c>
      <c r="M366" s="16">
        <v>0</v>
      </c>
      <c r="O366" s="12">
        <f t="shared" si="15"/>
        <v>1</v>
      </c>
      <c r="P366" s="12">
        <f t="shared" si="16"/>
        <v>0</v>
      </c>
      <c r="R366" s="17">
        <v>-0.86216493245391179</v>
      </c>
      <c r="S366" s="17">
        <v>0.86592397083683859</v>
      </c>
      <c r="T366" s="17">
        <v>1.1492407566427856</v>
      </c>
      <c r="U366" s="17">
        <v>0.30971288832147947</v>
      </c>
      <c r="V366" s="17">
        <v>1.322038261257461</v>
      </c>
      <c r="W366" s="17">
        <v>-0.54000870393571332</v>
      </c>
      <c r="X366" s="17">
        <v>-0.93446499101467595</v>
      </c>
      <c r="Y366" s="17">
        <v>1.3623707400649003</v>
      </c>
      <c r="Z366" s="17">
        <v>0.73556995189170193</v>
      </c>
      <c r="AA366" s="17">
        <v>1.6983871669386827</v>
      </c>
      <c r="AB366" s="17">
        <v>-1.2113068807979621</v>
      </c>
      <c r="AC366" s="17">
        <v>1.5906603286575782</v>
      </c>
      <c r="AD366" s="17">
        <v>-0.8593627097567913</v>
      </c>
      <c r="AE366" s="17">
        <v>1.3374666300864129</v>
      </c>
      <c r="AF366" s="17">
        <v>1.6049118769290147</v>
      </c>
      <c r="AG366" s="17">
        <v>1.3481853892245086</v>
      </c>
      <c r="AH366" s="17">
        <v>0.33128292594394448</v>
      </c>
      <c r="AI366" s="17">
        <v>-1.6572512841003593</v>
      </c>
      <c r="AJ366" s="17">
        <v>-0.4315878441673433</v>
      </c>
      <c r="AK366" s="17">
        <v>0.36873422440971515</v>
      </c>
      <c r="AM366" s="17">
        <v>-0.67524255700501634</v>
      </c>
      <c r="AN366" s="17">
        <v>0.70658078666413071</v>
      </c>
      <c r="AO366" s="17">
        <v>0.86352732196407689</v>
      </c>
      <c r="AP366" s="17">
        <v>0.29220555459475606</v>
      </c>
      <c r="AQ366" s="17">
        <v>0.87497888570117677</v>
      </c>
      <c r="AR366" s="17">
        <v>-0.43797533164794461</v>
      </c>
      <c r="AS366" s="17">
        <v>-0.71864524716138389</v>
      </c>
      <c r="AT366" s="17">
        <v>0.90197041181828796</v>
      </c>
      <c r="AU366" s="17">
        <v>0.56172705314752258</v>
      </c>
      <c r="AV366" s="17">
        <v>0.95006688648510851</v>
      </c>
      <c r="AW366" s="17">
        <v>-0.88142128251122398</v>
      </c>
      <c r="AX366" s="17">
        <v>0.93856271568728356</v>
      </c>
      <c r="AY366" s="17">
        <v>-0.71688175224627571</v>
      </c>
      <c r="AZ366" s="17">
        <v>0.87360603783402691</v>
      </c>
      <c r="BA366" s="17">
        <v>0.95159508827898209</v>
      </c>
      <c r="BB366" s="17">
        <v>0.9125042273512044</v>
      </c>
      <c r="BC366" s="17">
        <v>0.30580086636736142</v>
      </c>
      <c r="BD366" s="17">
        <v>-0.93952667418962588</v>
      </c>
      <c r="BE366" s="17">
        <v>-0.40823923714248878</v>
      </c>
      <c r="BF366" s="17">
        <v>0.28076600517005124</v>
      </c>
      <c r="BK366" s="20">
        <v>1.0505677679054588</v>
      </c>
      <c r="BL366" s="20">
        <v>-5.0632544185027488E-2</v>
      </c>
      <c r="BN366" s="21">
        <f t="shared" si="17"/>
        <v>0</v>
      </c>
    </row>
    <row r="367" spans="1:66">
      <c r="A367" s="14">
        <v>20.440000000000001</v>
      </c>
      <c r="B367" s="14">
        <v>21.78</v>
      </c>
      <c r="C367" s="14">
        <v>133.80000000000001</v>
      </c>
      <c r="D367" s="14">
        <v>1293</v>
      </c>
      <c r="E367" s="14">
        <v>0.11310000000000001</v>
      </c>
      <c r="F367" s="14">
        <v>9.7989999999999994E-2</v>
      </c>
      <c r="G367" s="14">
        <v>7.7850000000000003E-2</v>
      </c>
      <c r="H367" s="14">
        <v>24.31</v>
      </c>
      <c r="I367" s="14">
        <v>1780</v>
      </c>
      <c r="J367" s="14">
        <v>0.17649999999999999</v>
      </c>
      <c r="M367" s="16">
        <v>1</v>
      </c>
      <c r="O367" s="12">
        <f t="shared" si="15"/>
        <v>0</v>
      </c>
      <c r="P367" s="12">
        <f t="shared" si="16"/>
        <v>1</v>
      </c>
      <c r="R367" s="17">
        <v>-0.86216493245391179</v>
      </c>
      <c r="S367" s="17">
        <v>0.86592397083683859</v>
      </c>
      <c r="T367" s="17">
        <v>1.1492407566427856</v>
      </c>
      <c r="U367" s="17">
        <v>0.30971288832147947</v>
      </c>
      <c r="V367" s="17">
        <v>1.322038261257461</v>
      </c>
      <c r="W367" s="17">
        <v>-0.54000870393571332</v>
      </c>
      <c r="X367" s="17">
        <v>-0.93446499101467595</v>
      </c>
      <c r="Y367" s="17">
        <v>1.3623707400649003</v>
      </c>
      <c r="Z367" s="17">
        <v>0.73556995189170193</v>
      </c>
      <c r="AA367" s="17">
        <v>1.6983871669386827</v>
      </c>
      <c r="AB367" s="17">
        <v>-1.2113068807979621</v>
      </c>
      <c r="AC367" s="17">
        <v>1.5906603286575782</v>
      </c>
      <c r="AD367" s="17">
        <v>-0.8593627097567913</v>
      </c>
      <c r="AE367" s="17">
        <v>1.3374666300864129</v>
      </c>
      <c r="AF367" s="17">
        <v>1.6049118769290147</v>
      </c>
      <c r="AG367" s="17">
        <v>1.3481853892245086</v>
      </c>
      <c r="AH367" s="17">
        <v>0.33128292594394448</v>
      </c>
      <c r="AI367" s="17">
        <v>-1.6572512841003593</v>
      </c>
      <c r="AJ367" s="17">
        <v>-0.4315878441673433</v>
      </c>
      <c r="AK367" s="17">
        <v>0.36857204286007073</v>
      </c>
      <c r="AM367" s="17">
        <v>-0.88708311132511486</v>
      </c>
      <c r="AN367" s="17">
        <v>0.77825855031390367</v>
      </c>
      <c r="AO367" s="17">
        <v>5.4605506290684891E-2</v>
      </c>
      <c r="AP367" s="17">
        <v>0.43347602188653239</v>
      </c>
      <c r="AQ367" s="17">
        <v>0.9093331651155182</v>
      </c>
      <c r="AR367" s="17">
        <v>-0.82538497628924212</v>
      </c>
      <c r="AS367" s="17">
        <v>-0.89003566333739315</v>
      </c>
      <c r="AT367" s="17">
        <v>0.75808044572657607</v>
      </c>
      <c r="AU367" s="17">
        <v>0.92578620945843559</v>
      </c>
      <c r="AV367" s="17">
        <v>0.87204074778134588</v>
      </c>
      <c r="AW367" s="17">
        <v>-0.42972924456825601</v>
      </c>
      <c r="AX367" s="17">
        <v>0.83147509266624442</v>
      </c>
      <c r="AY367" s="17">
        <v>-0.69149944297944943</v>
      </c>
      <c r="AZ367" s="17">
        <v>0.93344344057527917</v>
      </c>
      <c r="BA367" s="17">
        <v>0.45830354616376368</v>
      </c>
      <c r="BB367" s="17">
        <v>0.45022716664634432</v>
      </c>
      <c r="BC367" s="17">
        <v>0.49025146134584957</v>
      </c>
      <c r="BD367" s="17">
        <v>-0.93112907037977766</v>
      </c>
      <c r="BE367" s="17">
        <v>-0.50326038662680672</v>
      </c>
      <c r="BF367" s="17">
        <v>-0.28053900196648057</v>
      </c>
      <c r="BK367" s="20">
        <v>0.92899374574596472</v>
      </c>
      <c r="BL367" s="20">
        <v>7.0629734601861144E-2</v>
      </c>
      <c r="BN367" s="21">
        <f t="shared" si="17"/>
        <v>0</v>
      </c>
    </row>
    <row r="368" spans="1:66">
      <c r="A368" s="14">
        <v>20.2</v>
      </c>
      <c r="B368" s="14">
        <v>26.83</v>
      </c>
      <c r="C368" s="14">
        <v>133.69999999999999</v>
      </c>
      <c r="D368" s="14">
        <v>1234</v>
      </c>
      <c r="E368" s="14">
        <v>0.16689999999999999</v>
      </c>
      <c r="F368" s="14">
        <v>0.1641</v>
      </c>
      <c r="G368" s="14">
        <v>0.1265</v>
      </c>
      <c r="H368" s="14">
        <v>24.19</v>
      </c>
      <c r="I368" s="14">
        <v>1671</v>
      </c>
      <c r="J368" s="14">
        <v>0.2152</v>
      </c>
      <c r="M368" s="16">
        <v>1</v>
      </c>
      <c r="O368" s="12">
        <f t="shared" si="15"/>
        <v>0</v>
      </c>
      <c r="P368" s="12">
        <f t="shared" si="16"/>
        <v>1</v>
      </c>
      <c r="R368" s="17">
        <v>-0.86216493245391179</v>
      </c>
      <c r="S368" s="17">
        <v>0.86592397083683859</v>
      </c>
      <c r="T368" s="17">
        <v>1.1492407566427856</v>
      </c>
      <c r="U368" s="17">
        <v>0.30971288832147947</v>
      </c>
      <c r="V368" s="17">
        <v>1.322038261257461</v>
      </c>
      <c r="W368" s="17">
        <v>-0.54000870393571332</v>
      </c>
      <c r="X368" s="17">
        <v>-0.93446499101467595</v>
      </c>
      <c r="Y368" s="17">
        <v>1.3623707400649003</v>
      </c>
      <c r="Z368" s="17">
        <v>0.73556995189170193</v>
      </c>
      <c r="AA368" s="17">
        <v>1.6983871669386827</v>
      </c>
      <c r="AB368" s="17">
        <v>-1.2113068807979621</v>
      </c>
      <c r="AC368" s="17">
        <v>1.5906603286575782</v>
      </c>
      <c r="AD368" s="17">
        <v>-0.8593627097567913</v>
      </c>
      <c r="AE368" s="17">
        <v>1.3374666300864129</v>
      </c>
      <c r="AF368" s="17">
        <v>1.6049118769290147</v>
      </c>
      <c r="AG368" s="17">
        <v>1.3481853892245086</v>
      </c>
      <c r="AH368" s="17">
        <v>0.33128292594394448</v>
      </c>
      <c r="AI368" s="17">
        <v>-1.6572512841003593</v>
      </c>
      <c r="AJ368" s="17">
        <v>-0.4315878441673433</v>
      </c>
      <c r="AK368" s="17">
        <v>0.36873422441298898</v>
      </c>
      <c r="AM368" s="17">
        <v>-0.68531259114586196</v>
      </c>
      <c r="AN368" s="17">
        <v>0.66413300201819991</v>
      </c>
      <c r="AO368" s="17">
        <v>0.74098552322888134</v>
      </c>
      <c r="AP368" s="17">
        <v>0.28825928727435379</v>
      </c>
      <c r="AQ368" s="17">
        <v>0.83792802728979321</v>
      </c>
      <c r="AR368" s="17">
        <v>-0.50706695778928401</v>
      </c>
      <c r="AS368" s="17">
        <v>-0.7151103174465574</v>
      </c>
      <c r="AT368" s="17">
        <v>0.82910911679937815</v>
      </c>
      <c r="AU368" s="17">
        <v>0.64372388336336139</v>
      </c>
      <c r="AV368" s="17">
        <v>0.90325419249547145</v>
      </c>
      <c r="AW368" s="17">
        <v>-0.76398984563997607</v>
      </c>
      <c r="AX368" s="17">
        <v>0.88270538178269953</v>
      </c>
      <c r="AY368" s="17">
        <v>-0.64886546027042291</v>
      </c>
      <c r="AZ368" s="17">
        <v>0.8467778345915119</v>
      </c>
      <c r="BA368" s="17">
        <v>0.86667661083325842</v>
      </c>
      <c r="BB368" s="17">
        <v>0.80629748837247472</v>
      </c>
      <c r="BC368" s="17">
        <v>0.31120213172194189</v>
      </c>
      <c r="BD368" s="17">
        <v>-0.90411656422594922</v>
      </c>
      <c r="BE368" s="17">
        <v>-0.38233224714028463</v>
      </c>
      <c r="BF368" s="17">
        <v>8.5505776086986729E-2</v>
      </c>
      <c r="BK368" s="20">
        <v>1.0521017331146061</v>
      </c>
      <c r="BL368" s="20">
        <v>-5.2212512520106058E-2</v>
      </c>
      <c r="BN368" s="21">
        <f t="shared" si="17"/>
        <v>0</v>
      </c>
    </row>
    <row r="369" spans="1:66">
      <c r="A369" s="14">
        <v>12.21</v>
      </c>
      <c r="B369" s="14">
        <v>18.02</v>
      </c>
      <c r="C369" s="14">
        <v>78.31</v>
      </c>
      <c r="D369" s="14">
        <v>458.4</v>
      </c>
      <c r="E369" s="14">
        <v>7.1749999999999994E-2</v>
      </c>
      <c r="F369" s="14">
        <v>4.3920000000000001E-2</v>
      </c>
      <c r="G369" s="14">
        <v>2.027E-2</v>
      </c>
      <c r="H369" s="14">
        <v>14.29</v>
      </c>
      <c r="I369" s="14">
        <v>624.6</v>
      </c>
      <c r="J369" s="14">
        <v>8.8289999999999993E-2</v>
      </c>
      <c r="M369" s="16">
        <v>0</v>
      </c>
      <c r="O369" s="12">
        <f t="shared" si="15"/>
        <v>1</v>
      </c>
      <c r="P369" s="12">
        <f t="shared" si="16"/>
        <v>0</v>
      </c>
      <c r="R369" s="17">
        <v>-1.4643074708783446</v>
      </c>
      <c r="S369" s="17">
        <v>1.0359333700219733</v>
      </c>
      <c r="T369" s="17">
        <v>0.4503249130137873</v>
      </c>
      <c r="U369" s="17">
        <v>0.47751119115197871</v>
      </c>
      <c r="V369" s="17">
        <v>1.5052132201123889</v>
      </c>
      <c r="W369" s="17">
        <v>-1.2567352733816861</v>
      </c>
      <c r="X369" s="17">
        <v>-1.4659127711484521</v>
      </c>
      <c r="Y369" s="17">
        <v>0.877385815472147</v>
      </c>
      <c r="Z369" s="17">
        <v>1.7463530467411736</v>
      </c>
      <c r="AA369" s="17">
        <v>1.2163845753889837</v>
      </c>
      <c r="AB369" s="17">
        <v>-0.28839333793737798</v>
      </c>
      <c r="AC369" s="17">
        <v>1.0652147513376473</v>
      </c>
      <c r="AD369" s="17">
        <v>-0.81583654438301023</v>
      </c>
      <c r="AE369" s="17">
        <v>1.6894094608623824</v>
      </c>
      <c r="AF369" s="17">
        <v>0.2496334827590041</v>
      </c>
      <c r="AG369" s="17">
        <v>0.29010426800531797</v>
      </c>
      <c r="AH369" s="17">
        <v>0.55723475600471262</v>
      </c>
      <c r="AI369" s="17">
        <v>-1.603629768829455</v>
      </c>
      <c r="AJ369" s="17">
        <v>-0.55690825498325469</v>
      </c>
      <c r="AK369" s="17">
        <v>0.41256201738018505</v>
      </c>
      <c r="AM369" s="17">
        <v>-0.91510745045260622</v>
      </c>
      <c r="AN369" s="17">
        <v>0.76327964774961743</v>
      </c>
      <c r="AO369" s="17">
        <v>-0.5622563045942488</v>
      </c>
      <c r="AP369" s="17">
        <v>0.45985427500042686</v>
      </c>
      <c r="AQ369" s="17">
        <v>0.89255396204887549</v>
      </c>
      <c r="AR369" s="17">
        <v>-0.88832831577060378</v>
      </c>
      <c r="AS369" s="17">
        <v>-0.91083345368070101</v>
      </c>
      <c r="AT369" s="17">
        <v>0.54340154119822182</v>
      </c>
      <c r="AU369" s="17">
        <v>0.96188269919449942</v>
      </c>
      <c r="AV369" s="17">
        <v>0.72462721016576193</v>
      </c>
      <c r="AW369" s="17">
        <v>9.2588912036497495E-2</v>
      </c>
      <c r="AX369" s="17">
        <v>0.64322480513175373</v>
      </c>
      <c r="AY369" s="17">
        <v>-0.61852872765771427</v>
      </c>
      <c r="AZ369" s="17">
        <v>0.93102606109609098</v>
      </c>
      <c r="BA369" s="17">
        <v>-0.28573434919289625</v>
      </c>
      <c r="BB369" s="17">
        <v>-0.14220934707047939</v>
      </c>
      <c r="BC369" s="17">
        <v>0.53111118318139861</v>
      </c>
      <c r="BD369" s="17">
        <v>-0.89220925578521715</v>
      </c>
      <c r="BE369" s="17">
        <v>-0.50259702546420948</v>
      </c>
      <c r="BF369" s="17">
        <v>-0.13311709501284305</v>
      </c>
      <c r="BK369" s="20">
        <v>-5.1364837099158955E-2</v>
      </c>
      <c r="BL369" s="20">
        <v>1.051265441428626</v>
      </c>
      <c r="BN369" s="21">
        <f t="shared" si="17"/>
        <v>1</v>
      </c>
    </row>
    <row r="370" spans="1:66">
      <c r="A370" s="14">
        <v>21.71</v>
      </c>
      <c r="B370" s="14">
        <v>17.25</v>
      </c>
      <c r="C370" s="14">
        <v>140.9</v>
      </c>
      <c r="D370" s="14">
        <v>1546</v>
      </c>
      <c r="E370" s="14">
        <v>8.5620000000000002E-2</v>
      </c>
      <c r="F370" s="14">
        <v>0.1168</v>
      </c>
      <c r="G370" s="14">
        <v>8.4650000000000003E-2</v>
      </c>
      <c r="H370" s="14">
        <v>30.75</v>
      </c>
      <c r="I370" s="14">
        <v>3143</v>
      </c>
      <c r="J370" s="14">
        <v>0.182</v>
      </c>
      <c r="M370" s="16">
        <v>1</v>
      </c>
      <c r="O370" s="12">
        <f t="shared" si="15"/>
        <v>0</v>
      </c>
      <c r="P370" s="12">
        <f t="shared" si="16"/>
        <v>1</v>
      </c>
      <c r="R370" s="17">
        <v>-0.86216493245391179</v>
      </c>
      <c r="S370" s="17">
        <v>0.86592397083683859</v>
      </c>
      <c r="T370" s="17">
        <v>1.1492407566427856</v>
      </c>
      <c r="U370" s="17">
        <v>0.30971288832147947</v>
      </c>
      <c r="V370" s="17">
        <v>1.322038261257461</v>
      </c>
      <c r="W370" s="17">
        <v>-0.54000870393571332</v>
      </c>
      <c r="X370" s="17">
        <v>-0.93446499101467595</v>
      </c>
      <c r="Y370" s="17">
        <v>1.3623707400649003</v>
      </c>
      <c r="Z370" s="17">
        <v>0.73556995189170193</v>
      </c>
      <c r="AA370" s="17">
        <v>1.6983871669386827</v>
      </c>
      <c r="AB370" s="17">
        <v>-1.2113068807979621</v>
      </c>
      <c r="AC370" s="17">
        <v>1.5906603286575782</v>
      </c>
      <c r="AD370" s="17">
        <v>-0.8593627097567913</v>
      </c>
      <c r="AE370" s="17">
        <v>1.3374666300864129</v>
      </c>
      <c r="AF370" s="17">
        <v>1.6049118769290147</v>
      </c>
      <c r="AG370" s="17">
        <v>1.3481853892245086</v>
      </c>
      <c r="AH370" s="17">
        <v>0.33128292594394448</v>
      </c>
      <c r="AI370" s="17">
        <v>-1.6572512841003593</v>
      </c>
      <c r="AJ370" s="17">
        <v>-0.4315878441673433</v>
      </c>
      <c r="AK370" s="17">
        <v>0.36873422441298942</v>
      </c>
      <c r="AM370" s="17">
        <v>-0.80468338091157288</v>
      </c>
      <c r="AN370" s="17">
        <v>0.73636062756470699</v>
      </c>
      <c r="AO370" s="17">
        <v>0.68105638375427546</v>
      </c>
      <c r="AP370" s="17">
        <v>0.36266077824547616</v>
      </c>
      <c r="AQ370" s="17">
        <v>0.88713895376706464</v>
      </c>
      <c r="AR370" s="17">
        <v>-0.68173283398872575</v>
      </c>
      <c r="AS370" s="17">
        <v>-0.81988041273102497</v>
      </c>
      <c r="AT370" s="17">
        <v>0.82790933413986012</v>
      </c>
      <c r="AU370" s="17">
        <v>0.8169541650191452</v>
      </c>
      <c r="AV370" s="17">
        <v>0.90903691833315536</v>
      </c>
      <c r="AW370" s="17">
        <v>-0.69290300487094281</v>
      </c>
      <c r="AX370" s="17">
        <v>0.8844340267244305</v>
      </c>
      <c r="AY370" s="17">
        <v>-0.69124395753324941</v>
      </c>
      <c r="AZ370" s="17">
        <v>0.90360075136485751</v>
      </c>
      <c r="BA370" s="17">
        <v>0.79238435026549436</v>
      </c>
      <c r="BB370" s="17">
        <v>0.73411744207735519</v>
      </c>
      <c r="BC370" s="17">
        <v>0.40114953583923707</v>
      </c>
      <c r="BD370" s="17">
        <v>-0.92912911925305675</v>
      </c>
      <c r="BE370" s="17">
        <v>-0.45103616299705684</v>
      </c>
      <c r="BF370" s="17">
        <v>0.22828209169514366</v>
      </c>
      <c r="BK370" s="20">
        <v>0.1941811134041927</v>
      </c>
      <c r="BL370" s="20">
        <v>0.80638219083551788</v>
      </c>
      <c r="BN370" s="21">
        <f t="shared" si="17"/>
        <v>1</v>
      </c>
    </row>
    <row r="371" spans="1:66">
      <c r="A371" s="14">
        <v>22.01</v>
      </c>
      <c r="B371" s="14">
        <v>21.9</v>
      </c>
      <c r="C371" s="14">
        <v>147.19999999999999</v>
      </c>
      <c r="D371" s="14">
        <v>1482</v>
      </c>
      <c r="E371" s="14">
        <v>0.19539999999999999</v>
      </c>
      <c r="F371" s="14">
        <v>0.24479999999999999</v>
      </c>
      <c r="G371" s="14">
        <v>0.15010000000000001</v>
      </c>
      <c r="H371" s="14">
        <v>27.66</v>
      </c>
      <c r="I371" s="14">
        <v>2227</v>
      </c>
      <c r="J371" s="14">
        <v>0.2432</v>
      </c>
      <c r="M371" s="16">
        <v>1</v>
      </c>
      <c r="O371" s="12">
        <f t="shared" si="15"/>
        <v>0</v>
      </c>
      <c r="P371" s="12">
        <f t="shared" si="16"/>
        <v>1</v>
      </c>
      <c r="R371" s="17">
        <v>-1.4643074708783446</v>
      </c>
      <c r="S371" s="17">
        <v>1.0359333700219733</v>
      </c>
      <c r="T371" s="17">
        <v>0.4503249130137873</v>
      </c>
      <c r="U371" s="17">
        <v>0.47751119115197871</v>
      </c>
      <c r="V371" s="17">
        <v>1.5052132201123889</v>
      </c>
      <c r="W371" s="17">
        <v>-1.2567352733816861</v>
      </c>
      <c r="X371" s="17">
        <v>-1.4659127711484521</v>
      </c>
      <c r="Y371" s="17">
        <v>0.877385815472147</v>
      </c>
      <c r="Z371" s="17">
        <v>1.7463530467411736</v>
      </c>
      <c r="AA371" s="17">
        <v>1.2163845753889837</v>
      </c>
      <c r="AB371" s="17">
        <v>-0.28839333793737798</v>
      </c>
      <c r="AC371" s="17">
        <v>1.0652147513376473</v>
      </c>
      <c r="AD371" s="17">
        <v>-0.81583654438301023</v>
      </c>
      <c r="AE371" s="17">
        <v>1.6894094608623824</v>
      </c>
      <c r="AF371" s="17">
        <v>0.2496334827590041</v>
      </c>
      <c r="AG371" s="17">
        <v>0.29010426800531797</v>
      </c>
      <c r="AH371" s="17">
        <v>0.55723475600471262</v>
      </c>
      <c r="AI371" s="17">
        <v>-1.603629768829455</v>
      </c>
      <c r="AJ371" s="17">
        <v>-0.55690825498325469</v>
      </c>
      <c r="AK371" s="17">
        <v>0.41149535664807557</v>
      </c>
      <c r="AM371" s="17">
        <v>-0.69180779239440748</v>
      </c>
      <c r="AN371" s="17">
        <v>0.66990540712717894</v>
      </c>
      <c r="AO371" s="17">
        <v>0.7346926651050284</v>
      </c>
      <c r="AP371" s="17">
        <v>0.29211763812697106</v>
      </c>
      <c r="AQ371" s="17">
        <v>0.84249271101051226</v>
      </c>
      <c r="AR371" s="17">
        <v>-0.51394528963307895</v>
      </c>
      <c r="AS371" s="17">
        <v>-0.72132098737788952</v>
      </c>
      <c r="AT371" s="17">
        <v>0.83309534830985532</v>
      </c>
      <c r="AU371" s="17">
        <v>0.65117605225202357</v>
      </c>
      <c r="AV371" s="17">
        <v>0.90627152634734054</v>
      </c>
      <c r="AW371" s="17">
        <v>-0.7677898110811161</v>
      </c>
      <c r="AX371" s="17">
        <v>0.88602547878495852</v>
      </c>
      <c r="AY371" s="17">
        <v>-0.65424108104664291</v>
      </c>
      <c r="AZ371" s="17">
        <v>0.85137506427000165</v>
      </c>
      <c r="BA371" s="17">
        <v>0.86952673709464934</v>
      </c>
      <c r="BB371" s="17">
        <v>0.80979856108643067</v>
      </c>
      <c r="BC371" s="17">
        <v>0.31545959432703263</v>
      </c>
      <c r="BD371" s="17">
        <v>-0.90737716466265639</v>
      </c>
      <c r="BE371" s="17">
        <v>-0.3869081939306902</v>
      </c>
      <c r="BF371" s="17">
        <v>-0.25724150257132855</v>
      </c>
      <c r="BK371" s="20">
        <v>-3.1932160670546474E-2</v>
      </c>
      <c r="BL371" s="20">
        <v>1.0319634595261007</v>
      </c>
      <c r="BN371" s="21">
        <f t="shared" si="17"/>
        <v>1</v>
      </c>
    </row>
    <row r="372" spans="1:66">
      <c r="A372" s="14">
        <v>16.350000000000001</v>
      </c>
      <c r="B372" s="14">
        <v>23.29</v>
      </c>
      <c r="C372" s="14">
        <v>109</v>
      </c>
      <c r="D372" s="14">
        <v>840.4</v>
      </c>
      <c r="E372" s="14">
        <v>0.1497</v>
      </c>
      <c r="F372" s="14">
        <v>0.18110000000000001</v>
      </c>
      <c r="G372" s="14">
        <v>8.7730000000000002E-2</v>
      </c>
      <c r="H372" s="14">
        <v>19.38</v>
      </c>
      <c r="I372" s="14">
        <v>1165</v>
      </c>
      <c r="J372" s="14">
        <v>0.2248</v>
      </c>
      <c r="M372" s="16">
        <v>1</v>
      </c>
      <c r="O372" s="12">
        <f t="shared" si="15"/>
        <v>0</v>
      </c>
      <c r="P372" s="12">
        <f t="shared" si="16"/>
        <v>1</v>
      </c>
      <c r="R372" s="17">
        <v>-0.86216493245391179</v>
      </c>
      <c r="S372" s="17">
        <v>0.86592397083683859</v>
      </c>
      <c r="T372" s="17">
        <v>1.1492407566427856</v>
      </c>
      <c r="U372" s="17">
        <v>0.30971288832147947</v>
      </c>
      <c r="V372" s="17">
        <v>1.322038261257461</v>
      </c>
      <c r="W372" s="17">
        <v>-0.54000870393571332</v>
      </c>
      <c r="X372" s="17">
        <v>-0.93446499101467595</v>
      </c>
      <c r="Y372" s="17">
        <v>1.3623707400649003</v>
      </c>
      <c r="Z372" s="17">
        <v>0.73556995189170193</v>
      </c>
      <c r="AA372" s="17">
        <v>1.6983871669386827</v>
      </c>
      <c r="AB372" s="17">
        <v>-1.2113068807979621</v>
      </c>
      <c r="AC372" s="17">
        <v>1.5906603286575782</v>
      </c>
      <c r="AD372" s="17">
        <v>-0.8593627097567913</v>
      </c>
      <c r="AE372" s="17">
        <v>1.3374666300864129</v>
      </c>
      <c r="AF372" s="17">
        <v>1.6049118769290147</v>
      </c>
      <c r="AG372" s="17">
        <v>1.3481853892245086</v>
      </c>
      <c r="AH372" s="17">
        <v>0.33128292594394448</v>
      </c>
      <c r="AI372" s="17">
        <v>-1.6572512841003593</v>
      </c>
      <c r="AJ372" s="17">
        <v>-0.4315878441673433</v>
      </c>
      <c r="AK372" s="17">
        <v>0.29279357394298677</v>
      </c>
      <c r="AM372" s="17">
        <v>-0.70500080165124968</v>
      </c>
      <c r="AN372" s="17">
        <v>0.67836585919879189</v>
      </c>
      <c r="AO372" s="17">
        <v>0.75268981399377033</v>
      </c>
      <c r="AP372" s="17">
        <v>0.2995063292130507</v>
      </c>
      <c r="AQ372" s="17">
        <v>0.84872026283392399</v>
      </c>
      <c r="AR372" s="17">
        <v>-0.53155122080550776</v>
      </c>
      <c r="AS372" s="17">
        <v>-0.73311289130959012</v>
      </c>
      <c r="AT372" s="17">
        <v>0.83506282078185268</v>
      </c>
      <c r="AU372" s="17">
        <v>0.67023105986387443</v>
      </c>
      <c r="AV372" s="17">
        <v>0.9082143270504649</v>
      </c>
      <c r="AW372" s="17">
        <v>-0.76532723766291366</v>
      </c>
      <c r="AX372" s="17">
        <v>0.887843465714936</v>
      </c>
      <c r="AY372" s="17">
        <v>-0.66011109676026791</v>
      </c>
      <c r="AZ372" s="17">
        <v>0.85839498545767623</v>
      </c>
      <c r="BA372" s="17">
        <v>0.8668005083805842</v>
      </c>
      <c r="BB372" s="17">
        <v>0.80724213665764166</v>
      </c>
      <c r="BC372" s="17">
        <v>0.32422895008436176</v>
      </c>
      <c r="BD372" s="17">
        <v>-0.91095749913810697</v>
      </c>
      <c r="BE372" s="17">
        <v>-0.39427854988834449</v>
      </c>
      <c r="BF372" s="17">
        <v>0.27252870911888938</v>
      </c>
      <c r="BK372" s="20">
        <v>0.99191414595854888</v>
      </c>
      <c r="BL372" s="20">
        <v>8.1978094285693921E-3</v>
      </c>
      <c r="BN372" s="21">
        <f t="shared" si="17"/>
        <v>0</v>
      </c>
    </row>
    <row r="373" spans="1:66">
      <c r="A373" s="14">
        <v>15.19</v>
      </c>
      <c r="B373" s="14">
        <v>13.21</v>
      </c>
      <c r="C373" s="14">
        <v>97.65</v>
      </c>
      <c r="D373" s="14">
        <v>711.8</v>
      </c>
      <c r="E373" s="14">
        <v>6.9339999999999999E-2</v>
      </c>
      <c r="F373" s="14">
        <v>3.3930000000000002E-2</v>
      </c>
      <c r="G373" s="14">
        <v>2.657E-2</v>
      </c>
      <c r="H373" s="14">
        <v>16.2</v>
      </c>
      <c r="I373" s="14">
        <v>819.1</v>
      </c>
      <c r="J373" s="14">
        <v>8.1780000000000005E-2</v>
      </c>
      <c r="M373" s="16">
        <v>0</v>
      </c>
      <c r="O373" s="12">
        <f t="shared" si="15"/>
        <v>1</v>
      </c>
      <c r="P373" s="12">
        <f t="shared" si="16"/>
        <v>0</v>
      </c>
      <c r="R373" s="17">
        <v>-1.4643074708783446</v>
      </c>
      <c r="S373" s="17">
        <v>1.0359333700219733</v>
      </c>
      <c r="T373" s="17">
        <v>0.4503249130137873</v>
      </c>
      <c r="U373" s="17">
        <v>0.47751119115197871</v>
      </c>
      <c r="V373" s="17">
        <v>1.5052132201123889</v>
      </c>
      <c r="W373" s="17">
        <v>-1.2567352733816861</v>
      </c>
      <c r="X373" s="17">
        <v>-1.4659127711484521</v>
      </c>
      <c r="Y373" s="17">
        <v>0.877385815472147</v>
      </c>
      <c r="Z373" s="17">
        <v>1.7463530467411736</v>
      </c>
      <c r="AA373" s="17">
        <v>1.2163845753889837</v>
      </c>
      <c r="AB373" s="17">
        <v>-0.28839333793737798</v>
      </c>
      <c r="AC373" s="17">
        <v>1.0652147513376473</v>
      </c>
      <c r="AD373" s="17">
        <v>-0.81583654438301023</v>
      </c>
      <c r="AE373" s="17">
        <v>1.6894094608623824</v>
      </c>
      <c r="AF373" s="17">
        <v>0.2496334827590041</v>
      </c>
      <c r="AG373" s="17">
        <v>0.29010426800531797</v>
      </c>
      <c r="AH373" s="17">
        <v>0.55723475600471262</v>
      </c>
      <c r="AI373" s="17">
        <v>-1.603629768829455</v>
      </c>
      <c r="AJ373" s="17">
        <v>-0.55690825498325469</v>
      </c>
      <c r="AK373" s="17">
        <v>0.41256201738018505</v>
      </c>
      <c r="AM373" s="17">
        <v>-0.91019258745198828</v>
      </c>
      <c r="AN373" s="17">
        <v>0.77885576686274671</v>
      </c>
      <c r="AO373" s="17">
        <v>0.42535234869494931</v>
      </c>
      <c r="AP373" s="17">
        <v>0.45749706033066423</v>
      </c>
      <c r="AQ373" s="17">
        <v>0.90604109327025861</v>
      </c>
      <c r="AR373" s="17">
        <v>-0.87225022179075518</v>
      </c>
      <c r="AS373" s="17">
        <v>-0.90860209302490813</v>
      </c>
      <c r="AT373" s="17">
        <v>0.65675996870510034</v>
      </c>
      <c r="AU373" s="17">
        <v>0.95338208387055989</v>
      </c>
      <c r="AV373" s="17">
        <v>0.80764086100502086</v>
      </c>
      <c r="AW373" s="17">
        <v>-0.14145202785872882</v>
      </c>
      <c r="AX373" s="17">
        <v>0.74660804247520973</v>
      </c>
      <c r="AY373" s="17">
        <v>-0.66063875977833464</v>
      </c>
      <c r="AZ373" s="17">
        <v>0.93682193656225465</v>
      </c>
      <c r="BA373" s="17">
        <v>3.8488682722000928E-2</v>
      </c>
      <c r="BB373" s="17">
        <v>0.12287109354282885</v>
      </c>
      <c r="BC373" s="17">
        <v>0.52356059105415009</v>
      </c>
      <c r="BD373" s="17">
        <v>-0.91630161783494313</v>
      </c>
      <c r="BE373" s="17">
        <v>-0.51210752342624521</v>
      </c>
      <c r="BF373" s="17">
        <v>0.59192428261443453</v>
      </c>
      <c r="BK373" s="20">
        <v>1.018607723270669</v>
      </c>
      <c r="BL373" s="20">
        <v>-1.8667770907838735E-2</v>
      </c>
      <c r="BN373" s="21">
        <f t="shared" si="17"/>
        <v>0</v>
      </c>
    </row>
    <row r="374" spans="1:66">
      <c r="A374" s="14">
        <v>21.37</v>
      </c>
      <c r="B374" s="14">
        <v>15.1</v>
      </c>
      <c r="C374" s="14">
        <v>141.30000000000001</v>
      </c>
      <c r="D374" s="14">
        <v>1386</v>
      </c>
      <c r="E374" s="14">
        <v>0.1515</v>
      </c>
      <c r="F374" s="14">
        <v>0.19320000000000001</v>
      </c>
      <c r="G374" s="14">
        <v>0.1255</v>
      </c>
      <c r="H374" s="14">
        <v>22.69</v>
      </c>
      <c r="I374" s="14">
        <v>1535</v>
      </c>
      <c r="J374" s="14">
        <v>0.1966</v>
      </c>
      <c r="M374" s="16">
        <v>1</v>
      </c>
      <c r="O374" s="12">
        <f t="shared" si="15"/>
        <v>0</v>
      </c>
      <c r="P374" s="12">
        <f t="shared" si="16"/>
        <v>1</v>
      </c>
      <c r="R374" s="17">
        <v>-0.86216493245391179</v>
      </c>
      <c r="S374" s="17">
        <v>0.86592397083683859</v>
      </c>
      <c r="T374" s="17">
        <v>1.1492407566427856</v>
      </c>
      <c r="U374" s="17">
        <v>0.30971288832147947</v>
      </c>
      <c r="V374" s="17">
        <v>1.322038261257461</v>
      </c>
      <c r="W374" s="17">
        <v>-0.54000870393571332</v>
      </c>
      <c r="X374" s="17">
        <v>-0.93446499101467595</v>
      </c>
      <c r="Y374" s="17">
        <v>1.3623707400649003</v>
      </c>
      <c r="Z374" s="17">
        <v>0.73556995189170193</v>
      </c>
      <c r="AA374" s="17">
        <v>1.6983871669386827</v>
      </c>
      <c r="AB374" s="17">
        <v>-1.2113068807979621</v>
      </c>
      <c r="AC374" s="17">
        <v>1.5906603286575782</v>
      </c>
      <c r="AD374" s="17">
        <v>-0.8593627097567913</v>
      </c>
      <c r="AE374" s="17">
        <v>1.3374666300864129</v>
      </c>
      <c r="AF374" s="17">
        <v>1.6049118769290147</v>
      </c>
      <c r="AG374" s="17">
        <v>1.3481853892245086</v>
      </c>
      <c r="AH374" s="17">
        <v>0.33128292594394448</v>
      </c>
      <c r="AI374" s="17">
        <v>-1.6572512841003593</v>
      </c>
      <c r="AJ374" s="17">
        <v>-0.4315878441673433</v>
      </c>
      <c r="AK374" s="17">
        <v>0.36873422441297665</v>
      </c>
      <c r="AM374" s="17">
        <v>-0.7321922633561101</v>
      </c>
      <c r="AN374" s="17">
        <v>0.69902583886832392</v>
      </c>
      <c r="AO374" s="17">
        <v>0.75493336971889191</v>
      </c>
      <c r="AP374" s="17">
        <v>0.31606536461414214</v>
      </c>
      <c r="AQ374" s="17">
        <v>0.8639099784114066</v>
      </c>
      <c r="AR374" s="17">
        <v>-0.56556349898520808</v>
      </c>
      <c r="AS374" s="17">
        <v>-0.75804880235716587</v>
      </c>
      <c r="AT374" s="17">
        <v>0.84451857600726132</v>
      </c>
      <c r="AU374" s="17">
        <v>0.70582955043955553</v>
      </c>
      <c r="AV374" s="17">
        <v>0.91575776130864306</v>
      </c>
      <c r="AW374" s="17">
        <v>-0.76906391681049813</v>
      </c>
      <c r="AX374" s="17">
        <v>0.89583664426471621</v>
      </c>
      <c r="AY374" s="17">
        <v>-0.67704082376849295</v>
      </c>
      <c r="AZ374" s="17">
        <v>0.87439926053605643</v>
      </c>
      <c r="BA374" s="17">
        <v>0.86848011447885964</v>
      </c>
      <c r="BB374" s="17">
        <v>0.81031616992387134</v>
      </c>
      <c r="BC374" s="17">
        <v>0.34324831973765679</v>
      </c>
      <c r="BD374" s="17">
        <v>-0.92066457528972956</v>
      </c>
      <c r="BE374" s="17">
        <v>-0.41203104398558799</v>
      </c>
      <c r="BF374" s="17">
        <v>0.15576673289126253</v>
      </c>
      <c r="BK374" s="20">
        <v>0.82789334955420002</v>
      </c>
      <c r="BL374" s="20">
        <v>0.1721710923222427</v>
      </c>
      <c r="BN374" s="21">
        <f t="shared" si="17"/>
        <v>0</v>
      </c>
    </row>
    <row r="375" spans="1:66">
      <c r="A375" s="14">
        <v>20.64</v>
      </c>
      <c r="B375" s="14">
        <v>17.350000000000001</v>
      </c>
      <c r="C375" s="14">
        <v>134.80000000000001</v>
      </c>
      <c r="D375" s="14">
        <v>1335</v>
      </c>
      <c r="E375" s="14">
        <v>0.1076</v>
      </c>
      <c r="F375" s="14">
        <v>0.1527</v>
      </c>
      <c r="G375" s="14">
        <v>8.9410000000000003E-2</v>
      </c>
      <c r="H375" s="14">
        <v>25.37</v>
      </c>
      <c r="I375" s="14">
        <v>1946</v>
      </c>
      <c r="J375" s="14">
        <v>0.2112</v>
      </c>
      <c r="M375" s="16">
        <v>1</v>
      </c>
      <c r="O375" s="12">
        <f t="shared" si="15"/>
        <v>0</v>
      </c>
      <c r="P375" s="12">
        <f t="shared" si="16"/>
        <v>1</v>
      </c>
      <c r="R375" s="17">
        <v>-0.86216493245391179</v>
      </c>
      <c r="S375" s="17">
        <v>0.86592397083683859</v>
      </c>
      <c r="T375" s="17">
        <v>1.1492407566427856</v>
      </c>
      <c r="U375" s="17">
        <v>0.30971288832147947</v>
      </c>
      <c r="V375" s="17">
        <v>1.322038261257461</v>
      </c>
      <c r="W375" s="17">
        <v>-0.54000870393571332</v>
      </c>
      <c r="X375" s="17">
        <v>-0.93446499101467595</v>
      </c>
      <c r="Y375" s="17">
        <v>1.3623707400649003</v>
      </c>
      <c r="Z375" s="17">
        <v>0.73556995189170193</v>
      </c>
      <c r="AA375" s="17">
        <v>1.6983871669386827</v>
      </c>
      <c r="AB375" s="17">
        <v>-1.2113068807979621</v>
      </c>
      <c r="AC375" s="17">
        <v>1.5906603286575782</v>
      </c>
      <c r="AD375" s="17">
        <v>-0.8593627097567913</v>
      </c>
      <c r="AE375" s="17">
        <v>1.3374666300864129</v>
      </c>
      <c r="AF375" s="17">
        <v>1.6049118769290147</v>
      </c>
      <c r="AG375" s="17">
        <v>1.3481853892245086</v>
      </c>
      <c r="AH375" s="17">
        <v>0.33128292594394448</v>
      </c>
      <c r="AI375" s="17">
        <v>-1.6572512841003593</v>
      </c>
      <c r="AJ375" s="17">
        <v>-0.4315878441673433</v>
      </c>
      <c r="AK375" s="17">
        <v>-1.5861793954477736</v>
      </c>
      <c r="AM375" s="17">
        <v>-0.62637595679115887</v>
      </c>
      <c r="AN375" s="17">
        <v>0.66205216171241166</v>
      </c>
      <c r="AO375" s="17">
        <v>0.82144111690921739</v>
      </c>
      <c r="AP375" s="17">
        <v>0.26421803063632548</v>
      </c>
      <c r="AQ375" s="17">
        <v>0.84145652661532588</v>
      </c>
      <c r="AR375" s="17">
        <v>-0.39310361726098042</v>
      </c>
      <c r="AS375" s="17">
        <v>-0.67136271656327628</v>
      </c>
      <c r="AT375" s="17">
        <v>0.87479615218822115</v>
      </c>
      <c r="AU375" s="17">
        <v>0.50896811119989338</v>
      </c>
      <c r="AV375" s="17">
        <v>0.9316301963852256</v>
      </c>
      <c r="AW375" s="17">
        <v>-0.8533932940222777</v>
      </c>
      <c r="AX375" s="17">
        <v>0.91773453245574543</v>
      </c>
      <c r="AY375" s="17">
        <v>-0.67433555528232492</v>
      </c>
      <c r="AZ375" s="17">
        <v>0.83914883398230422</v>
      </c>
      <c r="BA375" s="17">
        <v>0.9351988636377031</v>
      </c>
      <c r="BB375" s="17">
        <v>0.88875290977280785</v>
      </c>
      <c r="BC375" s="17">
        <v>0.27596225015045561</v>
      </c>
      <c r="BD375" s="17">
        <v>-0.9177717373865959</v>
      </c>
      <c r="BE375" s="17">
        <v>-0.37271075577974028</v>
      </c>
      <c r="BF375" s="17">
        <v>4.7428905094869071E-2</v>
      </c>
      <c r="BK375" s="20">
        <v>1.0174846698729061</v>
      </c>
      <c r="BL375" s="20">
        <v>-1.7485487754342305E-2</v>
      </c>
      <c r="BN375" s="21">
        <f t="shared" si="17"/>
        <v>0</v>
      </c>
    </row>
    <row r="376" spans="1:66">
      <c r="A376" s="14">
        <v>13.69</v>
      </c>
      <c r="B376" s="14">
        <v>16.07</v>
      </c>
      <c r="C376" s="14">
        <v>87.84</v>
      </c>
      <c r="D376" s="14">
        <v>579.1</v>
      </c>
      <c r="E376" s="14">
        <v>6.3740000000000005E-2</v>
      </c>
      <c r="F376" s="14">
        <v>2.5559999999999999E-2</v>
      </c>
      <c r="G376" s="14">
        <v>2.0310000000000002E-2</v>
      </c>
      <c r="H376" s="14">
        <v>14.84</v>
      </c>
      <c r="I376" s="14">
        <v>670.6</v>
      </c>
      <c r="J376" s="14">
        <v>6.9870000000000002E-2</v>
      </c>
      <c r="M376" s="16">
        <v>0</v>
      </c>
      <c r="O376" s="12">
        <f t="shared" si="15"/>
        <v>1</v>
      </c>
      <c r="P376" s="12">
        <f t="shared" si="16"/>
        <v>0</v>
      </c>
      <c r="R376" s="17">
        <v>-0.86216493245391179</v>
      </c>
      <c r="S376" s="17">
        <v>0.86592397083683859</v>
      </c>
      <c r="T376" s="17">
        <v>1.1492407566427856</v>
      </c>
      <c r="U376" s="17">
        <v>0.30971288832147947</v>
      </c>
      <c r="V376" s="17">
        <v>1.322038261257461</v>
      </c>
      <c r="W376" s="17">
        <v>-0.54000870393571332</v>
      </c>
      <c r="X376" s="17">
        <v>-0.93446499101467595</v>
      </c>
      <c r="Y376" s="17">
        <v>1.3623707400649003</v>
      </c>
      <c r="Z376" s="17">
        <v>0.73556995189170193</v>
      </c>
      <c r="AA376" s="17">
        <v>1.6983871669386827</v>
      </c>
      <c r="AB376" s="17">
        <v>-1.2113068807979621</v>
      </c>
      <c r="AC376" s="17">
        <v>1.5906603286575782</v>
      </c>
      <c r="AD376" s="17">
        <v>-0.8593627097567913</v>
      </c>
      <c r="AE376" s="17">
        <v>1.3374666300864129</v>
      </c>
      <c r="AF376" s="17">
        <v>1.6049118769290147</v>
      </c>
      <c r="AG376" s="17">
        <v>1.3481853892245086</v>
      </c>
      <c r="AH376" s="17">
        <v>0.33128292594394448</v>
      </c>
      <c r="AI376" s="17">
        <v>-1.6572512841003593</v>
      </c>
      <c r="AJ376" s="17">
        <v>-0.4315878441673433</v>
      </c>
      <c r="AK376" s="17">
        <v>0.36872673767080533</v>
      </c>
      <c r="AM376" s="17">
        <v>-0.73079211388139587</v>
      </c>
      <c r="AN376" s="17">
        <v>0.71004263885261565</v>
      </c>
      <c r="AO376" s="17">
        <v>0.78602273414874169</v>
      </c>
      <c r="AP376" s="17">
        <v>0.31759158076959076</v>
      </c>
      <c r="AQ376" s="17">
        <v>0.87318496057386863</v>
      </c>
      <c r="AR376" s="17">
        <v>-0.55087680035863851</v>
      </c>
      <c r="AS376" s="17">
        <v>-0.75960859661473656</v>
      </c>
      <c r="AT376" s="17">
        <v>0.86534474906852443</v>
      </c>
      <c r="AU376" s="17">
        <v>0.68991027882634803</v>
      </c>
      <c r="AV376" s="17">
        <v>0.92909067698574976</v>
      </c>
      <c r="AW376" s="17">
        <v>-0.80586421953389331</v>
      </c>
      <c r="AX376" s="17">
        <v>0.91193497203113683</v>
      </c>
      <c r="AY376" s="17">
        <v>-0.69496638217212214</v>
      </c>
      <c r="AZ376" s="17">
        <v>0.88098256941179742</v>
      </c>
      <c r="BA376" s="17">
        <v>0.89824954841872195</v>
      </c>
      <c r="BB376" s="17">
        <v>0.84481964221102102</v>
      </c>
      <c r="BC376" s="17">
        <v>0.34250104623984901</v>
      </c>
      <c r="BD376" s="17">
        <v>-0.92980488118044979</v>
      </c>
      <c r="BE376" s="17">
        <v>-0.41912842654536075</v>
      </c>
      <c r="BF376" s="17">
        <v>9.5811035560157687E-2</v>
      </c>
      <c r="BK376" s="20">
        <v>1.0413174333513679</v>
      </c>
      <c r="BL376" s="20">
        <v>-4.1004657445739334E-2</v>
      </c>
      <c r="BN376" s="21">
        <f t="shared" si="17"/>
        <v>0</v>
      </c>
    </row>
    <row r="377" spans="1:66">
      <c r="A377" s="14">
        <v>16.170000000000002</v>
      </c>
      <c r="B377" s="14">
        <v>16.07</v>
      </c>
      <c r="C377" s="14">
        <v>106.3</v>
      </c>
      <c r="D377" s="14">
        <v>788.5</v>
      </c>
      <c r="E377" s="14">
        <v>0.14380000000000001</v>
      </c>
      <c r="F377" s="14">
        <v>6.651E-2</v>
      </c>
      <c r="G377" s="14">
        <v>5.3969999999999997E-2</v>
      </c>
      <c r="H377" s="14">
        <v>16.97</v>
      </c>
      <c r="I377" s="14">
        <v>861.5</v>
      </c>
      <c r="J377" s="14">
        <v>0.12509999999999999</v>
      </c>
      <c r="M377" s="16">
        <v>0</v>
      </c>
      <c r="O377" s="12">
        <f t="shared" si="15"/>
        <v>1</v>
      </c>
      <c r="P377" s="12">
        <f t="shared" si="16"/>
        <v>0</v>
      </c>
      <c r="R377" s="17">
        <v>-1.4643074708783446</v>
      </c>
      <c r="S377" s="17">
        <v>1.0359333700219733</v>
      </c>
      <c r="T377" s="17">
        <v>0.4503249130137873</v>
      </c>
      <c r="U377" s="17">
        <v>0.47751119115197871</v>
      </c>
      <c r="V377" s="17">
        <v>1.5052132201123889</v>
      </c>
      <c r="W377" s="17">
        <v>-1.2567352733816861</v>
      </c>
      <c r="X377" s="17">
        <v>-1.4659127711484521</v>
      </c>
      <c r="Y377" s="17">
        <v>0.877385815472147</v>
      </c>
      <c r="Z377" s="17">
        <v>1.7463530467411736</v>
      </c>
      <c r="AA377" s="17">
        <v>1.2163845753889837</v>
      </c>
      <c r="AB377" s="17">
        <v>-0.28839333793737798</v>
      </c>
      <c r="AC377" s="17">
        <v>1.0652147513376473</v>
      </c>
      <c r="AD377" s="17">
        <v>-0.81583654438301023</v>
      </c>
      <c r="AE377" s="17">
        <v>1.6894094608623824</v>
      </c>
      <c r="AF377" s="17">
        <v>0.2496334827590041</v>
      </c>
      <c r="AG377" s="17">
        <v>0.29010426800531797</v>
      </c>
      <c r="AH377" s="17">
        <v>0.55723475600471262</v>
      </c>
      <c r="AI377" s="17">
        <v>-1.603629768829455</v>
      </c>
      <c r="AJ377" s="17">
        <v>-0.55690825498325469</v>
      </c>
      <c r="AK377" s="17">
        <v>0.41256201738018505</v>
      </c>
      <c r="AM377" s="17">
        <v>-0.81458046102429016</v>
      </c>
      <c r="AN377" s="17">
        <v>0.74037124554313372</v>
      </c>
      <c r="AO377" s="17">
        <v>0.69025945473458938</v>
      </c>
      <c r="AP377" s="17">
        <v>0.36966279852515438</v>
      </c>
      <c r="AQ377" s="17">
        <v>0.88923784301455755</v>
      </c>
      <c r="AR377" s="17">
        <v>-0.69933443872346079</v>
      </c>
      <c r="AS377" s="17">
        <v>-0.82808450800254085</v>
      </c>
      <c r="AT377" s="17">
        <v>0.82124811023263022</v>
      </c>
      <c r="AU377" s="17">
        <v>0.83212920640275789</v>
      </c>
      <c r="AV377" s="17">
        <v>0.90544674894335386</v>
      </c>
      <c r="AW377" s="17">
        <v>-0.67088176906869001</v>
      </c>
      <c r="AX377" s="17">
        <v>0.87945340885363532</v>
      </c>
      <c r="AY377" s="17">
        <v>-0.69070416381548316</v>
      </c>
      <c r="AZ377" s="17">
        <v>0.90680435260968206</v>
      </c>
      <c r="BA377" s="17">
        <v>0.76870218830119286</v>
      </c>
      <c r="BB377" s="17">
        <v>0.71156664568993744</v>
      </c>
      <c r="BC377" s="17">
        <v>0.41016507814200287</v>
      </c>
      <c r="BD377" s="17">
        <v>-0.92904779672930993</v>
      </c>
      <c r="BE377" s="17">
        <v>-0.45601339522576501</v>
      </c>
      <c r="BF377" s="17">
        <v>0.21203775263200619</v>
      </c>
      <c r="BK377" s="20">
        <v>0.92692699177740745</v>
      </c>
      <c r="BL377" s="20">
        <v>7.3332663146557772E-2</v>
      </c>
      <c r="BN377" s="21">
        <f t="shared" si="17"/>
        <v>0</v>
      </c>
    </row>
    <row r="378" spans="1:66">
      <c r="A378" s="14">
        <v>10.57</v>
      </c>
      <c r="B378" s="14">
        <v>20.22</v>
      </c>
      <c r="C378" s="14">
        <v>70.150000000000006</v>
      </c>
      <c r="D378" s="14">
        <v>338.3</v>
      </c>
      <c r="E378" s="14">
        <v>0.16600000000000001</v>
      </c>
      <c r="F378" s="14">
        <v>0.22800000000000001</v>
      </c>
      <c r="G378" s="14">
        <v>5.9409999999999998E-2</v>
      </c>
      <c r="H378" s="14">
        <v>10.85</v>
      </c>
      <c r="I378" s="14">
        <v>351.9</v>
      </c>
      <c r="J378" s="14">
        <v>0.14649999999999999</v>
      </c>
      <c r="M378" s="16">
        <v>0</v>
      </c>
      <c r="O378" s="12">
        <f t="shared" si="15"/>
        <v>1</v>
      </c>
      <c r="P378" s="12">
        <f t="shared" si="16"/>
        <v>0</v>
      </c>
      <c r="R378" s="17">
        <v>-0.86216493245391179</v>
      </c>
      <c r="S378" s="17">
        <v>0.86592397083683859</v>
      </c>
      <c r="T378" s="17">
        <v>1.1492407566427856</v>
      </c>
      <c r="U378" s="17">
        <v>0.30971288832147947</v>
      </c>
      <c r="V378" s="17">
        <v>1.322038261257461</v>
      </c>
      <c r="W378" s="17">
        <v>-0.54000870393571332</v>
      </c>
      <c r="X378" s="17">
        <v>-0.93446499101467595</v>
      </c>
      <c r="Y378" s="17">
        <v>1.3623707400649003</v>
      </c>
      <c r="Z378" s="17">
        <v>0.73556995189170193</v>
      </c>
      <c r="AA378" s="17">
        <v>1.6983871669386827</v>
      </c>
      <c r="AB378" s="17">
        <v>-1.2113068807979621</v>
      </c>
      <c r="AC378" s="17">
        <v>1.5906603286575782</v>
      </c>
      <c r="AD378" s="17">
        <v>-0.8593627097567913</v>
      </c>
      <c r="AE378" s="17">
        <v>1.3374666300864129</v>
      </c>
      <c r="AF378" s="17">
        <v>1.6049118769290147</v>
      </c>
      <c r="AG378" s="17">
        <v>1.3481853892245086</v>
      </c>
      <c r="AH378" s="17">
        <v>0.33128292594394448</v>
      </c>
      <c r="AI378" s="17">
        <v>-1.6572512841003593</v>
      </c>
      <c r="AJ378" s="17">
        <v>-0.4315878441673433</v>
      </c>
      <c r="AK378" s="17">
        <v>0.36873408256019136</v>
      </c>
      <c r="AM378" s="17">
        <v>-0.70598620551642433</v>
      </c>
      <c r="AN378" s="17">
        <v>0.69110218447381022</v>
      </c>
      <c r="AO378" s="17">
        <v>0.78413025240169043</v>
      </c>
      <c r="AP378" s="17">
        <v>0.30238074120071162</v>
      </c>
      <c r="AQ378" s="17">
        <v>0.85966005966679082</v>
      </c>
      <c r="AR378" s="17">
        <v>-0.52000077502030506</v>
      </c>
      <c r="AS378" s="17">
        <v>-0.73691142082271177</v>
      </c>
      <c r="AT378" s="17">
        <v>0.85660815892248854</v>
      </c>
      <c r="AU378" s="17">
        <v>0.6570874397134272</v>
      </c>
      <c r="AV378" s="17">
        <v>0.92250072236384739</v>
      </c>
      <c r="AW378" s="17">
        <v>-0.80095276437115626</v>
      </c>
      <c r="AX378" s="17">
        <v>0.90480719317050762</v>
      </c>
      <c r="AY378" s="17">
        <v>-0.67916193062420915</v>
      </c>
      <c r="AZ378" s="17">
        <v>0.86671702381606985</v>
      </c>
      <c r="BA378" s="17">
        <v>0.89551188565823903</v>
      </c>
      <c r="BB378" s="17">
        <v>0.84064575147411758</v>
      </c>
      <c r="BC378" s="17">
        <v>0.32514873961207902</v>
      </c>
      <c r="BD378" s="17">
        <v>-0.9213985633362809</v>
      </c>
      <c r="BE378" s="17">
        <v>-0.40260519284141433</v>
      </c>
      <c r="BF378" s="17">
        <v>0.22874673637204121</v>
      </c>
      <c r="BK378" s="20">
        <v>1.0163769707263099</v>
      </c>
      <c r="BL378" s="20">
        <v>-1.6418474731059583E-2</v>
      </c>
      <c r="BN378" s="21">
        <f t="shared" si="17"/>
        <v>0</v>
      </c>
    </row>
    <row r="379" spans="1:66">
      <c r="A379" s="14">
        <v>13.46</v>
      </c>
      <c r="B379" s="14">
        <v>28.21</v>
      </c>
      <c r="C379" s="14">
        <v>85.89</v>
      </c>
      <c r="D379" s="14">
        <v>562.1</v>
      </c>
      <c r="E379" s="14">
        <v>4.7260000000000003E-2</v>
      </c>
      <c r="F379" s="14">
        <v>1.2710000000000001E-2</v>
      </c>
      <c r="G379" s="14">
        <v>1.1169999999999999E-2</v>
      </c>
      <c r="H379" s="14">
        <v>14.69</v>
      </c>
      <c r="I379" s="14">
        <v>680.6</v>
      </c>
      <c r="J379" s="14">
        <v>5.781E-2</v>
      </c>
      <c r="M379" s="16">
        <v>0</v>
      </c>
      <c r="O379" s="12">
        <f t="shared" si="15"/>
        <v>1</v>
      </c>
      <c r="P379" s="12">
        <f t="shared" si="16"/>
        <v>0</v>
      </c>
      <c r="R379" s="17">
        <v>-0.86216493245391179</v>
      </c>
      <c r="S379" s="17">
        <v>0.86592397083683859</v>
      </c>
      <c r="T379" s="17">
        <v>1.1492407566427856</v>
      </c>
      <c r="U379" s="17">
        <v>0.30971288832147947</v>
      </c>
      <c r="V379" s="17">
        <v>1.322038261257461</v>
      </c>
      <c r="W379" s="17">
        <v>-0.54000870393571332</v>
      </c>
      <c r="X379" s="17">
        <v>-0.93446499101467595</v>
      </c>
      <c r="Y379" s="17">
        <v>1.3623707400649003</v>
      </c>
      <c r="Z379" s="17">
        <v>0.73556995189170193</v>
      </c>
      <c r="AA379" s="17">
        <v>1.6983871669386827</v>
      </c>
      <c r="AB379" s="17">
        <v>-1.2113068807979621</v>
      </c>
      <c r="AC379" s="17">
        <v>1.5906603286575782</v>
      </c>
      <c r="AD379" s="17">
        <v>-0.8593627097567913</v>
      </c>
      <c r="AE379" s="17">
        <v>1.3374666300864129</v>
      </c>
      <c r="AF379" s="17">
        <v>1.6049118769290147</v>
      </c>
      <c r="AG379" s="17">
        <v>1.3481853892245086</v>
      </c>
      <c r="AH379" s="17">
        <v>0.33128292594394448</v>
      </c>
      <c r="AI379" s="17">
        <v>-1.6572512841003593</v>
      </c>
      <c r="AJ379" s="17">
        <v>-0.4315878441673433</v>
      </c>
      <c r="AK379" s="17">
        <v>0.36866605140876307</v>
      </c>
      <c r="AM379" s="17">
        <v>-0.65484483294424045</v>
      </c>
      <c r="AN379" s="17">
        <v>0.70186639609408896</v>
      </c>
      <c r="AO379" s="17">
        <v>0.86819268633994418</v>
      </c>
      <c r="AP379" s="17">
        <v>0.28295409312394232</v>
      </c>
      <c r="AQ379" s="17">
        <v>0.87274121834430241</v>
      </c>
      <c r="AR379" s="17">
        <v>-0.40148310825047712</v>
      </c>
      <c r="AS379" s="17">
        <v>-0.70280490920454208</v>
      </c>
      <c r="AT379" s="17">
        <v>0.90788886411699954</v>
      </c>
      <c r="AU379" s="17">
        <v>0.51743233487470397</v>
      </c>
      <c r="AV379" s="17">
        <v>0.9531840841150111</v>
      </c>
      <c r="AW379" s="17">
        <v>-0.89412884152204419</v>
      </c>
      <c r="AX379" s="17">
        <v>0.94266359822023815</v>
      </c>
      <c r="AY379" s="17">
        <v>-0.71886381107078035</v>
      </c>
      <c r="AZ379" s="17">
        <v>0.86876776029186309</v>
      </c>
      <c r="BA379" s="17">
        <v>0.95923953164730213</v>
      </c>
      <c r="BB379" s="17">
        <v>0.9233168373111369</v>
      </c>
      <c r="BC379" s="17">
        <v>0.29331636630583702</v>
      </c>
      <c r="BD379" s="17">
        <v>-0.94022375567645522</v>
      </c>
      <c r="BE379" s="17">
        <v>-0.40220612507585007</v>
      </c>
      <c r="BF379" s="17">
        <v>-2.3202262665694092E-3</v>
      </c>
      <c r="BK379" s="20">
        <v>1.00130170279833</v>
      </c>
      <c r="BL379" s="20">
        <v>-1.2661940837147521E-3</v>
      </c>
      <c r="BN379" s="21">
        <f t="shared" si="17"/>
        <v>0</v>
      </c>
    </row>
    <row r="380" spans="1:66">
      <c r="A380" s="14">
        <v>13.66</v>
      </c>
      <c r="B380" s="14">
        <v>15.15</v>
      </c>
      <c r="C380" s="14">
        <v>88.27</v>
      </c>
      <c r="D380" s="14">
        <v>580.6</v>
      </c>
      <c r="E380" s="14">
        <v>7.5480000000000005E-2</v>
      </c>
      <c r="F380" s="14">
        <v>4.249E-2</v>
      </c>
      <c r="G380" s="14">
        <v>2.4709999999999999E-2</v>
      </c>
      <c r="H380" s="14">
        <v>14.54</v>
      </c>
      <c r="I380" s="14">
        <v>657</v>
      </c>
      <c r="J380" s="14">
        <v>0.10539999999999999</v>
      </c>
      <c r="M380" s="16">
        <v>0</v>
      </c>
      <c r="O380" s="12">
        <f t="shared" si="15"/>
        <v>1</v>
      </c>
      <c r="P380" s="12">
        <f t="shared" si="16"/>
        <v>0</v>
      </c>
      <c r="R380" s="17">
        <v>-0.86216493245391179</v>
      </c>
      <c r="S380" s="17">
        <v>0.86592397083683859</v>
      </c>
      <c r="T380" s="17">
        <v>1.1492407566427856</v>
      </c>
      <c r="U380" s="17">
        <v>0.30971288832147947</v>
      </c>
      <c r="V380" s="17">
        <v>1.322038261257461</v>
      </c>
      <c r="W380" s="17">
        <v>-0.54000870393571332</v>
      </c>
      <c r="X380" s="17">
        <v>-0.93446499101467595</v>
      </c>
      <c r="Y380" s="17">
        <v>1.3623707400649003</v>
      </c>
      <c r="Z380" s="17">
        <v>0.73556995189170193</v>
      </c>
      <c r="AA380" s="17">
        <v>1.6983871669386827</v>
      </c>
      <c r="AB380" s="17">
        <v>-1.2113068807979621</v>
      </c>
      <c r="AC380" s="17">
        <v>1.5906603286575782</v>
      </c>
      <c r="AD380" s="17">
        <v>-0.8593627097567913</v>
      </c>
      <c r="AE380" s="17">
        <v>1.3374666300864129</v>
      </c>
      <c r="AF380" s="17">
        <v>1.6049118769290147</v>
      </c>
      <c r="AG380" s="17">
        <v>1.3481853892245086</v>
      </c>
      <c r="AH380" s="17">
        <v>0.33128292594394448</v>
      </c>
      <c r="AI380" s="17">
        <v>-1.6572512841003593</v>
      </c>
      <c r="AJ380" s="17">
        <v>-0.4315878441673433</v>
      </c>
      <c r="AK380" s="17">
        <v>0.36873422353408902</v>
      </c>
      <c r="AM380" s="17">
        <v>-0.72048424806853451</v>
      </c>
      <c r="AN380" s="17">
        <v>0.69676130955179261</v>
      </c>
      <c r="AO380" s="17">
        <v>0.75638268434796785</v>
      </c>
      <c r="AP380" s="17">
        <v>0.31009538762049094</v>
      </c>
      <c r="AQ380" s="17">
        <v>0.8631107700868228</v>
      </c>
      <c r="AR380" s="17">
        <v>-0.54374385281933013</v>
      </c>
      <c r="AS380" s="17">
        <v>-0.74890472415568199</v>
      </c>
      <c r="AT380" s="17">
        <v>0.85249738152194732</v>
      </c>
      <c r="AU380" s="17">
        <v>0.68275894490769795</v>
      </c>
      <c r="AV380" s="17">
        <v>0.92043071242829844</v>
      </c>
      <c r="AW380" s="17">
        <v>-0.78815113315529528</v>
      </c>
      <c r="AX380" s="17">
        <v>0.90185679370353866</v>
      </c>
      <c r="AY380" s="17">
        <v>-0.68007120759981021</v>
      </c>
      <c r="AZ380" s="17">
        <v>0.87177785353223392</v>
      </c>
      <c r="BA380" s="17">
        <v>0.88477979965687126</v>
      </c>
      <c r="BB380" s="17">
        <v>0.82851562169438364</v>
      </c>
      <c r="BC380" s="17">
        <v>0.33504593467149013</v>
      </c>
      <c r="BD380" s="17">
        <v>-0.922085034297912</v>
      </c>
      <c r="BE380" s="17">
        <v>-0.40861125093758133</v>
      </c>
      <c r="BF380" s="17">
        <v>0.12898078180061245</v>
      </c>
      <c r="BK380" s="20">
        <v>1.0422134120570046</v>
      </c>
      <c r="BL380" s="20">
        <v>-4.2264374054326301E-2</v>
      </c>
      <c r="BN380" s="21">
        <f t="shared" si="17"/>
        <v>0</v>
      </c>
    </row>
    <row r="381" spans="1:66">
      <c r="A381" s="14">
        <v>11.08</v>
      </c>
      <c r="B381" s="14">
        <v>18.829999999999998</v>
      </c>
      <c r="C381" s="14">
        <v>73.3</v>
      </c>
      <c r="D381" s="14">
        <v>361.6</v>
      </c>
      <c r="E381" s="14">
        <v>0.21540000000000001</v>
      </c>
      <c r="F381" s="14">
        <v>0.16889999999999999</v>
      </c>
      <c r="G381" s="14">
        <v>6.3670000000000004E-2</v>
      </c>
      <c r="H381" s="14">
        <v>13.24</v>
      </c>
      <c r="I381" s="14">
        <v>508.1</v>
      </c>
      <c r="J381" s="14">
        <v>0.25240000000000001</v>
      </c>
      <c r="M381" s="16">
        <v>1</v>
      </c>
      <c r="O381" s="12">
        <f t="shared" si="15"/>
        <v>0</v>
      </c>
      <c r="P381" s="12">
        <f t="shared" si="16"/>
        <v>1</v>
      </c>
      <c r="R381" s="17">
        <v>-0.86216493245391179</v>
      </c>
      <c r="S381" s="17">
        <v>0.86592397083683859</v>
      </c>
      <c r="T381" s="17">
        <v>1.1492407566427856</v>
      </c>
      <c r="U381" s="17">
        <v>0.30971288832147947</v>
      </c>
      <c r="V381" s="17">
        <v>1.322038261257461</v>
      </c>
      <c r="W381" s="17">
        <v>-0.54000870393571332</v>
      </c>
      <c r="X381" s="17">
        <v>-0.93446499101467595</v>
      </c>
      <c r="Y381" s="17">
        <v>1.3623707400649003</v>
      </c>
      <c r="Z381" s="17">
        <v>0.73556995189170193</v>
      </c>
      <c r="AA381" s="17">
        <v>1.6983871669386827</v>
      </c>
      <c r="AB381" s="17">
        <v>-1.2113068807979621</v>
      </c>
      <c r="AC381" s="17">
        <v>1.5906603286575782</v>
      </c>
      <c r="AD381" s="17">
        <v>-0.8593627097567913</v>
      </c>
      <c r="AE381" s="17">
        <v>1.3374666300864129</v>
      </c>
      <c r="AF381" s="17">
        <v>1.6049118769290147</v>
      </c>
      <c r="AG381" s="17">
        <v>1.3481853892245086</v>
      </c>
      <c r="AH381" s="17">
        <v>0.33128292594394448</v>
      </c>
      <c r="AI381" s="17">
        <v>-1.6572512841003593</v>
      </c>
      <c r="AJ381" s="17">
        <v>-0.4315878441673433</v>
      </c>
      <c r="AK381" s="17">
        <v>0.36873422441298942</v>
      </c>
      <c r="AM381" s="17">
        <v>-0.86878886572168568</v>
      </c>
      <c r="AN381" s="17">
        <v>0.77977638072767219</v>
      </c>
      <c r="AO381" s="17">
        <v>0.6792955939992199</v>
      </c>
      <c r="AP381" s="17">
        <v>0.41764757235312006</v>
      </c>
      <c r="AQ381" s="17">
        <v>0.91284669002916641</v>
      </c>
      <c r="AR381" s="17">
        <v>-0.78477123370609836</v>
      </c>
      <c r="AS381" s="17">
        <v>-0.87613851880140492</v>
      </c>
      <c r="AT381" s="17">
        <v>0.81556197109114159</v>
      </c>
      <c r="AU381" s="17">
        <v>0.89835782472384895</v>
      </c>
      <c r="AV381" s="17">
        <v>0.90639800627681821</v>
      </c>
      <c r="AW381" s="17">
        <v>-0.5977595261901133</v>
      </c>
      <c r="AX381" s="17">
        <v>0.87689194628125855</v>
      </c>
      <c r="AY381" s="17">
        <v>-0.71421766981617874</v>
      </c>
      <c r="AZ381" s="17">
        <v>0.93196949973965448</v>
      </c>
      <c r="BA381" s="17">
        <v>0.6781385456488489</v>
      </c>
      <c r="BB381" s="17">
        <v>0.63338677455509229</v>
      </c>
      <c r="BC381" s="17">
        <v>0.4673858749322265</v>
      </c>
      <c r="BD381" s="17">
        <v>-0.94109786568826126</v>
      </c>
      <c r="BE381" s="17">
        <v>-0.49881757479198324</v>
      </c>
      <c r="BF381" s="17">
        <v>5.7308788531939617E-2</v>
      </c>
      <c r="BK381" s="20">
        <v>0.69768619616882199</v>
      </c>
      <c r="BL381" s="20">
        <v>0.30250699285203642</v>
      </c>
      <c r="BN381" s="21">
        <f t="shared" si="17"/>
        <v>0</v>
      </c>
    </row>
    <row r="382" spans="1:66">
      <c r="A382" s="14">
        <v>11.27</v>
      </c>
      <c r="B382" s="14">
        <v>12.96</v>
      </c>
      <c r="C382" s="14">
        <v>73.16</v>
      </c>
      <c r="D382" s="14">
        <v>386.3</v>
      </c>
      <c r="E382" s="14">
        <v>0.1111</v>
      </c>
      <c r="F382" s="14">
        <v>7.9000000000000001E-2</v>
      </c>
      <c r="G382" s="14">
        <v>5.5500000000000001E-2</v>
      </c>
      <c r="H382" s="14">
        <v>12.84</v>
      </c>
      <c r="I382" s="14">
        <v>476.1</v>
      </c>
      <c r="J382" s="14">
        <v>0.1318</v>
      </c>
      <c r="M382" s="16">
        <v>0</v>
      </c>
      <c r="O382" s="12">
        <f t="shared" si="15"/>
        <v>1</v>
      </c>
      <c r="P382" s="12">
        <f t="shared" si="16"/>
        <v>0</v>
      </c>
      <c r="R382" s="17">
        <v>-0.86216493245391179</v>
      </c>
      <c r="S382" s="17">
        <v>0.86592397083683859</v>
      </c>
      <c r="T382" s="17">
        <v>1.1492407566427856</v>
      </c>
      <c r="U382" s="17">
        <v>0.30971288832147947</v>
      </c>
      <c r="V382" s="17">
        <v>1.322038261257461</v>
      </c>
      <c r="W382" s="17">
        <v>-0.54000870393571332</v>
      </c>
      <c r="X382" s="17">
        <v>-0.93446499101467595</v>
      </c>
      <c r="Y382" s="17">
        <v>1.3623707400649003</v>
      </c>
      <c r="Z382" s="17">
        <v>0.73556995189170193</v>
      </c>
      <c r="AA382" s="17">
        <v>1.6983871669386827</v>
      </c>
      <c r="AB382" s="17">
        <v>-1.2113068807979621</v>
      </c>
      <c r="AC382" s="17">
        <v>1.5906603286575782</v>
      </c>
      <c r="AD382" s="17">
        <v>-0.8593627097567913</v>
      </c>
      <c r="AE382" s="17">
        <v>1.3374666300864129</v>
      </c>
      <c r="AF382" s="17">
        <v>1.6049118769290147</v>
      </c>
      <c r="AG382" s="17">
        <v>1.3481853892245086</v>
      </c>
      <c r="AH382" s="17">
        <v>0.33128292594394448</v>
      </c>
      <c r="AI382" s="17">
        <v>-1.6572512841003593</v>
      </c>
      <c r="AJ382" s="17">
        <v>-0.4315878441673433</v>
      </c>
      <c r="AK382" s="17">
        <v>0.36873422080722873</v>
      </c>
      <c r="AM382" s="17">
        <v>-0.92013913880645937</v>
      </c>
      <c r="AN382" s="17">
        <v>0.74676818904907627</v>
      </c>
      <c r="AO382" s="17">
        <v>-0.67338772159461813</v>
      </c>
      <c r="AP382" s="17">
        <v>0.46267961737764535</v>
      </c>
      <c r="AQ382" s="17">
        <v>0.87716134805431234</v>
      </c>
      <c r="AR382" s="17">
        <v>-0.90312225586949413</v>
      </c>
      <c r="AS382" s="17">
        <v>-0.91333879560460463</v>
      </c>
      <c r="AT382" s="17">
        <v>0.40251861297639974</v>
      </c>
      <c r="AU382" s="17">
        <v>0.96915471740577397</v>
      </c>
      <c r="AV382" s="17">
        <v>0.61060875436416095</v>
      </c>
      <c r="AW382" s="17">
        <v>0.32264759218360695</v>
      </c>
      <c r="AX382" s="17">
        <v>0.50604195620721437</v>
      </c>
      <c r="AY382" s="17">
        <v>-0.57174730390954742</v>
      </c>
      <c r="AZ382" s="17">
        <v>0.9247944349708388</v>
      </c>
      <c r="BA382" s="17">
        <v>-0.56194367428147707</v>
      </c>
      <c r="BB382" s="17">
        <v>-0.39460533897780847</v>
      </c>
      <c r="BC382" s="17">
        <v>0.53922121727245875</v>
      </c>
      <c r="BD382" s="17">
        <v>-0.86114120694189478</v>
      </c>
      <c r="BE382" s="17">
        <v>-0.49314009148392368</v>
      </c>
      <c r="BF382" s="17">
        <v>1.0929951913775856E-2</v>
      </c>
      <c r="BK382" s="20">
        <v>1.0350398073002938</v>
      </c>
      <c r="BL382" s="20">
        <v>-3.5078283743696204E-2</v>
      </c>
      <c r="BN382" s="21">
        <f t="shared" si="17"/>
        <v>0</v>
      </c>
    </row>
    <row r="383" spans="1:66">
      <c r="A383" s="14">
        <v>11.04</v>
      </c>
      <c r="B383" s="14">
        <v>14.93</v>
      </c>
      <c r="C383" s="14">
        <v>70.67</v>
      </c>
      <c r="D383" s="14">
        <v>372.7</v>
      </c>
      <c r="E383" s="14">
        <v>7.0790000000000006E-2</v>
      </c>
      <c r="F383" s="14">
        <v>3.5459999999999998E-2</v>
      </c>
      <c r="G383" s="14">
        <v>2.0740000000000001E-2</v>
      </c>
      <c r="H383" s="14">
        <v>12.09</v>
      </c>
      <c r="I383" s="14">
        <v>447.1</v>
      </c>
      <c r="J383" s="14">
        <v>6.7540000000000003E-2</v>
      </c>
      <c r="M383" s="16">
        <v>0</v>
      </c>
      <c r="O383" s="12">
        <f t="shared" si="15"/>
        <v>1</v>
      </c>
      <c r="P383" s="12">
        <f t="shared" si="16"/>
        <v>0</v>
      </c>
      <c r="R383" s="17">
        <v>-0.86216493245391179</v>
      </c>
      <c r="S383" s="17">
        <v>0.86592397083683859</v>
      </c>
      <c r="T383" s="17">
        <v>1.1492407566427856</v>
      </c>
      <c r="U383" s="17">
        <v>0.30971288832147947</v>
      </c>
      <c r="V383" s="17">
        <v>1.322038261257461</v>
      </c>
      <c r="W383" s="17">
        <v>-0.54000870393571332</v>
      </c>
      <c r="X383" s="17">
        <v>-0.93446499101467595</v>
      </c>
      <c r="Y383" s="17">
        <v>1.3623707400649003</v>
      </c>
      <c r="Z383" s="17">
        <v>0.73556995189170193</v>
      </c>
      <c r="AA383" s="17">
        <v>1.6983871669386827</v>
      </c>
      <c r="AB383" s="17">
        <v>-1.2113068807979621</v>
      </c>
      <c r="AC383" s="17">
        <v>1.5906603286575782</v>
      </c>
      <c r="AD383" s="17">
        <v>-0.8593627097567913</v>
      </c>
      <c r="AE383" s="17">
        <v>1.3374666300864129</v>
      </c>
      <c r="AF383" s="17">
        <v>1.6049118769290147</v>
      </c>
      <c r="AG383" s="17">
        <v>1.3481853892245086</v>
      </c>
      <c r="AH383" s="17">
        <v>0.33128292594394448</v>
      </c>
      <c r="AI383" s="17">
        <v>-1.6572512841003593</v>
      </c>
      <c r="AJ383" s="17">
        <v>-0.4315878441673433</v>
      </c>
      <c r="AK383" s="17">
        <v>0.36873422282223667</v>
      </c>
      <c r="AM383" s="17">
        <v>-0.8869331129120912</v>
      </c>
      <c r="AN383" s="17">
        <v>0.77616966153868494</v>
      </c>
      <c r="AO383" s="17">
        <v>0.44652632900503936</v>
      </c>
      <c r="AP383" s="17">
        <v>0.43285657150386003</v>
      </c>
      <c r="AQ383" s="17">
        <v>0.90778738800682846</v>
      </c>
      <c r="AR383" s="17">
        <v>-0.82637952363273504</v>
      </c>
      <c r="AS383" s="17">
        <v>-0.88961170173936022</v>
      </c>
      <c r="AT383" s="17">
        <v>0.75110145666709782</v>
      </c>
      <c r="AU383" s="17">
        <v>0.92644421938367105</v>
      </c>
      <c r="AV383" s="17">
        <v>0.86743355780749798</v>
      </c>
      <c r="AW383" s="17">
        <v>-0.41363220895796543</v>
      </c>
      <c r="AX383" s="17">
        <v>0.82567781109408767</v>
      </c>
      <c r="AY383" s="17">
        <v>-0.68758303757415573</v>
      </c>
      <c r="AZ383" s="17">
        <v>0.93250940200311827</v>
      </c>
      <c r="BA383" s="17">
        <v>0.43644265126212456</v>
      </c>
      <c r="BB383" s="17">
        <v>0.43241951893815439</v>
      </c>
      <c r="BC383" s="17">
        <v>0.49000281168136539</v>
      </c>
      <c r="BD383" s="17">
        <v>-0.92923165204215574</v>
      </c>
      <c r="BE383" s="17">
        <v>-0.50161352433564688</v>
      </c>
      <c r="BF383" s="17">
        <v>-4.3714300372791316E-2</v>
      </c>
      <c r="BK383" s="20">
        <v>-4.3445230763694005E-2</v>
      </c>
      <c r="BL383" s="20">
        <v>1.0434122856626746</v>
      </c>
      <c r="BN383" s="21">
        <f t="shared" si="17"/>
        <v>1</v>
      </c>
    </row>
    <row r="384" spans="1:66">
      <c r="A384" s="14">
        <v>12.05</v>
      </c>
      <c r="B384" s="14">
        <v>22.72</v>
      </c>
      <c r="C384" s="14">
        <v>78.75</v>
      </c>
      <c r="D384" s="14">
        <v>447.8</v>
      </c>
      <c r="E384" s="14">
        <v>0.10730000000000001</v>
      </c>
      <c r="F384" s="14">
        <v>7.9430000000000001E-2</v>
      </c>
      <c r="G384" s="14">
        <v>2.9780000000000001E-2</v>
      </c>
      <c r="H384" s="14">
        <v>12.57</v>
      </c>
      <c r="I384" s="14">
        <v>488.4</v>
      </c>
      <c r="J384" s="14">
        <v>0.10920000000000001</v>
      </c>
      <c r="M384" s="16">
        <v>0</v>
      </c>
      <c r="O384" s="12">
        <f t="shared" si="15"/>
        <v>1</v>
      </c>
      <c r="P384" s="12">
        <f t="shared" si="16"/>
        <v>0</v>
      </c>
      <c r="R384" s="17">
        <v>-0.86216493245391179</v>
      </c>
      <c r="S384" s="17">
        <v>0.86592397083683859</v>
      </c>
      <c r="T384" s="17">
        <v>1.1492407566427856</v>
      </c>
      <c r="U384" s="17">
        <v>0.30971288832147947</v>
      </c>
      <c r="V384" s="17">
        <v>1.322038261257461</v>
      </c>
      <c r="W384" s="17">
        <v>-0.54000870393571332</v>
      </c>
      <c r="X384" s="17">
        <v>-0.93446499101467595</v>
      </c>
      <c r="Y384" s="17">
        <v>1.3623707400649003</v>
      </c>
      <c r="Z384" s="17">
        <v>0.73556995189170193</v>
      </c>
      <c r="AA384" s="17">
        <v>1.6983871669386827</v>
      </c>
      <c r="AB384" s="17">
        <v>-1.2113068807979621</v>
      </c>
      <c r="AC384" s="17">
        <v>1.5906603286575782</v>
      </c>
      <c r="AD384" s="17">
        <v>-0.8593627097567913</v>
      </c>
      <c r="AE384" s="17">
        <v>1.3374666300864129</v>
      </c>
      <c r="AF384" s="17">
        <v>1.6049118769290147</v>
      </c>
      <c r="AG384" s="17">
        <v>1.3481853892245086</v>
      </c>
      <c r="AH384" s="17">
        <v>0.33128292594394448</v>
      </c>
      <c r="AI384" s="17">
        <v>-1.6572512841003593</v>
      </c>
      <c r="AJ384" s="17">
        <v>-0.4315878441673433</v>
      </c>
      <c r="AK384" s="17">
        <v>0.36873330553160022</v>
      </c>
      <c r="AM384" s="17">
        <v>-0.65843281449227731</v>
      </c>
      <c r="AN384" s="17">
        <v>0.67736841182385399</v>
      </c>
      <c r="AO384" s="17">
        <v>0.80553957646274477</v>
      </c>
      <c r="AP384" s="17">
        <v>0.27958802668579236</v>
      </c>
      <c r="AQ384" s="17">
        <v>0.85210637402012523</v>
      </c>
      <c r="AR384" s="17">
        <v>-0.43886009638408213</v>
      </c>
      <c r="AS384" s="17">
        <v>-0.69875582515895196</v>
      </c>
      <c r="AT384" s="17">
        <v>0.87405320800999919</v>
      </c>
      <c r="AU384" s="17">
        <v>0.56413816054878485</v>
      </c>
      <c r="AV384" s="17">
        <v>0.93211712679100567</v>
      </c>
      <c r="AW384" s="17">
        <v>-0.8440476197570369</v>
      </c>
      <c r="AX384" s="17">
        <v>0.91755385005821444</v>
      </c>
      <c r="AY384" s="17">
        <v>-0.68208418988203667</v>
      </c>
      <c r="AZ384" s="17">
        <v>0.85291609855936756</v>
      </c>
      <c r="BA384" s="17">
        <v>0.92827681462664036</v>
      </c>
      <c r="BB384" s="17">
        <v>0.88024009882259713</v>
      </c>
      <c r="BC384" s="17">
        <v>0.29492619777297086</v>
      </c>
      <c r="BD384" s="17">
        <v>-0.92230873891956289</v>
      </c>
      <c r="BE384" s="17">
        <v>-0.38672144558664145</v>
      </c>
      <c r="BF384" s="17">
        <v>0.1028838194854039</v>
      </c>
      <c r="BK384" s="20">
        <v>0.14431885602307606</v>
      </c>
      <c r="BL384" s="20">
        <v>0.85607699910113122</v>
      </c>
      <c r="BN384" s="21">
        <f t="shared" si="17"/>
        <v>1</v>
      </c>
    </row>
    <row r="385" spans="1:66">
      <c r="A385" s="14">
        <v>12.39</v>
      </c>
      <c r="B385" s="14">
        <v>17.48</v>
      </c>
      <c r="C385" s="14">
        <v>80.64</v>
      </c>
      <c r="D385" s="14">
        <v>462.9</v>
      </c>
      <c r="E385" s="14">
        <v>0.12970000000000001</v>
      </c>
      <c r="F385" s="14">
        <v>5.892E-2</v>
      </c>
      <c r="G385" s="14">
        <v>2.8799999999999999E-2</v>
      </c>
      <c r="H385" s="14">
        <v>14.18</v>
      </c>
      <c r="I385" s="14">
        <v>600.5</v>
      </c>
      <c r="J385" s="14">
        <v>9.8040000000000002E-2</v>
      </c>
      <c r="M385" s="16">
        <v>0</v>
      </c>
      <c r="O385" s="12">
        <f t="shared" si="15"/>
        <v>1</v>
      </c>
      <c r="P385" s="12">
        <f t="shared" si="16"/>
        <v>0</v>
      </c>
      <c r="R385" s="17">
        <v>-1.4643074708783446</v>
      </c>
      <c r="S385" s="17">
        <v>1.0359333700219733</v>
      </c>
      <c r="T385" s="17">
        <v>0.4503249130137873</v>
      </c>
      <c r="U385" s="17">
        <v>0.47751119115197871</v>
      </c>
      <c r="V385" s="17">
        <v>1.5052132201123889</v>
      </c>
      <c r="W385" s="17">
        <v>-1.2567352733816861</v>
      </c>
      <c r="X385" s="17">
        <v>-1.4659127711484521</v>
      </c>
      <c r="Y385" s="17">
        <v>0.877385815472147</v>
      </c>
      <c r="Z385" s="17">
        <v>1.7463530467411736</v>
      </c>
      <c r="AA385" s="17">
        <v>1.2163845753889837</v>
      </c>
      <c r="AB385" s="17">
        <v>-0.28839333793737798</v>
      </c>
      <c r="AC385" s="17">
        <v>1.0652147513376473</v>
      </c>
      <c r="AD385" s="17">
        <v>-0.81583654438301023</v>
      </c>
      <c r="AE385" s="17">
        <v>1.6894094608623824</v>
      </c>
      <c r="AF385" s="17">
        <v>0.2496334827590041</v>
      </c>
      <c r="AG385" s="17">
        <v>0.29010426800531797</v>
      </c>
      <c r="AH385" s="17">
        <v>0.55723475600471262</v>
      </c>
      <c r="AI385" s="17">
        <v>-1.603629768829455</v>
      </c>
      <c r="AJ385" s="17">
        <v>-0.55690825498325469</v>
      </c>
      <c r="AK385" s="17">
        <v>0.41256201738018505</v>
      </c>
      <c r="AM385" s="17">
        <v>-0.74928840973515975</v>
      </c>
      <c r="AN385" s="17">
        <v>0.72001744075363394</v>
      </c>
      <c r="AO385" s="17">
        <v>0.79754817419707735</v>
      </c>
      <c r="AP385" s="17">
        <v>0.32868567911632007</v>
      </c>
      <c r="AQ385" s="17">
        <v>0.87956973724157239</v>
      </c>
      <c r="AR385" s="17">
        <v>-0.57929870161770214</v>
      </c>
      <c r="AS385" s="17">
        <v>-0.77545272474281535</v>
      </c>
      <c r="AT385" s="17">
        <v>0.86442117455553158</v>
      </c>
      <c r="AU385" s="17">
        <v>0.71936029322482309</v>
      </c>
      <c r="AV385" s="17">
        <v>0.92926284939741766</v>
      </c>
      <c r="AW385" s="17">
        <v>-0.79632248655797855</v>
      </c>
      <c r="AX385" s="17">
        <v>0.91154027397753001</v>
      </c>
      <c r="AY385" s="17">
        <v>-0.700184638946027</v>
      </c>
      <c r="AZ385" s="17">
        <v>0.88874361795193502</v>
      </c>
      <c r="BA385" s="17">
        <v>0.88990896973407241</v>
      </c>
      <c r="BB385" s="17">
        <v>0.83567389648319701</v>
      </c>
      <c r="BC385" s="17">
        <v>0.35607453994997057</v>
      </c>
      <c r="BD385" s="17">
        <v>-0.93260039064444655</v>
      </c>
      <c r="BE385" s="17">
        <v>-0.42905453612689193</v>
      </c>
      <c r="BF385" s="17">
        <v>0.26677103590984891</v>
      </c>
      <c r="BK385" s="20">
        <v>0.87920488038119227</v>
      </c>
      <c r="BL385" s="20">
        <v>0.12066589961138525</v>
      </c>
      <c r="BN385" s="21">
        <f t="shared" si="17"/>
        <v>0</v>
      </c>
    </row>
    <row r="386" spans="1:66">
      <c r="A386" s="14">
        <v>13.28</v>
      </c>
      <c r="B386" s="14">
        <v>13.72</v>
      </c>
      <c r="C386" s="14">
        <v>85.79</v>
      </c>
      <c r="D386" s="14">
        <v>541.79999999999995</v>
      </c>
      <c r="E386" s="14">
        <v>8.5750000000000007E-2</v>
      </c>
      <c r="F386" s="14">
        <v>5.0770000000000003E-2</v>
      </c>
      <c r="G386" s="14">
        <v>2.8639999999999999E-2</v>
      </c>
      <c r="H386" s="14">
        <v>14.24</v>
      </c>
      <c r="I386" s="14">
        <v>623.70000000000005</v>
      </c>
      <c r="J386" s="14">
        <v>9.1730000000000006E-2</v>
      </c>
      <c r="M386" s="16">
        <v>0</v>
      </c>
      <c r="O386" s="12">
        <f t="shared" si="15"/>
        <v>1</v>
      </c>
      <c r="P386" s="12">
        <f t="shared" si="16"/>
        <v>0</v>
      </c>
      <c r="R386" s="17">
        <v>-1.4643074708783446</v>
      </c>
      <c r="S386" s="17">
        <v>1.0359333700219733</v>
      </c>
      <c r="T386" s="17">
        <v>0.4503249130137873</v>
      </c>
      <c r="U386" s="17">
        <v>0.47751119115197871</v>
      </c>
      <c r="V386" s="17">
        <v>1.5052132201123889</v>
      </c>
      <c r="W386" s="17">
        <v>-1.2567352733816861</v>
      </c>
      <c r="X386" s="17">
        <v>-1.4659127711484521</v>
      </c>
      <c r="Y386" s="17">
        <v>0.877385815472147</v>
      </c>
      <c r="Z386" s="17">
        <v>1.7463530467411736</v>
      </c>
      <c r="AA386" s="17">
        <v>1.2163845753889837</v>
      </c>
      <c r="AB386" s="17">
        <v>-0.28839333793737798</v>
      </c>
      <c r="AC386" s="17">
        <v>1.0652147513376473</v>
      </c>
      <c r="AD386" s="17">
        <v>-0.81583654438301023</v>
      </c>
      <c r="AE386" s="17">
        <v>1.6894094608623824</v>
      </c>
      <c r="AF386" s="17">
        <v>0.2496334827590041</v>
      </c>
      <c r="AG386" s="17">
        <v>0.29010426800531797</v>
      </c>
      <c r="AH386" s="17">
        <v>0.55723475600471262</v>
      </c>
      <c r="AI386" s="17">
        <v>-1.603629768829455</v>
      </c>
      <c r="AJ386" s="17">
        <v>-0.55690825498325469</v>
      </c>
      <c r="AK386" s="17">
        <v>0.41256201738018505</v>
      </c>
      <c r="AM386" s="17">
        <v>-0.78828584076401731</v>
      </c>
      <c r="AN386" s="17">
        <v>0.73901559330606992</v>
      </c>
      <c r="AO386" s="17">
        <v>0.78713565932268237</v>
      </c>
      <c r="AP386" s="17">
        <v>0.35355901086174862</v>
      </c>
      <c r="AQ386" s="17">
        <v>0.89087780215631596</v>
      </c>
      <c r="AR386" s="17">
        <v>-0.64371361255469295</v>
      </c>
      <c r="AS386" s="17">
        <v>-0.80826499943547081</v>
      </c>
      <c r="AT386" s="17">
        <v>0.85613784530185699</v>
      </c>
      <c r="AU386" s="17">
        <v>0.78224271109726906</v>
      </c>
      <c r="AV386" s="17">
        <v>0.92589466791181751</v>
      </c>
      <c r="AW386" s="17">
        <v>-0.76055847010722721</v>
      </c>
      <c r="AX386" s="17">
        <v>0.90596431290710866</v>
      </c>
      <c r="AY386" s="17">
        <v>-0.70689980335707936</v>
      </c>
      <c r="AZ386" s="17">
        <v>0.90333192429503784</v>
      </c>
      <c r="BA386" s="17">
        <v>0.85758196288913691</v>
      </c>
      <c r="BB386" s="17">
        <v>0.80104032298636374</v>
      </c>
      <c r="BC386" s="17">
        <v>0.38712251772677353</v>
      </c>
      <c r="BD386" s="17">
        <v>-0.9363393390497522</v>
      </c>
      <c r="BE386" s="17">
        <v>-0.44956309325688354</v>
      </c>
      <c r="BF386" s="17">
        <v>0.14346822946208307</v>
      </c>
      <c r="BK386" s="20">
        <v>9.9476560533088038E-2</v>
      </c>
      <c r="BL386" s="20">
        <v>0.90056536073998072</v>
      </c>
      <c r="BN386" s="21">
        <f t="shared" si="17"/>
        <v>1</v>
      </c>
    </row>
    <row r="387" spans="1:66">
      <c r="A387" s="14">
        <v>14.6</v>
      </c>
      <c r="B387" s="14">
        <v>23.29</v>
      </c>
      <c r="C387" s="14">
        <v>93.97</v>
      </c>
      <c r="D387" s="14">
        <v>664.7</v>
      </c>
      <c r="E387" s="14">
        <v>6.6360000000000002E-2</v>
      </c>
      <c r="F387" s="14">
        <v>8.3900000000000002E-2</v>
      </c>
      <c r="G387" s="14">
        <v>5.271E-2</v>
      </c>
      <c r="H387" s="14">
        <v>15.79</v>
      </c>
      <c r="I387" s="14">
        <v>758.2</v>
      </c>
      <c r="J387" s="14">
        <v>0.13589999999999999</v>
      </c>
      <c r="M387" s="16">
        <v>1</v>
      </c>
      <c r="O387" s="12">
        <f t="shared" ref="O387:O450" si="18">IF(M387=0,1,0)</f>
        <v>0</v>
      </c>
      <c r="P387" s="12">
        <f t="shared" ref="P387:P450" si="19">IF(M387=1,1,0)</f>
        <v>1</v>
      </c>
      <c r="R387" s="17">
        <v>-1.4643074708783446</v>
      </c>
      <c r="S387" s="17">
        <v>1.0359333700219733</v>
      </c>
      <c r="T387" s="17">
        <v>0.4503249130137873</v>
      </c>
      <c r="U387" s="17">
        <v>0.47751119115197871</v>
      </c>
      <c r="V387" s="17">
        <v>1.5052132201123889</v>
      </c>
      <c r="W387" s="17">
        <v>-1.2567352733816861</v>
      </c>
      <c r="X387" s="17">
        <v>-1.4659127711484521</v>
      </c>
      <c r="Y387" s="17">
        <v>0.877385815472147</v>
      </c>
      <c r="Z387" s="17">
        <v>1.7463530467411736</v>
      </c>
      <c r="AA387" s="17">
        <v>1.2163845753889837</v>
      </c>
      <c r="AB387" s="17">
        <v>-0.28839333793737798</v>
      </c>
      <c r="AC387" s="17">
        <v>1.0652147513376473</v>
      </c>
      <c r="AD387" s="17">
        <v>-0.81583654438301023</v>
      </c>
      <c r="AE387" s="17">
        <v>1.6894094608623824</v>
      </c>
      <c r="AF387" s="17">
        <v>0.2496334827590041</v>
      </c>
      <c r="AG387" s="17">
        <v>0.29010426800531797</v>
      </c>
      <c r="AH387" s="17">
        <v>0.55723475600471262</v>
      </c>
      <c r="AI387" s="17">
        <v>-1.603629768829455</v>
      </c>
      <c r="AJ387" s="17">
        <v>-0.55690825498325469</v>
      </c>
      <c r="AK387" s="17">
        <v>0.41256201738018461</v>
      </c>
      <c r="AM387" s="17">
        <v>-0.73460074285840982</v>
      </c>
      <c r="AN387" s="17">
        <v>0.72195743261860923</v>
      </c>
      <c r="AO387" s="17">
        <v>0.82865273620460111</v>
      </c>
      <c r="AP387" s="17">
        <v>0.32186558155736089</v>
      </c>
      <c r="AQ387" s="17">
        <v>0.88240043177483996</v>
      </c>
      <c r="AR387" s="17">
        <v>-0.54563340980974184</v>
      </c>
      <c r="AS387" s="17">
        <v>-0.76523029288002475</v>
      </c>
      <c r="AT387" s="17">
        <v>0.8811161207029985</v>
      </c>
      <c r="AU387" s="17">
        <v>0.6838378468169658</v>
      </c>
      <c r="AV387" s="17">
        <v>0.93905951279584721</v>
      </c>
      <c r="AW387" s="17">
        <v>-0.83136912395651574</v>
      </c>
      <c r="AX387" s="17">
        <v>0.92389775703951271</v>
      </c>
      <c r="AY387" s="17">
        <v>-0.71123039245776598</v>
      </c>
      <c r="AZ387" s="17">
        <v>0.88846246798519013</v>
      </c>
      <c r="BA387" s="17">
        <v>0.91712320811475079</v>
      </c>
      <c r="BB387" s="17">
        <v>0.86804903246593867</v>
      </c>
      <c r="BC387" s="17">
        <v>0.34546487769263562</v>
      </c>
      <c r="BD387" s="17">
        <v>-0.93760480082226128</v>
      </c>
      <c r="BE387" s="17">
        <v>-0.42788894145814182</v>
      </c>
      <c r="BF387" s="17">
        <v>0.38776629876106022</v>
      </c>
      <c r="BK387" s="20">
        <v>-3.8952957407177552E-2</v>
      </c>
      <c r="BL387" s="20">
        <v>1.0389052772471239</v>
      </c>
      <c r="BN387" s="21">
        <f t="shared" si="17"/>
        <v>1</v>
      </c>
    </row>
    <row r="388" spans="1:66">
      <c r="A388" s="14">
        <v>12.21</v>
      </c>
      <c r="B388" s="14">
        <v>14.09</v>
      </c>
      <c r="C388" s="14">
        <v>78.78</v>
      </c>
      <c r="D388" s="14">
        <v>462</v>
      </c>
      <c r="E388" s="14">
        <v>7.8229999999999994E-2</v>
      </c>
      <c r="F388" s="14">
        <v>6.8390000000000006E-2</v>
      </c>
      <c r="G388" s="14">
        <v>2.5340000000000001E-2</v>
      </c>
      <c r="H388" s="14">
        <v>13.13</v>
      </c>
      <c r="I388" s="14">
        <v>529.9</v>
      </c>
      <c r="J388" s="14">
        <v>9.1399999999999995E-2</v>
      </c>
      <c r="M388" s="16">
        <v>0</v>
      </c>
      <c r="O388" s="12">
        <f t="shared" si="18"/>
        <v>1</v>
      </c>
      <c r="P388" s="12">
        <f t="shared" si="19"/>
        <v>0</v>
      </c>
      <c r="R388" s="17">
        <v>-0.86216493245391179</v>
      </c>
      <c r="S388" s="17">
        <v>0.86592397083683859</v>
      </c>
      <c r="T388" s="17">
        <v>1.1492407566427856</v>
      </c>
      <c r="U388" s="17">
        <v>0.30971288832147947</v>
      </c>
      <c r="V388" s="17">
        <v>1.322038261257461</v>
      </c>
      <c r="W388" s="17">
        <v>-0.54000870393571332</v>
      </c>
      <c r="X388" s="17">
        <v>-0.93446499101467595</v>
      </c>
      <c r="Y388" s="17">
        <v>1.3623707400649003</v>
      </c>
      <c r="Z388" s="17">
        <v>0.73556995189170193</v>
      </c>
      <c r="AA388" s="17">
        <v>1.6983871669386827</v>
      </c>
      <c r="AB388" s="17">
        <v>-1.2113068807979621</v>
      </c>
      <c r="AC388" s="17">
        <v>1.5906603286575782</v>
      </c>
      <c r="AD388" s="17">
        <v>-0.8593627097567913</v>
      </c>
      <c r="AE388" s="17">
        <v>1.3374666300864129</v>
      </c>
      <c r="AF388" s="17">
        <v>1.6049118769290147</v>
      </c>
      <c r="AG388" s="17">
        <v>1.3481853892245086</v>
      </c>
      <c r="AH388" s="17">
        <v>0.33128292594394448</v>
      </c>
      <c r="AI388" s="17">
        <v>-1.6572512841003593</v>
      </c>
      <c r="AJ388" s="17">
        <v>-0.4315878441673433</v>
      </c>
      <c r="AK388" s="17">
        <v>0.36873378236834464</v>
      </c>
      <c r="AM388" s="17">
        <v>-0.65354038323913322</v>
      </c>
      <c r="AN388" s="17">
        <v>0.64179639816273559</v>
      </c>
      <c r="AO388" s="17">
        <v>0.7246840508876482</v>
      </c>
      <c r="AP388" s="17">
        <v>0.27112885813999588</v>
      </c>
      <c r="AQ388" s="17">
        <v>0.82039789998217583</v>
      </c>
      <c r="AR388" s="17">
        <v>-0.46832274376759869</v>
      </c>
      <c r="AS388" s="17">
        <v>-0.68601889600895727</v>
      </c>
      <c r="AT388" s="17">
        <v>0.8199711471414769</v>
      </c>
      <c r="AU388" s="17">
        <v>0.60037658000137439</v>
      </c>
      <c r="AV388" s="17">
        <v>0.89543397459347762</v>
      </c>
      <c r="AW388" s="17">
        <v>-0.76232091574842853</v>
      </c>
      <c r="AX388" s="17">
        <v>0.87470759484267113</v>
      </c>
      <c r="AY388" s="17">
        <v>-0.63150419217330955</v>
      </c>
      <c r="AZ388" s="17">
        <v>0.82764312525037143</v>
      </c>
      <c r="BA388" s="17">
        <v>0.86679277022789214</v>
      </c>
      <c r="BB388" s="17">
        <v>0.8052083501226911</v>
      </c>
      <c r="BC388" s="17">
        <v>0.2912901333592845</v>
      </c>
      <c r="BD388" s="17">
        <v>-0.89294256587982412</v>
      </c>
      <c r="BE388" s="17">
        <v>-0.36410476038076539</v>
      </c>
      <c r="BF388" s="17">
        <v>-0.20647368381233591</v>
      </c>
      <c r="BK388" s="20">
        <v>-4.1859614770260664E-2</v>
      </c>
      <c r="BL388" s="20">
        <v>1.0417871416532543</v>
      </c>
      <c r="BN388" s="21">
        <f t="shared" si="17"/>
        <v>1</v>
      </c>
    </row>
    <row r="389" spans="1:66">
      <c r="A389" s="14">
        <v>13.88</v>
      </c>
      <c r="B389" s="14">
        <v>16.16</v>
      </c>
      <c r="C389" s="14">
        <v>88.37</v>
      </c>
      <c r="D389" s="14">
        <v>596.6</v>
      </c>
      <c r="E389" s="14">
        <v>4.8309999999999999E-2</v>
      </c>
      <c r="F389" s="14">
        <v>2.0449999999999999E-2</v>
      </c>
      <c r="G389" s="14">
        <v>8.5070000000000007E-3</v>
      </c>
      <c r="H389" s="14">
        <v>15.51</v>
      </c>
      <c r="I389" s="14">
        <v>745.3</v>
      </c>
      <c r="J389" s="14">
        <v>4.5370000000000001E-2</v>
      </c>
      <c r="M389" s="16">
        <v>0</v>
      </c>
      <c r="O389" s="12">
        <f t="shared" si="18"/>
        <v>1</v>
      </c>
      <c r="P389" s="12">
        <f t="shared" si="19"/>
        <v>0</v>
      </c>
      <c r="R389" s="17">
        <v>-0.86216493245391179</v>
      </c>
      <c r="S389" s="17">
        <v>0.86592397083683859</v>
      </c>
      <c r="T389" s="17">
        <v>1.1492407566427856</v>
      </c>
      <c r="U389" s="17">
        <v>0.30971288832147947</v>
      </c>
      <c r="V389" s="17">
        <v>1.322038261257461</v>
      </c>
      <c r="W389" s="17">
        <v>-0.54000870393571332</v>
      </c>
      <c r="X389" s="17">
        <v>-0.93446499101467595</v>
      </c>
      <c r="Y389" s="17">
        <v>1.3623707400649003</v>
      </c>
      <c r="Z389" s="17">
        <v>0.73556995189170193</v>
      </c>
      <c r="AA389" s="17">
        <v>1.6983871669386827</v>
      </c>
      <c r="AB389" s="17">
        <v>-1.2113068807979621</v>
      </c>
      <c r="AC389" s="17">
        <v>1.5906603286575782</v>
      </c>
      <c r="AD389" s="17">
        <v>-0.8593627097567913</v>
      </c>
      <c r="AE389" s="17">
        <v>1.3374666300864129</v>
      </c>
      <c r="AF389" s="17">
        <v>1.6049118769290147</v>
      </c>
      <c r="AG389" s="17">
        <v>1.3481853892245086</v>
      </c>
      <c r="AH389" s="17">
        <v>0.33128292594394448</v>
      </c>
      <c r="AI389" s="17">
        <v>-1.6572512841003593</v>
      </c>
      <c r="AJ389" s="17">
        <v>-0.4315878441673433</v>
      </c>
      <c r="AK389" s="17">
        <v>0.36873422441298942</v>
      </c>
      <c r="AM389" s="17">
        <v>-0.74995440036940086</v>
      </c>
      <c r="AN389" s="17">
        <v>0.67321692087701657</v>
      </c>
      <c r="AO389" s="17">
        <v>0.5833483534338193</v>
      </c>
      <c r="AP389" s="17">
        <v>0.31992892121201288</v>
      </c>
      <c r="AQ389" s="17">
        <v>0.83922345710191637</v>
      </c>
      <c r="AR389" s="17">
        <v>-0.62592644966620226</v>
      </c>
      <c r="AS389" s="17">
        <v>-0.76563636958422399</v>
      </c>
      <c r="AT389" s="17">
        <v>0.76452067177985727</v>
      </c>
      <c r="AU389" s="17">
        <v>0.76720132045139733</v>
      </c>
      <c r="AV389" s="17">
        <v>0.86188563495389992</v>
      </c>
      <c r="AW389" s="17">
        <v>-0.61307602920498416</v>
      </c>
      <c r="AX389" s="17">
        <v>0.83083029179756684</v>
      </c>
      <c r="AY389" s="17">
        <v>-0.62432749051916747</v>
      </c>
      <c r="AZ389" s="17">
        <v>0.86024153088015842</v>
      </c>
      <c r="BA389" s="17">
        <v>0.71477978014120946</v>
      </c>
      <c r="BB389" s="17">
        <v>0.65448269853978369</v>
      </c>
      <c r="BC389" s="17">
        <v>0.35557668369955925</v>
      </c>
      <c r="BD389" s="17">
        <v>-0.89021372510637442</v>
      </c>
      <c r="BE389" s="17">
        <v>-0.39860369844377264</v>
      </c>
      <c r="BF389" s="17">
        <v>-0.43559598449589143</v>
      </c>
      <c r="BK389" s="20">
        <v>0.98474905533288082</v>
      </c>
      <c r="BL389" s="20">
        <v>1.5263764536726589E-2</v>
      </c>
      <c r="BN389" s="21">
        <f t="shared" si="17"/>
        <v>0</v>
      </c>
    </row>
    <row r="390" spans="1:66">
      <c r="A390" s="14">
        <v>11.27</v>
      </c>
      <c r="B390" s="14">
        <v>15.5</v>
      </c>
      <c r="C390" s="14">
        <v>73.38</v>
      </c>
      <c r="D390" s="14">
        <v>392</v>
      </c>
      <c r="E390" s="14">
        <v>0.1114</v>
      </c>
      <c r="F390" s="14">
        <v>0.1007</v>
      </c>
      <c r="G390" s="14">
        <v>2.7570000000000001E-2</v>
      </c>
      <c r="H390" s="14">
        <v>12.04</v>
      </c>
      <c r="I390" s="14">
        <v>450</v>
      </c>
      <c r="J390" s="14">
        <v>8.2720000000000002E-2</v>
      </c>
      <c r="M390" s="16">
        <v>0</v>
      </c>
      <c r="O390" s="12">
        <f t="shared" si="18"/>
        <v>1</v>
      </c>
      <c r="P390" s="12">
        <f t="shared" si="19"/>
        <v>0</v>
      </c>
      <c r="R390" s="17">
        <v>-0.86216493245391179</v>
      </c>
      <c r="S390" s="17">
        <v>0.86592397083683859</v>
      </c>
      <c r="T390" s="17">
        <v>1.1492407566427856</v>
      </c>
      <c r="U390" s="17">
        <v>0.30971288832147947</v>
      </c>
      <c r="V390" s="17">
        <v>1.322038261257461</v>
      </c>
      <c r="W390" s="17">
        <v>-0.54000870393571332</v>
      </c>
      <c r="X390" s="17">
        <v>-0.93446499101467595</v>
      </c>
      <c r="Y390" s="17">
        <v>1.3623707400649003</v>
      </c>
      <c r="Z390" s="17">
        <v>0.73556995189170193</v>
      </c>
      <c r="AA390" s="17">
        <v>1.6983871669386827</v>
      </c>
      <c r="AB390" s="17">
        <v>-1.2113068807979621</v>
      </c>
      <c r="AC390" s="17">
        <v>1.5906603286575782</v>
      </c>
      <c r="AD390" s="17">
        <v>-0.8593627097567913</v>
      </c>
      <c r="AE390" s="17">
        <v>1.3374666300864129</v>
      </c>
      <c r="AF390" s="17">
        <v>1.6049118769290147</v>
      </c>
      <c r="AG390" s="17">
        <v>1.3481853892245086</v>
      </c>
      <c r="AH390" s="17">
        <v>0.33128292594394448</v>
      </c>
      <c r="AI390" s="17">
        <v>-1.6572512841003593</v>
      </c>
      <c r="AJ390" s="17">
        <v>-0.4315878441673433</v>
      </c>
      <c r="AK390" s="17">
        <v>0.36873422441298942</v>
      </c>
      <c r="AM390" s="17">
        <v>-0.69702644528647129</v>
      </c>
      <c r="AN390" s="17">
        <v>0.70260624630628865</v>
      </c>
      <c r="AO390" s="17">
        <v>0.82068521534231853</v>
      </c>
      <c r="AP390" s="17">
        <v>0.30068523908519507</v>
      </c>
      <c r="AQ390" s="17">
        <v>0.8700368982109109</v>
      </c>
      <c r="AR390" s="17">
        <v>-0.48841796994200254</v>
      </c>
      <c r="AS390" s="17">
        <v>-0.73325826857218446</v>
      </c>
      <c r="AT390" s="17">
        <v>0.88207294306374351</v>
      </c>
      <c r="AU390" s="17">
        <v>0.62109700361329645</v>
      </c>
      <c r="AV390" s="17">
        <v>0.9384160183870095</v>
      </c>
      <c r="AW390" s="17">
        <v>-0.84533425095510195</v>
      </c>
      <c r="AX390" s="17">
        <v>0.92410669645989474</v>
      </c>
      <c r="AY390" s="17">
        <v>-0.70103031828305018</v>
      </c>
      <c r="AZ390" s="17">
        <v>0.8731150696630029</v>
      </c>
      <c r="BA390" s="17">
        <v>0.9281063255771721</v>
      </c>
      <c r="BB390" s="17">
        <v>0.88098650448352411</v>
      </c>
      <c r="BC390" s="17">
        <v>0.31952182703433102</v>
      </c>
      <c r="BD390" s="17">
        <v>-0.9323352938852244</v>
      </c>
      <c r="BE390" s="17">
        <v>-0.4087919472718729</v>
      </c>
      <c r="BF390" s="17">
        <v>0.3332768554742318</v>
      </c>
      <c r="BK390" s="20">
        <v>-3.4819368078921671E-2</v>
      </c>
      <c r="BL390" s="20">
        <v>1.0348324366246608</v>
      </c>
      <c r="BN390" s="21">
        <f t="shared" si="17"/>
        <v>1</v>
      </c>
    </row>
    <row r="391" spans="1:66">
      <c r="A391" s="14">
        <v>19.55</v>
      </c>
      <c r="B391" s="14">
        <v>23.21</v>
      </c>
      <c r="C391" s="14">
        <v>128.9</v>
      </c>
      <c r="D391" s="14">
        <v>1174</v>
      </c>
      <c r="E391" s="14">
        <v>0.1318</v>
      </c>
      <c r="F391" s="14">
        <v>0.18559999999999999</v>
      </c>
      <c r="G391" s="14">
        <v>0.1021</v>
      </c>
      <c r="H391" s="14">
        <v>20.82</v>
      </c>
      <c r="I391" s="14">
        <v>1313</v>
      </c>
      <c r="J391" s="14">
        <v>0.1825</v>
      </c>
      <c r="M391" s="16">
        <v>1</v>
      </c>
      <c r="O391" s="12">
        <f t="shared" si="18"/>
        <v>0</v>
      </c>
      <c r="P391" s="12">
        <f t="shared" si="19"/>
        <v>1</v>
      </c>
      <c r="R391" s="17">
        <v>-0.86216493245391179</v>
      </c>
      <c r="S391" s="17">
        <v>0.86592397083683859</v>
      </c>
      <c r="T391" s="17">
        <v>1.1492407566427856</v>
      </c>
      <c r="U391" s="17">
        <v>0.30971288832147947</v>
      </c>
      <c r="V391" s="17">
        <v>1.322038261257461</v>
      </c>
      <c r="W391" s="17">
        <v>-0.54000870393571332</v>
      </c>
      <c r="X391" s="17">
        <v>-0.93446499101467595</v>
      </c>
      <c r="Y391" s="17">
        <v>1.3623707400649003</v>
      </c>
      <c r="Z391" s="17">
        <v>0.73556995189170193</v>
      </c>
      <c r="AA391" s="17">
        <v>1.6983871669386827</v>
      </c>
      <c r="AB391" s="17">
        <v>-1.2113068807979621</v>
      </c>
      <c r="AC391" s="17">
        <v>1.5906603286575782</v>
      </c>
      <c r="AD391" s="17">
        <v>-0.8593627097567913</v>
      </c>
      <c r="AE391" s="17">
        <v>1.3374666300864129</v>
      </c>
      <c r="AF391" s="17">
        <v>1.6049118769290147</v>
      </c>
      <c r="AG391" s="17">
        <v>1.3481853892245086</v>
      </c>
      <c r="AH391" s="17">
        <v>0.33128292594394448</v>
      </c>
      <c r="AI391" s="17">
        <v>-1.6572512841003593</v>
      </c>
      <c r="AJ391" s="17">
        <v>-0.4315878441673433</v>
      </c>
      <c r="AK391" s="17">
        <v>0.36873422441298942</v>
      </c>
      <c r="AM391" s="17">
        <v>-0.74569936983232321</v>
      </c>
      <c r="AN391" s="17">
        <v>0.72764819124753111</v>
      </c>
      <c r="AO391" s="17">
        <v>0.82995189151927706</v>
      </c>
      <c r="AP391" s="17">
        <v>0.32848770206493966</v>
      </c>
      <c r="AQ391" s="17">
        <v>0.88590984434327202</v>
      </c>
      <c r="AR391" s="17">
        <v>-0.56313393574881732</v>
      </c>
      <c r="AS391" s="17">
        <v>-0.77462596284589869</v>
      </c>
      <c r="AT391" s="17">
        <v>0.88043040473078893</v>
      </c>
      <c r="AU391" s="17">
        <v>0.70224288036482441</v>
      </c>
      <c r="AV391" s="17">
        <v>0.93903107899724736</v>
      </c>
      <c r="AW391" s="17">
        <v>-0.82603051456881627</v>
      </c>
      <c r="AX391" s="17">
        <v>0.92354829406212535</v>
      </c>
      <c r="AY391" s="17">
        <v>-0.71404315760618042</v>
      </c>
      <c r="AZ391" s="17">
        <v>0.89282879887962852</v>
      </c>
      <c r="BA391" s="17">
        <v>0.91281875934184631</v>
      </c>
      <c r="BB391" s="17">
        <v>0.86306621309317333</v>
      </c>
      <c r="BC391" s="17">
        <v>0.35360629716256636</v>
      </c>
      <c r="BD391" s="17">
        <v>-0.93902812790175627</v>
      </c>
      <c r="BE391" s="17">
        <v>-0.43371849433151966</v>
      </c>
      <c r="BF391" s="17">
        <v>0.40343137897631526</v>
      </c>
      <c r="BK391" s="20">
        <v>-6.3158864326055261E-2</v>
      </c>
      <c r="BL391" s="20">
        <v>1.0629875629308776</v>
      </c>
      <c r="BN391" s="21">
        <f t="shared" si="17"/>
        <v>1</v>
      </c>
    </row>
    <row r="392" spans="1:66">
      <c r="A392" s="14">
        <v>10.26</v>
      </c>
      <c r="B392" s="14">
        <v>12.22</v>
      </c>
      <c r="C392" s="14">
        <v>65.75</v>
      </c>
      <c r="D392" s="14">
        <v>321.60000000000002</v>
      </c>
      <c r="E392" s="14">
        <v>7.5420000000000001E-2</v>
      </c>
      <c r="F392" s="14">
        <v>1.9230000000000001E-2</v>
      </c>
      <c r="G392" s="14">
        <v>1.968E-2</v>
      </c>
      <c r="H392" s="14">
        <v>11.38</v>
      </c>
      <c r="I392" s="14">
        <v>394.5</v>
      </c>
      <c r="J392" s="14">
        <v>6.6960000000000006E-2</v>
      </c>
      <c r="M392" s="16">
        <v>0</v>
      </c>
      <c r="O392" s="12">
        <f t="shared" si="18"/>
        <v>1</v>
      </c>
      <c r="P392" s="12">
        <f t="shared" si="19"/>
        <v>0</v>
      </c>
      <c r="R392" s="17">
        <v>-0.86216493245391179</v>
      </c>
      <c r="S392" s="17">
        <v>0.86592397083683859</v>
      </c>
      <c r="T392" s="17">
        <v>1.1492407566427856</v>
      </c>
      <c r="U392" s="17">
        <v>0.30971288832147947</v>
      </c>
      <c r="V392" s="17">
        <v>1.322038261257461</v>
      </c>
      <c r="W392" s="17">
        <v>-0.54000870393571332</v>
      </c>
      <c r="X392" s="17">
        <v>-0.93446499101467595</v>
      </c>
      <c r="Y392" s="17">
        <v>1.3623707400649003</v>
      </c>
      <c r="Z392" s="17">
        <v>0.73556995189170193</v>
      </c>
      <c r="AA392" s="17">
        <v>1.6983871669386827</v>
      </c>
      <c r="AB392" s="17">
        <v>-1.2113068807979621</v>
      </c>
      <c r="AC392" s="17">
        <v>1.5906603286575782</v>
      </c>
      <c r="AD392" s="17">
        <v>-0.8593627097567913</v>
      </c>
      <c r="AE392" s="17">
        <v>1.3374666300864129</v>
      </c>
      <c r="AF392" s="17">
        <v>1.6049118769290147</v>
      </c>
      <c r="AG392" s="17">
        <v>1.3481853892245086</v>
      </c>
      <c r="AH392" s="17">
        <v>0.33128292594394448</v>
      </c>
      <c r="AI392" s="17">
        <v>-1.6572512841003593</v>
      </c>
      <c r="AJ392" s="17">
        <v>-0.4315878441673433</v>
      </c>
      <c r="AK392" s="17">
        <v>-1.6306437875102042</v>
      </c>
      <c r="AM392" s="17">
        <v>-0.72976681430197399</v>
      </c>
      <c r="AN392" s="17">
        <v>0.7150261410254467</v>
      </c>
      <c r="AO392" s="17">
        <v>0.81830156091939876</v>
      </c>
      <c r="AP392" s="17">
        <v>0.31811879772724061</v>
      </c>
      <c r="AQ392" s="17">
        <v>0.87730712293975854</v>
      </c>
      <c r="AR392" s="17">
        <v>-0.54316390550122406</v>
      </c>
      <c r="AS392" s="17">
        <v>-0.76005481648560769</v>
      </c>
      <c r="AT392" s="17">
        <v>0.87440888419688656</v>
      </c>
      <c r="AU392" s="17">
        <v>0.681448650268762</v>
      </c>
      <c r="AV392" s="17">
        <v>0.93474101957217037</v>
      </c>
      <c r="AW392" s="17">
        <v>-0.82175482151231782</v>
      </c>
      <c r="AX392" s="17">
        <v>0.91879721090103861</v>
      </c>
      <c r="AY392" s="17">
        <v>-0.70318036105641335</v>
      </c>
      <c r="AZ392" s="17">
        <v>0.88388202963588747</v>
      </c>
      <c r="BA392" s="17">
        <v>0.91029041034279934</v>
      </c>
      <c r="BB392" s="17">
        <v>0.85940114388282685</v>
      </c>
      <c r="BC392" s="17">
        <v>0.3418914064824079</v>
      </c>
      <c r="BD392" s="17">
        <v>-0.93377304132916095</v>
      </c>
      <c r="BE392" s="17">
        <v>-0.42233357138293198</v>
      </c>
      <c r="BF392" s="17">
        <v>0.33064611467256061</v>
      </c>
      <c r="BK392" s="20">
        <v>1.0363601961074524</v>
      </c>
      <c r="BL392" s="20">
        <v>-3.641039155833619E-2</v>
      </c>
      <c r="BN392" s="21">
        <f t="shared" si="17"/>
        <v>0</v>
      </c>
    </row>
    <row r="393" spans="1:66">
      <c r="A393" s="14">
        <v>8.734</v>
      </c>
      <c r="B393" s="14">
        <v>16.84</v>
      </c>
      <c r="C393" s="14">
        <v>55.27</v>
      </c>
      <c r="D393" s="14">
        <v>234.3</v>
      </c>
      <c r="E393" s="14">
        <v>7.4279999999999999E-2</v>
      </c>
      <c r="F393" s="14">
        <v>0</v>
      </c>
      <c r="G393" s="14">
        <v>0</v>
      </c>
      <c r="H393" s="14">
        <v>10.17</v>
      </c>
      <c r="I393" s="14">
        <v>317</v>
      </c>
      <c r="J393" s="14">
        <v>0</v>
      </c>
      <c r="M393" s="16">
        <v>0</v>
      </c>
      <c r="O393" s="12">
        <f t="shared" si="18"/>
        <v>1</v>
      </c>
      <c r="P393" s="12">
        <f t="shared" si="19"/>
        <v>0</v>
      </c>
      <c r="R393" s="17">
        <v>-0.86216493245391179</v>
      </c>
      <c r="S393" s="17">
        <v>0.86592397083683859</v>
      </c>
      <c r="T393" s="17">
        <v>1.1492407566427856</v>
      </c>
      <c r="U393" s="17">
        <v>0.30971288832147947</v>
      </c>
      <c r="V393" s="17">
        <v>1.322038261257461</v>
      </c>
      <c r="W393" s="17">
        <v>-0.54000870393571332</v>
      </c>
      <c r="X393" s="17">
        <v>-0.93446499101467595</v>
      </c>
      <c r="Y393" s="17">
        <v>1.3623707400649003</v>
      </c>
      <c r="Z393" s="17">
        <v>0.73556995189170193</v>
      </c>
      <c r="AA393" s="17">
        <v>1.6983871669386827</v>
      </c>
      <c r="AB393" s="17">
        <v>-1.2113068807979621</v>
      </c>
      <c r="AC393" s="17">
        <v>1.5906603286575782</v>
      </c>
      <c r="AD393" s="17">
        <v>-0.8593627097567913</v>
      </c>
      <c r="AE393" s="17">
        <v>1.3374666300864129</v>
      </c>
      <c r="AF393" s="17">
        <v>1.6049118769290147</v>
      </c>
      <c r="AG393" s="17">
        <v>1.3481853892245086</v>
      </c>
      <c r="AH393" s="17">
        <v>0.33128292594394448</v>
      </c>
      <c r="AI393" s="17">
        <v>-1.6572512841003593</v>
      </c>
      <c r="AJ393" s="17">
        <v>-0.4315878441673433</v>
      </c>
      <c r="AK393" s="17">
        <v>-1.6312657747525963</v>
      </c>
      <c r="AM393" s="17">
        <v>-0.80266120900537563</v>
      </c>
      <c r="AN393" s="17">
        <v>0.75432740084775629</v>
      </c>
      <c r="AO393" s="17">
        <v>0.80430791665591195</v>
      </c>
      <c r="AP393" s="17">
        <v>0.36535034618432688</v>
      </c>
      <c r="AQ393" s="17">
        <v>0.90112663781083036</v>
      </c>
      <c r="AR393" s="17">
        <v>-0.65993713950368527</v>
      </c>
      <c r="AS393" s="17">
        <v>-0.8220586296773128</v>
      </c>
      <c r="AT393" s="17">
        <v>0.86801985189103614</v>
      </c>
      <c r="AU393" s="17">
        <v>0.79685183782591462</v>
      </c>
      <c r="AV393" s="17">
        <v>0.93387535274416977</v>
      </c>
      <c r="AW393" s="17">
        <v>-0.77525329292635359</v>
      </c>
      <c r="AX393" s="17">
        <v>0.91526269149413475</v>
      </c>
      <c r="AY393" s="17">
        <v>-0.72257279451936907</v>
      </c>
      <c r="AZ393" s="17">
        <v>0.91286865374410886</v>
      </c>
      <c r="BA393" s="17">
        <v>0.86928814774173468</v>
      </c>
      <c r="BB393" s="17">
        <v>0.81476582266274467</v>
      </c>
      <c r="BC393" s="17">
        <v>0.39979036996176798</v>
      </c>
      <c r="BD393" s="17">
        <v>-0.94356847287938328</v>
      </c>
      <c r="BE393" s="17">
        <v>-0.46356681695193941</v>
      </c>
      <c r="BF393" s="17">
        <v>0.47472827625180142</v>
      </c>
      <c r="BK393" s="20">
        <v>0.87689120084063199</v>
      </c>
      <c r="BL393" s="20">
        <v>0.12328309876049433</v>
      </c>
      <c r="BN393" s="21">
        <f t="shared" si="17"/>
        <v>0</v>
      </c>
    </row>
    <row r="394" spans="1:66">
      <c r="A394" s="14">
        <v>15.49</v>
      </c>
      <c r="B394" s="14">
        <v>19.97</v>
      </c>
      <c r="C394" s="14">
        <v>102.4</v>
      </c>
      <c r="D394" s="14">
        <v>744.7</v>
      </c>
      <c r="E394" s="14">
        <v>0.15620000000000001</v>
      </c>
      <c r="F394" s="14">
        <v>0.18909999999999999</v>
      </c>
      <c r="G394" s="14">
        <v>9.1130000000000003E-2</v>
      </c>
      <c r="H394" s="14">
        <v>21.2</v>
      </c>
      <c r="I394" s="14">
        <v>1359</v>
      </c>
      <c r="J394" s="14">
        <v>0.21210000000000001</v>
      </c>
      <c r="M394" s="16">
        <v>1</v>
      </c>
      <c r="O394" s="12">
        <f t="shared" si="18"/>
        <v>0</v>
      </c>
      <c r="P394" s="12">
        <f t="shared" si="19"/>
        <v>1</v>
      </c>
      <c r="R394" s="17">
        <v>-0.86216493245391179</v>
      </c>
      <c r="S394" s="17">
        <v>0.86592397083683859</v>
      </c>
      <c r="T394" s="17">
        <v>1.1492407566427856</v>
      </c>
      <c r="U394" s="17">
        <v>0.30971288832147947</v>
      </c>
      <c r="V394" s="17">
        <v>1.322038261257461</v>
      </c>
      <c r="W394" s="17">
        <v>-0.54000870393571332</v>
      </c>
      <c r="X394" s="17">
        <v>-0.93446499101467595</v>
      </c>
      <c r="Y394" s="17">
        <v>1.3623707400649003</v>
      </c>
      <c r="Z394" s="17">
        <v>0.73556995189170193</v>
      </c>
      <c r="AA394" s="17">
        <v>1.6983871669386827</v>
      </c>
      <c r="AB394" s="17">
        <v>-1.2113068807979621</v>
      </c>
      <c r="AC394" s="17">
        <v>1.5906603286575782</v>
      </c>
      <c r="AD394" s="17">
        <v>-0.8593627097567913</v>
      </c>
      <c r="AE394" s="17">
        <v>1.3374666300864129</v>
      </c>
      <c r="AF394" s="17">
        <v>1.6049118769290147</v>
      </c>
      <c r="AG394" s="17">
        <v>1.3481853892245086</v>
      </c>
      <c r="AH394" s="17">
        <v>0.33128292594394448</v>
      </c>
      <c r="AI394" s="17">
        <v>-1.6572512841003593</v>
      </c>
      <c r="AJ394" s="17">
        <v>-0.4315878441673433</v>
      </c>
      <c r="AK394" s="17">
        <v>0.36873422441298942</v>
      </c>
      <c r="AM394" s="17">
        <v>-0.73688220644456248</v>
      </c>
      <c r="AN394" s="17">
        <v>0.71869392845174029</v>
      </c>
      <c r="AO394" s="17">
        <v>0.80981420212177857</v>
      </c>
      <c r="AP394" s="17">
        <v>0.32228914660218744</v>
      </c>
      <c r="AQ394" s="17">
        <v>0.87961948196802253</v>
      </c>
      <c r="AR394" s="17">
        <v>-0.55422420744773571</v>
      </c>
      <c r="AS394" s="17">
        <v>-0.76610237739419496</v>
      </c>
      <c r="AT394" s="17">
        <v>0.87397742794458189</v>
      </c>
      <c r="AU394" s="17">
        <v>0.69315231037878522</v>
      </c>
      <c r="AV394" s="17">
        <v>0.93473484754558123</v>
      </c>
      <c r="AW394" s="17">
        <v>-0.81828930441923553</v>
      </c>
      <c r="AX394" s="17">
        <v>0.91857981414716539</v>
      </c>
      <c r="AY394" s="17">
        <v>-0.70500749058996115</v>
      </c>
      <c r="AZ394" s="17">
        <v>0.88675340821433102</v>
      </c>
      <c r="BA394" s="17">
        <v>0.90743230880091463</v>
      </c>
      <c r="BB394" s="17">
        <v>0.85614129481601919</v>
      </c>
      <c r="BC394" s="17">
        <v>0.34701776758437874</v>
      </c>
      <c r="BD394" s="17">
        <v>-0.93473186997212265</v>
      </c>
      <c r="BE394" s="17">
        <v>-0.42602358687237379</v>
      </c>
      <c r="BF394" s="17">
        <v>0.33148069875281239</v>
      </c>
      <c r="BK394" s="20">
        <v>1.0502498970303236</v>
      </c>
      <c r="BL394" s="20">
        <v>-5.0341997040574314E-2</v>
      </c>
      <c r="BN394" s="21">
        <f t="shared" si="17"/>
        <v>0</v>
      </c>
    </row>
    <row r="395" spans="1:66">
      <c r="A395" s="14">
        <v>21.61</v>
      </c>
      <c r="B395" s="14">
        <v>22.28</v>
      </c>
      <c r="C395" s="14">
        <v>144.4</v>
      </c>
      <c r="D395" s="14">
        <v>1407</v>
      </c>
      <c r="E395" s="14">
        <v>0.2087</v>
      </c>
      <c r="F395" s="14">
        <v>0.28100000000000003</v>
      </c>
      <c r="G395" s="14">
        <v>0.15620000000000001</v>
      </c>
      <c r="H395" s="14">
        <v>26.23</v>
      </c>
      <c r="I395" s="14">
        <v>2081</v>
      </c>
      <c r="J395" s="14">
        <v>0.2422</v>
      </c>
      <c r="M395" s="16">
        <v>1</v>
      </c>
      <c r="O395" s="12">
        <f t="shared" si="18"/>
        <v>0</v>
      </c>
      <c r="P395" s="12">
        <f t="shared" si="19"/>
        <v>1</v>
      </c>
      <c r="R395" s="17">
        <v>-0.86216493245391179</v>
      </c>
      <c r="S395" s="17">
        <v>0.86592397083683859</v>
      </c>
      <c r="T395" s="17">
        <v>1.1492407566427856</v>
      </c>
      <c r="U395" s="17">
        <v>0.30971288832147947</v>
      </c>
      <c r="V395" s="17">
        <v>1.322038261257461</v>
      </c>
      <c r="W395" s="17">
        <v>-0.54000870393571332</v>
      </c>
      <c r="X395" s="17">
        <v>-0.93446499101467595</v>
      </c>
      <c r="Y395" s="17">
        <v>1.3623707400649003</v>
      </c>
      <c r="Z395" s="17">
        <v>0.73556995189170193</v>
      </c>
      <c r="AA395" s="17">
        <v>1.6983871669386827</v>
      </c>
      <c r="AB395" s="17">
        <v>-1.2113068807979621</v>
      </c>
      <c r="AC395" s="17">
        <v>1.5906603286575782</v>
      </c>
      <c r="AD395" s="17">
        <v>-0.8593627097567913</v>
      </c>
      <c r="AE395" s="17">
        <v>1.3374666300864129</v>
      </c>
      <c r="AF395" s="17">
        <v>1.6049118769290147</v>
      </c>
      <c r="AG395" s="17">
        <v>1.3481853892245086</v>
      </c>
      <c r="AH395" s="17">
        <v>0.33128292594394448</v>
      </c>
      <c r="AI395" s="17">
        <v>-1.6572512841003593</v>
      </c>
      <c r="AJ395" s="17">
        <v>-0.4315878441673433</v>
      </c>
      <c r="AK395" s="17">
        <v>0.36873422441298942</v>
      </c>
      <c r="AM395" s="17">
        <v>-0.88934569454304535</v>
      </c>
      <c r="AN395" s="17">
        <v>0.76739033029788484</v>
      </c>
      <c r="AO395" s="17">
        <v>0.42207219196074464</v>
      </c>
      <c r="AP395" s="17">
        <v>0.43318213166023922</v>
      </c>
      <c r="AQ395" s="17">
        <v>0.90068158791471875</v>
      </c>
      <c r="AR395" s="17">
        <v>-0.83658533734560592</v>
      </c>
      <c r="AS395" s="17">
        <v>-0.89026279727991864</v>
      </c>
      <c r="AT395" s="17">
        <v>0.70835519446608197</v>
      </c>
      <c r="AU395" s="17">
        <v>0.93291112645670426</v>
      </c>
      <c r="AV395" s="17">
        <v>0.83899845904321679</v>
      </c>
      <c r="AW395" s="17">
        <v>-0.3104158275986148</v>
      </c>
      <c r="AX395" s="17">
        <v>0.78967339325485397</v>
      </c>
      <c r="AY395" s="17">
        <v>-0.66715879934719424</v>
      </c>
      <c r="AZ395" s="17">
        <v>0.92893649943694112</v>
      </c>
      <c r="BA395" s="17">
        <v>0.29138075579224076</v>
      </c>
      <c r="BB395" s="17">
        <v>0.31680107204420288</v>
      </c>
      <c r="BC395" s="17">
        <v>0.49301802022791658</v>
      </c>
      <c r="BD395" s="17">
        <v>-0.91895164271879148</v>
      </c>
      <c r="BE395" s="17">
        <v>-0.49581019372057933</v>
      </c>
      <c r="BF395" s="17">
        <v>0.51021238252276901</v>
      </c>
      <c r="BK395" s="20">
        <v>0.88037610110634634</v>
      </c>
      <c r="BL395" s="20">
        <v>0.11971646394794894</v>
      </c>
      <c r="BN395" s="21">
        <f t="shared" si="17"/>
        <v>0</v>
      </c>
    </row>
    <row r="396" spans="1:66">
      <c r="A396" s="14">
        <v>12.1</v>
      </c>
      <c r="B396" s="14">
        <v>17.72</v>
      </c>
      <c r="C396" s="14">
        <v>78.069999999999993</v>
      </c>
      <c r="D396" s="14">
        <v>446.2</v>
      </c>
      <c r="E396" s="14">
        <v>9.758E-2</v>
      </c>
      <c r="F396" s="14">
        <v>4.7829999999999998E-2</v>
      </c>
      <c r="G396" s="14">
        <v>3.3259999999999998E-2</v>
      </c>
      <c r="H396" s="14">
        <v>13.56</v>
      </c>
      <c r="I396" s="14">
        <v>559.5</v>
      </c>
      <c r="J396" s="14">
        <v>6.2659999999999993E-2</v>
      </c>
      <c r="M396" s="16">
        <v>0</v>
      </c>
      <c r="O396" s="12">
        <f t="shared" si="18"/>
        <v>1</v>
      </c>
      <c r="P396" s="12">
        <f t="shared" si="19"/>
        <v>0</v>
      </c>
      <c r="R396" s="17">
        <v>-0.86216493245391179</v>
      </c>
      <c r="S396" s="17">
        <v>0.86592397083683859</v>
      </c>
      <c r="T396" s="17">
        <v>1.1492407566427856</v>
      </c>
      <c r="U396" s="17">
        <v>0.30971288832147947</v>
      </c>
      <c r="V396" s="17">
        <v>1.322038261257461</v>
      </c>
      <c r="W396" s="17">
        <v>-0.54000870393571332</v>
      </c>
      <c r="X396" s="17">
        <v>-0.93446499101467595</v>
      </c>
      <c r="Y396" s="17">
        <v>1.3623707400649003</v>
      </c>
      <c r="Z396" s="17">
        <v>0.73556995189170193</v>
      </c>
      <c r="AA396" s="17">
        <v>1.6983871669386827</v>
      </c>
      <c r="AB396" s="17">
        <v>-1.2113068807979621</v>
      </c>
      <c r="AC396" s="17">
        <v>1.5906603286575782</v>
      </c>
      <c r="AD396" s="17">
        <v>-0.8593627097567913</v>
      </c>
      <c r="AE396" s="17">
        <v>1.3374666300864129</v>
      </c>
      <c r="AF396" s="17">
        <v>1.6049118769290147</v>
      </c>
      <c r="AG396" s="17">
        <v>1.3481853892245086</v>
      </c>
      <c r="AH396" s="17">
        <v>0.33128292594394448</v>
      </c>
      <c r="AI396" s="17">
        <v>-1.6572512841003593</v>
      </c>
      <c r="AJ396" s="17">
        <v>-0.4315878441673433</v>
      </c>
      <c r="AK396" s="17">
        <v>0.36873422441298942</v>
      </c>
      <c r="AM396" s="17">
        <v>-0.93182486396544806</v>
      </c>
      <c r="AN396" s="17">
        <v>0.80499047945540458</v>
      </c>
      <c r="AO396" s="17">
        <v>0.33544894211286519</v>
      </c>
      <c r="AP396" s="17">
        <v>0.4910330656580994</v>
      </c>
      <c r="AQ396" s="17">
        <v>0.92153657732017602</v>
      </c>
      <c r="AR396" s="17">
        <v>-0.90331462784931915</v>
      </c>
      <c r="AS396" s="17">
        <v>-0.92944684782551146</v>
      </c>
      <c r="AT396" s="17">
        <v>0.64672322245380753</v>
      </c>
      <c r="AU396" s="17">
        <v>0.96892931980922314</v>
      </c>
      <c r="AV396" s="17">
        <v>0.80732043398717224</v>
      </c>
      <c r="AW396" s="17">
        <v>-4.3315377800910229E-2</v>
      </c>
      <c r="AX396" s="17">
        <v>0.74060027806065676</v>
      </c>
      <c r="AY396" s="17">
        <v>-0.67914506797042518</v>
      </c>
      <c r="AZ396" s="17">
        <v>0.95031259168294757</v>
      </c>
      <c r="BA396" s="17">
        <v>-0.11474868594692407</v>
      </c>
      <c r="BB396" s="17">
        <v>7.9894205968909504E-3</v>
      </c>
      <c r="BC396" s="17">
        <v>0.56177424826444455</v>
      </c>
      <c r="BD396" s="17">
        <v>-0.92682313109022652</v>
      </c>
      <c r="BE396" s="17">
        <v>-0.54233322116859606</v>
      </c>
      <c r="BF396" s="17">
        <v>0.34580606206704639</v>
      </c>
      <c r="BK396" s="20">
        <v>1.0334751355042993</v>
      </c>
      <c r="BL396" s="20">
        <v>-3.3594209899985253E-2</v>
      </c>
      <c r="BN396" s="21">
        <f t="shared" si="17"/>
        <v>0</v>
      </c>
    </row>
    <row r="397" spans="1:66">
      <c r="A397" s="14">
        <v>14.06</v>
      </c>
      <c r="B397" s="14">
        <v>17.18</v>
      </c>
      <c r="C397" s="14">
        <v>89.75</v>
      </c>
      <c r="D397" s="14">
        <v>609.1</v>
      </c>
      <c r="E397" s="14">
        <v>5.3609999999999998E-2</v>
      </c>
      <c r="F397" s="14">
        <v>2.681E-2</v>
      </c>
      <c r="G397" s="14">
        <v>3.2509999999999997E-2</v>
      </c>
      <c r="H397" s="14">
        <v>14.92</v>
      </c>
      <c r="I397" s="14">
        <v>684.5</v>
      </c>
      <c r="J397" s="14">
        <v>7.911E-2</v>
      </c>
      <c r="M397" s="16">
        <v>0</v>
      </c>
      <c r="O397" s="12">
        <f t="shared" si="18"/>
        <v>1</v>
      </c>
      <c r="P397" s="12">
        <f t="shared" si="19"/>
        <v>0</v>
      </c>
      <c r="R397" s="17">
        <v>-0.86216493245391179</v>
      </c>
      <c r="S397" s="17">
        <v>0.86592397083683859</v>
      </c>
      <c r="T397" s="17">
        <v>1.1492407566427856</v>
      </c>
      <c r="U397" s="17">
        <v>0.30971288832147947</v>
      </c>
      <c r="V397" s="17">
        <v>1.322038261257461</v>
      </c>
      <c r="W397" s="17">
        <v>-0.54000870393571332</v>
      </c>
      <c r="X397" s="17">
        <v>-0.93446499101467595</v>
      </c>
      <c r="Y397" s="17">
        <v>1.3623707400649003</v>
      </c>
      <c r="Z397" s="17">
        <v>0.73556995189170193</v>
      </c>
      <c r="AA397" s="17">
        <v>1.6983871669386827</v>
      </c>
      <c r="AB397" s="17">
        <v>-1.2113068807979621</v>
      </c>
      <c r="AC397" s="17">
        <v>1.5906603286575782</v>
      </c>
      <c r="AD397" s="17">
        <v>-0.8593627097567913</v>
      </c>
      <c r="AE397" s="17">
        <v>1.3374666300864129</v>
      </c>
      <c r="AF397" s="17">
        <v>1.6049118769290147</v>
      </c>
      <c r="AG397" s="17">
        <v>1.3481853892245086</v>
      </c>
      <c r="AH397" s="17">
        <v>0.33128292594394448</v>
      </c>
      <c r="AI397" s="17">
        <v>-1.6572512841003593</v>
      </c>
      <c r="AJ397" s="17">
        <v>-0.4315878441673433</v>
      </c>
      <c r="AK397" s="17">
        <v>0.36873422441298942</v>
      </c>
      <c r="AM397" s="17">
        <v>-0.76910714041801564</v>
      </c>
      <c r="AN397" s="17">
        <v>0.71501799936024324</v>
      </c>
      <c r="AO397" s="17">
        <v>0.70029524482172822</v>
      </c>
      <c r="AP397" s="17">
        <v>0.3379475236785533</v>
      </c>
      <c r="AQ397" s="17">
        <v>0.87359479078558322</v>
      </c>
      <c r="AR397" s="17">
        <v>-0.62641427814564676</v>
      </c>
      <c r="AS397" s="17">
        <v>-0.78894000190216151</v>
      </c>
      <c r="AT397" s="17">
        <v>0.83217309452193111</v>
      </c>
      <c r="AU397" s="17">
        <v>0.76649812725488964</v>
      </c>
      <c r="AV397" s="17">
        <v>0.90960725348577176</v>
      </c>
      <c r="AW397" s="17">
        <v>-0.72638849403883787</v>
      </c>
      <c r="AX397" s="17">
        <v>0.8868948369194205</v>
      </c>
      <c r="AY397" s="17">
        <v>-0.68018285542483015</v>
      </c>
      <c r="AZ397" s="17">
        <v>0.88787124157599773</v>
      </c>
      <c r="BA397" s="17">
        <v>0.82813610577668284</v>
      </c>
      <c r="BB397" s="17">
        <v>0.76832438610571685</v>
      </c>
      <c r="BC397" s="17">
        <v>0.37106232906261455</v>
      </c>
      <c r="BD397" s="17">
        <v>-0.92290908865255761</v>
      </c>
      <c r="BE397" s="17">
        <v>-0.42922958620728258</v>
      </c>
      <c r="BF397" s="17">
        <v>2.2911749427237862E-2</v>
      </c>
      <c r="BK397" s="20">
        <v>0.17434879040278733</v>
      </c>
      <c r="BL397" s="20">
        <v>0.82570991647678449</v>
      </c>
      <c r="BN397" s="21">
        <f t="shared" si="17"/>
        <v>1</v>
      </c>
    </row>
    <row r="398" spans="1:66">
      <c r="A398" s="14">
        <v>13.51</v>
      </c>
      <c r="B398" s="14">
        <v>18.89</v>
      </c>
      <c r="C398" s="14">
        <v>88.1</v>
      </c>
      <c r="D398" s="14">
        <v>558.1</v>
      </c>
      <c r="E398" s="14">
        <v>0.1147</v>
      </c>
      <c r="F398" s="14">
        <v>8.5800000000000001E-2</v>
      </c>
      <c r="G398" s="14">
        <v>5.3809999999999997E-2</v>
      </c>
      <c r="H398" s="14">
        <v>14.8</v>
      </c>
      <c r="I398" s="14">
        <v>675.2</v>
      </c>
      <c r="J398" s="14">
        <v>0.14530000000000001</v>
      </c>
      <c r="M398" s="16">
        <v>0</v>
      </c>
      <c r="O398" s="12">
        <f t="shared" si="18"/>
        <v>1</v>
      </c>
      <c r="P398" s="12">
        <f t="shared" si="19"/>
        <v>0</v>
      </c>
      <c r="R398" s="17">
        <v>-0.86216493245391179</v>
      </c>
      <c r="S398" s="17">
        <v>0.86592397083683859</v>
      </c>
      <c r="T398" s="17">
        <v>1.1492407566427856</v>
      </c>
      <c r="U398" s="17">
        <v>0.30971288832147947</v>
      </c>
      <c r="V398" s="17">
        <v>1.322038261257461</v>
      </c>
      <c r="W398" s="17">
        <v>-0.54000870393571332</v>
      </c>
      <c r="X398" s="17">
        <v>-0.93446499101467595</v>
      </c>
      <c r="Y398" s="17">
        <v>1.3623707400649003</v>
      </c>
      <c r="Z398" s="17">
        <v>0.73556995189170193</v>
      </c>
      <c r="AA398" s="17">
        <v>1.6983871669386827</v>
      </c>
      <c r="AB398" s="17">
        <v>-1.2113068807979621</v>
      </c>
      <c r="AC398" s="17">
        <v>1.5906603286575782</v>
      </c>
      <c r="AD398" s="17">
        <v>-0.8593627097567913</v>
      </c>
      <c r="AE398" s="17">
        <v>1.3374666300864129</v>
      </c>
      <c r="AF398" s="17">
        <v>1.6049118769290147</v>
      </c>
      <c r="AG398" s="17">
        <v>1.3481853892245086</v>
      </c>
      <c r="AH398" s="17">
        <v>0.33128292594394448</v>
      </c>
      <c r="AI398" s="17">
        <v>-1.6572512841003593</v>
      </c>
      <c r="AJ398" s="17">
        <v>-0.4315878441673433</v>
      </c>
      <c r="AK398" s="17">
        <v>0.36873422441298942</v>
      </c>
      <c r="AM398" s="17">
        <v>-0.83694268714959219</v>
      </c>
      <c r="AN398" s="17">
        <v>0.72936709165087776</v>
      </c>
      <c r="AO398" s="17">
        <v>-0.74847037007566208</v>
      </c>
      <c r="AP398" s="17">
        <v>0.38230755737356681</v>
      </c>
      <c r="AQ398" s="17">
        <v>0.87757483535056058</v>
      </c>
      <c r="AR398" s="17">
        <v>-0.75478560732133704</v>
      </c>
      <c r="AS398" s="17">
        <v>-0.84313586107686589</v>
      </c>
      <c r="AT398" s="17">
        <v>0.74393533237899834</v>
      </c>
      <c r="AU398" s="17">
        <v>0.87714334757957002</v>
      </c>
      <c r="AV398" s="17">
        <v>0.85575230254914991</v>
      </c>
      <c r="AW398" s="17">
        <v>-0.48251840810437224</v>
      </c>
      <c r="AX398" s="17">
        <v>0.81678359407127188</v>
      </c>
      <c r="AY398" s="17">
        <v>-0.65234136766681272</v>
      </c>
      <c r="AZ398" s="17">
        <v>0.90364287182764469</v>
      </c>
      <c r="BA398" s="17">
        <v>0.54361588289681662</v>
      </c>
      <c r="BB398" s="17">
        <v>0.51183984323122766</v>
      </c>
      <c r="BC398" s="17">
        <v>0.43144843740204353</v>
      </c>
      <c r="BD398" s="17">
        <v>-0.90923878832701521</v>
      </c>
      <c r="BE398" s="17">
        <v>-0.45356036372488356</v>
      </c>
      <c r="BF398" s="17">
        <v>-0.63368247191282379</v>
      </c>
      <c r="BK398" s="20">
        <v>0.78582006171979424</v>
      </c>
      <c r="BL398" s="20">
        <v>0.21411228941836208</v>
      </c>
      <c r="BN398" s="21">
        <f t="shared" si="17"/>
        <v>0</v>
      </c>
    </row>
    <row r="399" spans="1:66">
      <c r="A399" s="14">
        <v>12.8</v>
      </c>
      <c r="B399" s="14">
        <v>17.46</v>
      </c>
      <c r="C399" s="14">
        <v>83.05</v>
      </c>
      <c r="D399" s="14">
        <v>508.3</v>
      </c>
      <c r="E399" s="14">
        <v>8.8950000000000001E-2</v>
      </c>
      <c r="F399" s="14">
        <v>7.3899999999999993E-2</v>
      </c>
      <c r="G399" s="14">
        <v>4.0829999999999998E-2</v>
      </c>
      <c r="H399" s="14">
        <v>13.74</v>
      </c>
      <c r="I399" s="14">
        <v>591</v>
      </c>
      <c r="J399" s="14">
        <v>8.2960000000000006E-2</v>
      </c>
      <c r="M399" s="16">
        <v>0</v>
      </c>
      <c r="O399" s="12">
        <f t="shared" si="18"/>
        <v>1</v>
      </c>
      <c r="P399" s="12">
        <f t="shared" si="19"/>
        <v>0</v>
      </c>
      <c r="R399" s="17">
        <v>-1.4643074708783446</v>
      </c>
      <c r="S399" s="17">
        <v>1.0359333700219733</v>
      </c>
      <c r="T399" s="17">
        <v>0.4503249130137873</v>
      </c>
      <c r="U399" s="17">
        <v>0.47751119115197871</v>
      </c>
      <c r="V399" s="17">
        <v>1.5052132201123889</v>
      </c>
      <c r="W399" s="17">
        <v>-1.2567352733816861</v>
      </c>
      <c r="X399" s="17">
        <v>-1.4659127711484521</v>
      </c>
      <c r="Y399" s="17">
        <v>0.877385815472147</v>
      </c>
      <c r="Z399" s="17">
        <v>1.7463530467411736</v>
      </c>
      <c r="AA399" s="17">
        <v>1.2163845753889837</v>
      </c>
      <c r="AB399" s="17">
        <v>-0.28839333793737798</v>
      </c>
      <c r="AC399" s="17">
        <v>1.0652147513376473</v>
      </c>
      <c r="AD399" s="17">
        <v>-0.81583654438301023</v>
      </c>
      <c r="AE399" s="17">
        <v>1.6894094608623824</v>
      </c>
      <c r="AF399" s="17">
        <v>0.2496334827590041</v>
      </c>
      <c r="AG399" s="17">
        <v>0.29010426800531797</v>
      </c>
      <c r="AH399" s="17">
        <v>0.55723475600471262</v>
      </c>
      <c r="AI399" s="17">
        <v>-1.603629768829455</v>
      </c>
      <c r="AJ399" s="17">
        <v>-0.55690825498325469</v>
      </c>
      <c r="AK399" s="17">
        <v>0.41256201738018505</v>
      </c>
      <c r="AM399" s="17">
        <v>-0.93263619367225736</v>
      </c>
      <c r="AN399" s="17">
        <v>0.79097848190724207</v>
      </c>
      <c r="AO399" s="17">
        <v>-0.14127688744909811</v>
      </c>
      <c r="AP399" s="17">
        <v>0.48892482332047288</v>
      </c>
      <c r="AQ399" s="17">
        <v>0.9108228208939797</v>
      </c>
      <c r="AR399" s="17">
        <v>-0.91022400071822906</v>
      </c>
      <c r="AS399" s="17">
        <v>-0.92865627608906098</v>
      </c>
      <c r="AT399" s="17">
        <v>0.55899297260691727</v>
      </c>
      <c r="AU399" s="17">
        <v>0.97220424630281554</v>
      </c>
      <c r="AV399" s="17">
        <v>0.74407167373550764</v>
      </c>
      <c r="AW399" s="17">
        <v>0.12955467577578789</v>
      </c>
      <c r="AX399" s="17">
        <v>0.66098719617311663</v>
      </c>
      <c r="AY399" s="17">
        <v>-0.64538521228492318</v>
      </c>
      <c r="AZ399" s="17">
        <v>0.94518787501150858</v>
      </c>
      <c r="BA399" s="17">
        <v>-0.34429776948323959</v>
      </c>
      <c r="BB399" s="17">
        <v>-0.18624351104807846</v>
      </c>
      <c r="BC399" s="17">
        <v>0.56302012123372425</v>
      </c>
      <c r="BD399" s="17">
        <v>-0.90912379693640399</v>
      </c>
      <c r="BE399" s="17">
        <v>-0.53162262656983639</v>
      </c>
      <c r="BF399" s="17">
        <v>4.3482129064978614E-2</v>
      </c>
      <c r="BK399" s="20">
        <v>1.0333015841911317</v>
      </c>
      <c r="BL399" s="20">
        <v>-3.3268564084672797E-2</v>
      </c>
      <c r="BN399" s="21">
        <f t="shared" si="17"/>
        <v>0</v>
      </c>
    </row>
    <row r="400" spans="1:66">
      <c r="A400" s="14">
        <v>11.06</v>
      </c>
      <c r="B400" s="14">
        <v>14.83</v>
      </c>
      <c r="C400" s="14">
        <v>70.31</v>
      </c>
      <c r="D400" s="14">
        <v>378.2</v>
      </c>
      <c r="E400" s="14">
        <v>4.768E-2</v>
      </c>
      <c r="F400" s="14">
        <v>2.7119999999999998E-2</v>
      </c>
      <c r="G400" s="14">
        <v>7.2459999999999998E-3</v>
      </c>
      <c r="H400" s="14">
        <v>12.68</v>
      </c>
      <c r="I400" s="14">
        <v>496.7</v>
      </c>
      <c r="J400" s="14">
        <v>5.5559999999999998E-2</v>
      </c>
      <c r="M400" s="16">
        <v>0</v>
      </c>
      <c r="O400" s="12">
        <f t="shared" si="18"/>
        <v>1</v>
      </c>
      <c r="P400" s="12">
        <f t="shared" si="19"/>
        <v>0</v>
      </c>
      <c r="R400" s="17">
        <v>-1.4643074708783446</v>
      </c>
      <c r="S400" s="17">
        <v>1.0359333700219733</v>
      </c>
      <c r="T400" s="17">
        <v>0.4503249130137873</v>
      </c>
      <c r="U400" s="17">
        <v>0.47751119115197871</v>
      </c>
      <c r="V400" s="17">
        <v>1.5052132201123889</v>
      </c>
      <c r="W400" s="17">
        <v>-1.2567352733816861</v>
      </c>
      <c r="X400" s="17">
        <v>-1.4659127711484521</v>
      </c>
      <c r="Y400" s="17">
        <v>0.877385815472147</v>
      </c>
      <c r="Z400" s="17">
        <v>1.7463530467411736</v>
      </c>
      <c r="AA400" s="17">
        <v>1.2163845753889837</v>
      </c>
      <c r="AB400" s="17">
        <v>-0.28839333793737798</v>
      </c>
      <c r="AC400" s="17">
        <v>1.0652147513376473</v>
      </c>
      <c r="AD400" s="17">
        <v>-0.81583654438301023</v>
      </c>
      <c r="AE400" s="17">
        <v>1.6894094608623824</v>
      </c>
      <c r="AF400" s="17">
        <v>0.2496334827590041</v>
      </c>
      <c r="AG400" s="17">
        <v>0.29010426800531797</v>
      </c>
      <c r="AH400" s="17">
        <v>0.55723475600471262</v>
      </c>
      <c r="AI400" s="17">
        <v>-1.603629768829455</v>
      </c>
      <c r="AJ400" s="17">
        <v>-0.55690825498325469</v>
      </c>
      <c r="AK400" s="17">
        <v>0.41256201738018505</v>
      </c>
      <c r="AM400" s="17">
        <v>-0.89244907118205252</v>
      </c>
      <c r="AN400" s="17">
        <v>0.7665687293872917</v>
      </c>
      <c r="AO400" s="17">
        <v>0.37820042465864001</v>
      </c>
      <c r="AP400" s="17">
        <v>0.4360175752187625</v>
      </c>
      <c r="AQ400" s="17">
        <v>0.89953294087471214</v>
      </c>
      <c r="AR400" s="17">
        <v>-0.84329400226135032</v>
      </c>
      <c r="AS400" s="17">
        <v>-0.89263158900414963</v>
      </c>
      <c r="AT400" s="17">
        <v>0.69165984467655173</v>
      </c>
      <c r="AU400" s="17">
        <v>0.93698687120921587</v>
      </c>
      <c r="AV400" s="17">
        <v>0.82801358335275699</v>
      </c>
      <c r="AW400" s="17">
        <v>-0.26599325284269137</v>
      </c>
      <c r="AX400" s="17">
        <v>0.77548301227431371</v>
      </c>
      <c r="AY400" s="17">
        <v>-0.66138664902391719</v>
      </c>
      <c r="AZ400" s="17">
        <v>0.92899589113519965</v>
      </c>
      <c r="BA400" s="17">
        <v>0.22665254747359415</v>
      </c>
      <c r="BB400" s="17">
        <v>0.26635664125818059</v>
      </c>
      <c r="BC400" s="17">
        <v>0.49722054780911451</v>
      </c>
      <c r="BD400" s="17">
        <v>-0.91598796027170104</v>
      </c>
      <c r="BE400" s="17">
        <v>-0.49626423890848237</v>
      </c>
      <c r="BF400" s="17">
        <v>0.4013838544794423</v>
      </c>
      <c r="BK400" s="20">
        <v>1.0166967432209815</v>
      </c>
      <c r="BL400" s="20">
        <v>-1.6823479571545966E-2</v>
      </c>
      <c r="BN400" s="21">
        <f t="shared" si="17"/>
        <v>0</v>
      </c>
    </row>
    <row r="401" spans="1:66">
      <c r="A401" s="14">
        <v>11.8</v>
      </c>
      <c r="B401" s="14">
        <v>17.260000000000002</v>
      </c>
      <c r="C401" s="14">
        <v>75.260000000000005</v>
      </c>
      <c r="D401" s="14">
        <v>431.9</v>
      </c>
      <c r="E401" s="14">
        <v>6.232E-2</v>
      </c>
      <c r="F401" s="14">
        <v>2.853E-2</v>
      </c>
      <c r="G401" s="14">
        <v>1.6379999999999999E-2</v>
      </c>
      <c r="H401" s="14">
        <v>13.45</v>
      </c>
      <c r="I401" s="14">
        <v>562</v>
      </c>
      <c r="J401" s="14">
        <v>5.3560000000000003E-2</v>
      </c>
      <c r="M401" s="16">
        <v>0</v>
      </c>
      <c r="O401" s="12">
        <f t="shared" si="18"/>
        <v>1</v>
      </c>
      <c r="P401" s="12">
        <f t="shared" si="19"/>
        <v>0</v>
      </c>
      <c r="R401" s="17">
        <v>-0.86216493245391179</v>
      </c>
      <c r="S401" s="17">
        <v>0.86592397083683859</v>
      </c>
      <c r="T401" s="17">
        <v>1.1492407566427856</v>
      </c>
      <c r="U401" s="17">
        <v>0.30971288832147947</v>
      </c>
      <c r="V401" s="17">
        <v>1.322038261257461</v>
      </c>
      <c r="W401" s="17">
        <v>-0.54000870393571332</v>
      </c>
      <c r="X401" s="17">
        <v>-0.93446499101467595</v>
      </c>
      <c r="Y401" s="17">
        <v>1.3623707400649003</v>
      </c>
      <c r="Z401" s="17">
        <v>0.73556995189170193</v>
      </c>
      <c r="AA401" s="17">
        <v>1.6983871669386827</v>
      </c>
      <c r="AB401" s="17">
        <v>-1.2113068807979621</v>
      </c>
      <c r="AC401" s="17">
        <v>1.5906603286575782</v>
      </c>
      <c r="AD401" s="17">
        <v>-0.8593627097567913</v>
      </c>
      <c r="AE401" s="17">
        <v>1.3374666300864129</v>
      </c>
      <c r="AF401" s="17">
        <v>1.6049118769290147</v>
      </c>
      <c r="AG401" s="17">
        <v>1.3481853892245086</v>
      </c>
      <c r="AH401" s="17">
        <v>0.33128292594394448</v>
      </c>
      <c r="AI401" s="17">
        <v>-1.6572512841003593</v>
      </c>
      <c r="AJ401" s="17">
        <v>-0.4315878441673433</v>
      </c>
      <c r="AK401" s="17">
        <v>0.36861350156267281</v>
      </c>
      <c r="AM401" s="17">
        <v>-0.72669017210356446</v>
      </c>
      <c r="AN401" s="17">
        <v>0.7220895682073577</v>
      </c>
      <c r="AO401" s="17">
        <v>0.84562184040701727</v>
      </c>
      <c r="AP401" s="17">
        <v>0.31812813116925032</v>
      </c>
      <c r="AQ401" s="17">
        <v>0.88316505197152662</v>
      </c>
      <c r="AR401" s="17">
        <v>-0.52844408366450024</v>
      </c>
      <c r="AS401" s="17">
        <v>-0.75954972066434645</v>
      </c>
      <c r="AT401" s="17">
        <v>0.88773792476538171</v>
      </c>
      <c r="AU401" s="17">
        <v>0.66515682867236636</v>
      </c>
      <c r="AV401" s="17">
        <v>0.9428437262307845</v>
      </c>
      <c r="AW401" s="17">
        <v>-0.84522253482159526</v>
      </c>
      <c r="AX401" s="17">
        <v>0.92870628958262813</v>
      </c>
      <c r="AY401" s="17">
        <v>-0.71551756373073627</v>
      </c>
      <c r="AZ401" s="17">
        <v>0.88780060026758845</v>
      </c>
      <c r="BA401" s="17">
        <v>0.92714650446511571</v>
      </c>
      <c r="BB401" s="17">
        <v>0.88055633174354397</v>
      </c>
      <c r="BC401" s="17">
        <v>0.33990024169878391</v>
      </c>
      <c r="BD401" s="17">
        <v>-0.93946668945428746</v>
      </c>
      <c r="BE401" s="17">
        <v>-0.42667967942604745</v>
      </c>
      <c r="BF401" s="17">
        <v>0.54766407907258907</v>
      </c>
      <c r="BK401" s="20">
        <v>1.0096890441709518</v>
      </c>
      <c r="BL401" s="20">
        <v>-9.7157941880532221E-3</v>
      </c>
      <c r="BN401" s="21">
        <f t="shared" si="17"/>
        <v>0</v>
      </c>
    </row>
    <row r="402" spans="1:66">
      <c r="A402" s="14">
        <v>17.91</v>
      </c>
      <c r="B402" s="14">
        <v>21.02</v>
      </c>
      <c r="C402" s="14">
        <v>124.4</v>
      </c>
      <c r="D402" s="14">
        <v>994</v>
      </c>
      <c r="E402" s="14">
        <v>0.2576</v>
      </c>
      <c r="F402" s="14">
        <v>0.31890000000000002</v>
      </c>
      <c r="G402" s="14">
        <v>0.1198</v>
      </c>
      <c r="H402" s="14">
        <v>20.8</v>
      </c>
      <c r="I402" s="14">
        <v>1304</v>
      </c>
      <c r="J402" s="14">
        <v>0.19639999999999999</v>
      </c>
      <c r="M402" s="16">
        <v>1</v>
      </c>
      <c r="O402" s="12">
        <f t="shared" si="18"/>
        <v>0</v>
      </c>
      <c r="P402" s="12">
        <f t="shared" si="19"/>
        <v>1</v>
      </c>
      <c r="R402" s="17">
        <v>-1.4643074708783446</v>
      </c>
      <c r="S402" s="17">
        <v>1.0359333700219733</v>
      </c>
      <c r="T402" s="17">
        <v>-1.5496750869862126</v>
      </c>
      <c r="U402" s="17">
        <v>0.47751119115197871</v>
      </c>
      <c r="V402" s="17">
        <v>1.5052132201123889</v>
      </c>
      <c r="W402" s="17">
        <v>-1.2567352733816861</v>
      </c>
      <c r="X402" s="17">
        <v>-1.4659127711484521</v>
      </c>
      <c r="Y402" s="17">
        <v>0.877385815472147</v>
      </c>
      <c r="Z402" s="17">
        <v>1.7463530467411736</v>
      </c>
      <c r="AA402" s="17">
        <v>1.2163845753889837</v>
      </c>
      <c r="AB402" s="17">
        <v>-0.28839333793737798</v>
      </c>
      <c r="AC402" s="17">
        <v>1.0652147513376473</v>
      </c>
      <c r="AD402" s="17">
        <v>-0.81583654438301023</v>
      </c>
      <c r="AE402" s="17">
        <v>1.6894094608623824</v>
      </c>
      <c r="AF402" s="17">
        <v>0.2496334827590041</v>
      </c>
      <c r="AG402" s="17">
        <v>0.29010426800531797</v>
      </c>
      <c r="AH402" s="17">
        <v>0.55723475600471262</v>
      </c>
      <c r="AI402" s="17">
        <v>-1.603629768829455</v>
      </c>
      <c r="AJ402" s="17">
        <v>-0.55690825498325469</v>
      </c>
      <c r="AK402" s="17">
        <v>-1.5874379826198148</v>
      </c>
      <c r="AM402" s="17">
        <v>-0.87728474103242715</v>
      </c>
      <c r="AN402" s="17">
        <v>0.7617773595506212</v>
      </c>
      <c r="AO402" s="17">
        <v>0.74286302460712517</v>
      </c>
      <c r="AP402" s="17">
        <v>0.42084854050695808</v>
      </c>
      <c r="AQ402" s="17">
        <v>0.89813850251665395</v>
      </c>
      <c r="AR402" s="17">
        <v>-0.81533601112792509</v>
      </c>
      <c r="AS402" s="17">
        <v>-0.87988701020229088</v>
      </c>
      <c r="AT402" s="17">
        <v>0.73278413547538523</v>
      </c>
      <c r="AU402" s="17">
        <v>0.91951703737934243</v>
      </c>
      <c r="AV402" s="17">
        <v>0.85363829001648461</v>
      </c>
      <c r="AW402" s="17">
        <v>-0.39128877346175228</v>
      </c>
      <c r="AX402" s="17">
        <v>0.80964979461266862</v>
      </c>
      <c r="AY402" s="17">
        <v>-0.67098472380293162</v>
      </c>
      <c r="AZ402" s="17">
        <v>0.92478984388669749</v>
      </c>
      <c r="BA402" s="17">
        <v>0.40955793418096931</v>
      </c>
      <c r="BB402" s="17">
        <v>0.40848626441533131</v>
      </c>
      <c r="BC402" s="17">
        <v>0.47727720776325744</v>
      </c>
      <c r="BD402" s="17">
        <v>-0.92056187658273125</v>
      </c>
      <c r="BE402" s="17">
        <v>-0.48775611328810703</v>
      </c>
      <c r="BF402" s="17">
        <v>0.8037954102869298</v>
      </c>
      <c r="BK402" s="20">
        <v>1.0436624552702518</v>
      </c>
      <c r="BL402" s="20">
        <v>-4.3727026275449131E-2</v>
      </c>
      <c r="BN402" s="21">
        <f t="shared" si="17"/>
        <v>0</v>
      </c>
    </row>
    <row r="403" spans="1:66">
      <c r="A403" s="14">
        <v>11.93</v>
      </c>
      <c r="B403" s="14">
        <v>10.91</v>
      </c>
      <c r="C403" s="14">
        <v>76.14</v>
      </c>
      <c r="D403" s="14">
        <v>442.7</v>
      </c>
      <c r="E403" s="14">
        <v>5.2420000000000001E-2</v>
      </c>
      <c r="F403" s="14">
        <v>2.606E-2</v>
      </c>
      <c r="G403" s="14">
        <v>1.796E-2</v>
      </c>
      <c r="H403" s="14">
        <v>13.8</v>
      </c>
      <c r="I403" s="14">
        <v>589.5</v>
      </c>
      <c r="J403" s="14">
        <v>6.8760000000000002E-2</v>
      </c>
      <c r="M403" s="16">
        <v>0</v>
      </c>
      <c r="O403" s="12">
        <f t="shared" si="18"/>
        <v>1</v>
      </c>
      <c r="P403" s="12">
        <f t="shared" si="19"/>
        <v>0</v>
      </c>
      <c r="R403" s="17">
        <v>-1.4643074708783446</v>
      </c>
      <c r="S403" s="17">
        <v>1.0359333700219733</v>
      </c>
      <c r="T403" s="17">
        <v>0.4503249130137873</v>
      </c>
      <c r="U403" s="17">
        <v>0.47751119115197871</v>
      </c>
      <c r="V403" s="17">
        <v>1.5052132201123889</v>
      </c>
      <c r="W403" s="17">
        <v>-1.2567352733816861</v>
      </c>
      <c r="X403" s="17">
        <v>-1.4659127711484521</v>
      </c>
      <c r="Y403" s="17">
        <v>0.877385815472147</v>
      </c>
      <c r="Z403" s="17">
        <v>1.7463530467411736</v>
      </c>
      <c r="AA403" s="17">
        <v>1.2163845753889837</v>
      </c>
      <c r="AB403" s="17">
        <v>-0.28839333793737798</v>
      </c>
      <c r="AC403" s="17">
        <v>1.0652147513376473</v>
      </c>
      <c r="AD403" s="17">
        <v>-0.81583654438301023</v>
      </c>
      <c r="AE403" s="17">
        <v>1.6894094608623824</v>
      </c>
      <c r="AF403" s="17">
        <v>0.2496334827590041</v>
      </c>
      <c r="AG403" s="17">
        <v>0.29010426800531797</v>
      </c>
      <c r="AH403" s="17">
        <v>0.55723475600471262</v>
      </c>
      <c r="AI403" s="17">
        <v>-1.603629768829455</v>
      </c>
      <c r="AJ403" s="17">
        <v>-0.55690825498325469</v>
      </c>
      <c r="AK403" s="17">
        <v>0.41256201738018505</v>
      </c>
      <c r="AM403" s="17">
        <v>-0.89820780626228724</v>
      </c>
      <c r="AN403" s="17">
        <v>0.76393173918509849</v>
      </c>
      <c r="AO403" s="17">
        <v>0.16766821253465061</v>
      </c>
      <c r="AP403" s="17">
        <v>0.44123985888846068</v>
      </c>
      <c r="AQ403" s="17">
        <v>0.89644361072546819</v>
      </c>
      <c r="AR403" s="17">
        <v>-0.85605866980355882</v>
      </c>
      <c r="AS403" s="17">
        <v>-0.89693074695789998</v>
      </c>
      <c r="AT403" s="17">
        <v>0.65249654400572732</v>
      </c>
      <c r="AU403" s="17">
        <v>0.94449687764565893</v>
      </c>
      <c r="AV403" s="17">
        <v>0.80145659653170231</v>
      </c>
      <c r="AW403" s="17">
        <v>-0.16721454130299962</v>
      </c>
      <c r="AX403" s="17">
        <v>0.74149631622872292</v>
      </c>
      <c r="AY403" s="17">
        <v>-0.64786815093597883</v>
      </c>
      <c r="AZ403" s="17">
        <v>0.92864887957197795</v>
      </c>
      <c r="BA403" s="17">
        <v>8.2188402033993926E-2</v>
      </c>
      <c r="BB403" s="17">
        <v>0.15371604538205844</v>
      </c>
      <c r="BC403" s="17">
        <v>0.50524247167256653</v>
      </c>
      <c r="BD403" s="17">
        <v>-0.90876159521283839</v>
      </c>
      <c r="BE403" s="17">
        <v>-0.49637323835465436</v>
      </c>
      <c r="BF403" s="17">
        <v>0.25170368464309278</v>
      </c>
      <c r="BK403" s="20">
        <v>0.30394967266639183</v>
      </c>
      <c r="BL403" s="20">
        <v>0.69612317997497952</v>
      </c>
      <c r="BN403" s="21">
        <f t="shared" ref="BN403:BN466" si="20">IF(BK403&gt;BL403,0,1)</f>
        <v>1</v>
      </c>
    </row>
    <row r="404" spans="1:66">
      <c r="A404" s="14">
        <v>12.96</v>
      </c>
      <c r="B404" s="14">
        <v>18.29</v>
      </c>
      <c r="C404" s="14">
        <v>84.18</v>
      </c>
      <c r="D404" s="14">
        <v>525.20000000000005</v>
      </c>
      <c r="E404" s="14">
        <v>7.8990000000000005E-2</v>
      </c>
      <c r="F404" s="14">
        <v>4.0570000000000002E-2</v>
      </c>
      <c r="G404" s="14">
        <v>1.883E-2</v>
      </c>
      <c r="H404" s="14">
        <v>14.13</v>
      </c>
      <c r="I404" s="14">
        <v>621.9</v>
      </c>
      <c r="J404" s="14">
        <v>6.608E-2</v>
      </c>
      <c r="M404" s="16">
        <v>0</v>
      </c>
      <c r="O404" s="12">
        <f t="shared" si="18"/>
        <v>1</v>
      </c>
      <c r="P404" s="12">
        <f t="shared" si="19"/>
        <v>0</v>
      </c>
      <c r="R404" s="17">
        <v>-1.4643074708783446</v>
      </c>
      <c r="S404" s="17">
        <v>1.0359333700219733</v>
      </c>
      <c r="T404" s="17">
        <v>0.4503249130137873</v>
      </c>
      <c r="U404" s="17">
        <v>0.47751119115197871</v>
      </c>
      <c r="V404" s="17">
        <v>1.5052132201123889</v>
      </c>
      <c r="W404" s="17">
        <v>-1.2567352733816861</v>
      </c>
      <c r="X404" s="17">
        <v>-1.4659127711484521</v>
      </c>
      <c r="Y404" s="17">
        <v>0.877385815472147</v>
      </c>
      <c r="Z404" s="17">
        <v>1.7463530467411736</v>
      </c>
      <c r="AA404" s="17">
        <v>1.2163845753889837</v>
      </c>
      <c r="AB404" s="17">
        <v>-0.28839333793737798</v>
      </c>
      <c r="AC404" s="17">
        <v>1.0652147513376473</v>
      </c>
      <c r="AD404" s="17">
        <v>-0.81583654438301023</v>
      </c>
      <c r="AE404" s="17">
        <v>1.6894094608623824</v>
      </c>
      <c r="AF404" s="17">
        <v>0.2496334827590041</v>
      </c>
      <c r="AG404" s="17">
        <v>0.29010426800531797</v>
      </c>
      <c r="AH404" s="17">
        <v>0.55723475600471262</v>
      </c>
      <c r="AI404" s="17">
        <v>-1.603629768829455</v>
      </c>
      <c r="AJ404" s="17">
        <v>-0.55690825498325469</v>
      </c>
      <c r="AK404" s="17">
        <v>0.41256201738018505</v>
      </c>
      <c r="AM404" s="17">
        <v>-0.73220014880425133</v>
      </c>
      <c r="AN404" s="17">
        <v>0.71611109261705108</v>
      </c>
      <c r="AO404" s="17">
        <v>0.82089581612781426</v>
      </c>
      <c r="AP404" s="17">
        <v>0.31950196789982932</v>
      </c>
      <c r="AQ404" s="17">
        <v>0.87796494404033554</v>
      </c>
      <c r="AR404" s="17">
        <v>-0.54712472766742615</v>
      </c>
      <c r="AS404" s="17">
        <v>-0.76208317550800508</v>
      </c>
      <c r="AT404" s="17">
        <v>0.87399930685777261</v>
      </c>
      <c r="AU404" s="17">
        <v>0.68566616516958345</v>
      </c>
      <c r="AV404" s="17">
        <v>0.93457507874919465</v>
      </c>
      <c r="AW404" s="17">
        <v>-0.82013577045486374</v>
      </c>
      <c r="AX404" s="17">
        <v>0.91852497844357484</v>
      </c>
      <c r="AY404" s="17">
        <v>-0.70354913668832275</v>
      </c>
      <c r="AZ404" s="17">
        <v>0.88476609773517811</v>
      </c>
      <c r="BA404" s="17">
        <v>0.90899614806207718</v>
      </c>
      <c r="BB404" s="17">
        <v>0.85789267528661894</v>
      </c>
      <c r="BC404" s="17">
        <v>0.34363013217346422</v>
      </c>
      <c r="BD404" s="17">
        <v>-0.93397999623319272</v>
      </c>
      <c r="BE404" s="17">
        <v>-0.42347544102486778</v>
      </c>
      <c r="BF404" s="17">
        <v>0.4319256842632398</v>
      </c>
      <c r="BK404" s="20">
        <v>1.049615014769574</v>
      </c>
      <c r="BL404" s="20">
        <v>-4.9686325905225433E-2</v>
      </c>
      <c r="BN404" s="21">
        <f t="shared" si="20"/>
        <v>0</v>
      </c>
    </row>
    <row r="405" spans="1:66">
      <c r="A405" s="14">
        <v>12.94</v>
      </c>
      <c r="B405" s="14">
        <v>16.170000000000002</v>
      </c>
      <c r="C405" s="14">
        <v>83.18</v>
      </c>
      <c r="D405" s="14">
        <v>507.6</v>
      </c>
      <c r="E405" s="14">
        <v>8.8359999999999994E-2</v>
      </c>
      <c r="F405" s="14">
        <v>3.2960000000000003E-2</v>
      </c>
      <c r="G405" s="14">
        <v>2.3900000000000001E-2</v>
      </c>
      <c r="H405" s="14">
        <v>13.86</v>
      </c>
      <c r="I405" s="14">
        <v>580.9</v>
      </c>
      <c r="J405" s="14">
        <v>8.3879999999999996E-2</v>
      </c>
      <c r="M405" s="16">
        <v>0</v>
      </c>
      <c r="O405" s="12">
        <f t="shared" si="18"/>
        <v>1</v>
      </c>
      <c r="P405" s="12">
        <f t="shared" si="19"/>
        <v>0</v>
      </c>
      <c r="R405" s="17">
        <v>-0.86216493245391179</v>
      </c>
      <c r="S405" s="17">
        <v>0.86592397083683859</v>
      </c>
      <c r="T405" s="17">
        <v>1.1492407566427856</v>
      </c>
      <c r="U405" s="17">
        <v>0.30971288832147947</v>
      </c>
      <c r="V405" s="17">
        <v>1.322038261257461</v>
      </c>
      <c r="W405" s="17">
        <v>-0.54000870393571332</v>
      </c>
      <c r="X405" s="17">
        <v>-0.93446499101467595</v>
      </c>
      <c r="Y405" s="17">
        <v>1.3623707400649003</v>
      </c>
      <c r="Z405" s="17">
        <v>0.73556995189170193</v>
      </c>
      <c r="AA405" s="17">
        <v>1.6983871669386827</v>
      </c>
      <c r="AB405" s="17">
        <v>-1.2113068807979621</v>
      </c>
      <c r="AC405" s="17">
        <v>1.5906603286575782</v>
      </c>
      <c r="AD405" s="17">
        <v>-0.8593627097567913</v>
      </c>
      <c r="AE405" s="17">
        <v>1.3374666300864129</v>
      </c>
      <c r="AF405" s="17">
        <v>1.6049118769290147</v>
      </c>
      <c r="AG405" s="17">
        <v>1.3481853892245086</v>
      </c>
      <c r="AH405" s="17">
        <v>0.33128292594394448</v>
      </c>
      <c r="AI405" s="17">
        <v>-1.6572512841003593</v>
      </c>
      <c r="AJ405" s="17">
        <v>-0.4315878441673433</v>
      </c>
      <c r="AK405" s="17">
        <v>0.36873422441298942</v>
      </c>
      <c r="AM405" s="17">
        <v>-0.77663469202002433</v>
      </c>
      <c r="AN405" s="17">
        <v>0.74459358285021904</v>
      </c>
      <c r="AO405" s="17">
        <v>0.85742804523328364</v>
      </c>
      <c r="AP405" s="17">
        <v>0.3482588645735088</v>
      </c>
      <c r="AQ405" s="17">
        <v>0.89620254657629372</v>
      </c>
      <c r="AR405" s="17">
        <v>-0.6121797025952701</v>
      </c>
      <c r="AS405" s="17">
        <v>-0.800966121961735</v>
      </c>
      <c r="AT405" s="17">
        <v>0.87912995733982757</v>
      </c>
      <c r="AU405" s="17">
        <v>0.75167343869542391</v>
      </c>
      <c r="AV405" s="17">
        <v>0.93941391765465976</v>
      </c>
      <c r="AW405" s="17">
        <v>-0.81053744502227654</v>
      </c>
      <c r="AX405" s="17">
        <v>0.92306893763492803</v>
      </c>
      <c r="AY405" s="17">
        <v>-0.72307563603707226</v>
      </c>
      <c r="AZ405" s="17">
        <v>0.90522843144724696</v>
      </c>
      <c r="BA405" s="17">
        <v>0.89972034179248261</v>
      </c>
      <c r="BB405" s="17">
        <v>0.84839524183850568</v>
      </c>
      <c r="BC405" s="17">
        <v>0.37771655789892272</v>
      </c>
      <c r="BD405" s="17">
        <v>-0.9434292188519412</v>
      </c>
      <c r="BE405" s="17">
        <v>-0.45132177499010756</v>
      </c>
      <c r="BF405" s="17">
        <v>0.60691946924216167</v>
      </c>
      <c r="BK405" s="20">
        <v>0.99563294150397696</v>
      </c>
      <c r="BL405" s="20">
        <v>4.3902884155019306E-3</v>
      </c>
      <c r="BN405" s="21">
        <f t="shared" si="20"/>
        <v>0</v>
      </c>
    </row>
    <row r="406" spans="1:66">
      <c r="A406" s="14">
        <v>12.34</v>
      </c>
      <c r="B406" s="14">
        <v>14.95</v>
      </c>
      <c r="C406" s="14">
        <v>78.290000000000006</v>
      </c>
      <c r="D406" s="14">
        <v>469.1</v>
      </c>
      <c r="E406" s="14">
        <v>4.5710000000000001E-2</v>
      </c>
      <c r="F406" s="14">
        <v>2.1090000000000001E-2</v>
      </c>
      <c r="G406" s="14">
        <v>2.0539999999999999E-2</v>
      </c>
      <c r="H406" s="14">
        <v>13.18</v>
      </c>
      <c r="I406" s="14">
        <v>533.1</v>
      </c>
      <c r="J406" s="14">
        <v>4.793E-2</v>
      </c>
      <c r="M406" s="16">
        <v>0</v>
      </c>
      <c r="O406" s="12">
        <f t="shared" si="18"/>
        <v>1</v>
      </c>
      <c r="P406" s="12">
        <f t="shared" si="19"/>
        <v>0</v>
      </c>
      <c r="R406" s="17">
        <v>-1.4643074708783446</v>
      </c>
      <c r="S406" s="17">
        <v>1.0359333700219733</v>
      </c>
      <c r="T406" s="17">
        <v>0.4503249130137873</v>
      </c>
      <c r="U406" s="17">
        <v>0.47751119115197871</v>
      </c>
      <c r="V406" s="17">
        <v>1.5052132201123889</v>
      </c>
      <c r="W406" s="17">
        <v>-1.2567352733816861</v>
      </c>
      <c r="X406" s="17">
        <v>-1.4659127711484521</v>
      </c>
      <c r="Y406" s="17">
        <v>0.877385815472147</v>
      </c>
      <c r="Z406" s="17">
        <v>1.7463530467411736</v>
      </c>
      <c r="AA406" s="17">
        <v>1.2163845753889837</v>
      </c>
      <c r="AB406" s="17">
        <v>-0.28839333793737798</v>
      </c>
      <c r="AC406" s="17">
        <v>1.0652147513376473</v>
      </c>
      <c r="AD406" s="17">
        <v>-0.81583654438301023</v>
      </c>
      <c r="AE406" s="17">
        <v>1.6894094608623824</v>
      </c>
      <c r="AF406" s="17">
        <v>0.2496334827590041</v>
      </c>
      <c r="AG406" s="17">
        <v>0.29010426800531797</v>
      </c>
      <c r="AH406" s="17">
        <v>0.55723475600471262</v>
      </c>
      <c r="AI406" s="17">
        <v>-1.603629768829455</v>
      </c>
      <c r="AJ406" s="17">
        <v>-0.55690825498325469</v>
      </c>
      <c r="AK406" s="17">
        <v>0.41256201738018505</v>
      </c>
      <c r="AM406" s="17">
        <v>-0.74448053554148053</v>
      </c>
      <c r="AN406" s="17">
        <v>0.71404571616985157</v>
      </c>
      <c r="AO406" s="17">
        <v>0.78421344144455174</v>
      </c>
      <c r="AP406" s="17">
        <v>0.3250603484518359</v>
      </c>
      <c r="AQ406" s="17">
        <v>0.87519492252250775</v>
      </c>
      <c r="AR406" s="17">
        <v>-0.57547190887225963</v>
      </c>
      <c r="AS406" s="17">
        <v>-0.77055587651844049</v>
      </c>
      <c r="AT406" s="17">
        <v>0.85882952103591559</v>
      </c>
      <c r="AU406" s="17">
        <v>0.71561900815412827</v>
      </c>
      <c r="AV406" s="17">
        <v>0.92553053119302431</v>
      </c>
      <c r="AW406" s="17">
        <v>-0.78856580396838061</v>
      </c>
      <c r="AX406" s="17">
        <v>0.9071765786799173</v>
      </c>
      <c r="AY406" s="17">
        <v>-0.69356652615423897</v>
      </c>
      <c r="AZ406" s="17">
        <v>0.88474751388169315</v>
      </c>
      <c r="BA406" s="17">
        <v>0.88392618301943904</v>
      </c>
      <c r="BB406" s="17">
        <v>0.82850558600125968</v>
      </c>
      <c r="BC406" s="17">
        <v>0.35240571120157732</v>
      </c>
      <c r="BD406" s="17">
        <v>-0.92930541706916503</v>
      </c>
      <c r="BE406" s="17">
        <v>-0.42414792998687689</v>
      </c>
      <c r="BF406" s="17">
        <v>-0.28554758399865243</v>
      </c>
      <c r="BK406" s="20">
        <v>1.0327029041199585</v>
      </c>
      <c r="BL406" s="20">
        <v>-3.2699625104504818E-2</v>
      </c>
      <c r="BN406" s="21">
        <f t="shared" si="20"/>
        <v>0</v>
      </c>
    </row>
    <row r="407" spans="1:66">
      <c r="A407" s="14">
        <v>10.94</v>
      </c>
      <c r="B407" s="14">
        <v>18.59</v>
      </c>
      <c r="C407" s="14">
        <v>70.39</v>
      </c>
      <c r="D407" s="14">
        <v>370</v>
      </c>
      <c r="E407" s="14">
        <v>7.46E-2</v>
      </c>
      <c r="F407" s="14">
        <v>4.9439999999999998E-2</v>
      </c>
      <c r="G407" s="14">
        <v>2.9319999999999999E-2</v>
      </c>
      <c r="H407" s="14">
        <v>12.4</v>
      </c>
      <c r="I407" s="14">
        <v>472.4</v>
      </c>
      <c r="J407" s="14">
        <v>7.8869999999999996E-2</v>
      </c>
      <c r="M407" s="16">
        <v>0</v>
      </c>
      <c r="O407" s="12">
        <f t="shared" si="18"/>
        <v>1</v>
      </c>
      <c r="P407" s="12">
        <f t="shared" si="19"/>
        <v>0</v>
      </c>
      <c r="R407" s="17">
        <v>-1.4643074708783446</v>
      </c>
      <c r="S407" s="17">
        <v>1.0359333700219733</v>
      </c>
      <c r="T407" s="17">
        <v>0.4503249130137873</v>
      </c>
      <c r="U407" s="17">
        <v>0.47751119115197871</v>
      </c>
      <c r="V407" s="17">
        <v>1.5052132201123889</v>
      </c>
      <c r="W407" s="17">
        <v>-1.2567352733816861</v>
      </c>
      <c r="X407" s="17">
        <v>-1.4659127711484521</v>
      </c>
      <c r="Y407" s="17">
        <v>0.877385815472147</v>
      </c>
      <c r="Z407" s="17">
        <v>1.7463530467411736</v>
      </c>
      <c r="AA407" s="17">
        <v>1.2163845753889837</v>
      </c>
      <c r="AB407" s="17">
        <v>-0.28839333793737798</v>
      </c>
      <c r="AC407" s="17">
        <v>1.0652147513376473</v>
      </c>
      <c r="AD407" s="17">
        <v>-0.81583654438301023</v>
      </c>
      <c r="AE407" s="17">
        <v>1.6894094608623824</v>
      </c>
      <c r="AF407" s="17">
        <v>0.2496334827590041</v>
      </c>
      <c r="AG407" s="17">
        <v>0.29010426800531797</v>
      </c>
      <c r="AH407" s="17">
        <v>0.55723475600471262</v>
      </c>
      <c r="AI407" s="17">
        <v>-1.603629768829455</v>
      </c>
      <c r="AJ407" s="17">
        <v>-0.55690825498325469</v>
      </c>
      <c r="AK407" s="17">
        <v>0.41256201738018505</v>
      </c>
      <c r="AM407" s="17">
        <v>-0.77982262893685872</v>
      </c>
      <c r="AN407" s="17">
        <v>0.73961175712562577</v>
      </c>
      <c r="AO407" s="17">
        <v>0.79757930625893314</v>
      </c>
      <c r="AP407" s="17">
        <v>0.34892728604931117</v>
      </c>
      <c r="AQ407" s="17">
        <v>0.89213275367941169</v>
      </c>
      <c r="AR407" s="17">
        <v>-0.62457189169622929</v>
      </c>
      <c r="AS407" s="17">
        <v>-0.80218426800305476</v>
      </c>
      <c r="AT407" s="17">
        <v>0.86709045325043355</v>
      </c>
      <c r="AU407" s="17">
        <v>0.76395608307210039</v>
      </c>
      <c r="AV407" s="17">
        <v>0.93224397703317108</v>
      </c>
      <c r="AW407" s="17">
        <v>-0.78635198260351047</v>
      </c>
      <c r="AX407" s="17">
        <v>0.91411529993436713</v>
      </c>
      <c r="AY407" s="17">
        <v>-0.71320610696826903</v>
      </c>
      <c r="AZ407" s="17">
        <v>0.90282015589944531</v>
      </c>
      <c r="BA407" s="17">
        <v>0.8801424835770183</v>
      </c>
      <c r="BB407" s="17">
        <v>0.82577079140524612</v>
      </c>
      <c r="BC407" s="17">
        <v>0.38017170274024137</v>
      </c>
      <c r="BD407" s="17">
        <v>-0.93910224892817873</v>
      </c>
      <c r="BE407" s="17">
        <v>-0.44834363085575579</v>
      </c>
      <c r="BF407" s="17">
        <v>0.45149406553051047</v>
      </c>
      <c r="BK407" s="20">
        <v>-6.0227363815324543E-2</v>
      </c>
      <c r="BL407" s="20">
        <v>1.0602456934372448</v>
      </c>
      <c r="BN407" s="21">
        <f t="shared" si="20"/>
        <v>1</v>
      </c>
    </row>
    <row r="408" spans="1:66">
      <c r="A408" s="14">
        <v>16.14</v>
      </c>
      <c r="B408" s="14">
        <v>14.86</v>
      </c>
      <c r="C408" s="14">
        <v>104.3</v>
      </c>
      <c r="D408" s="14">
        <v>800</v>
      </c>
      <c r="E408" s="14">
        <v>8.5010000000000002E-2</v>
      </c>
      <c r="F408" s="14">
        <v>5.5E-2</v>
      </c>
      <c r="G408" s="14">
        <v>4.5280000000000001E-2</v>
      </c>
      <c r="H408" s="14">
        <v>17.71</v>
      </c>
      <c r="I408" s="14">
        <v>947.9</v>
      </c>
      <c r="J408" s="14">
        <v>0.1129</v>
      </c>
      <c r="M408" s="16">
        <v>0</v>
      </c>
      <c r="O408" s="12">
        <f t="shared" si="18"/>
        <v>1</v>
      </c>
      <c r="P408" s="12">
        <f t="shared" si="19"/>
        <v>0</v>
      </c>
      <c r="R408" s="17">
        <v>-0.86216493245391179</v>
      </c>
      <c r="S408" s="17">
        <v>0.86592397083683859</v>
      </c>
      <c r="T408" s="17">
        <v>1.1492407566427856</v>
      </c>
      <c r="U408" s="17">
        <v>0.30971288832147947</v>
      </c>
      <c r="V408" s="17">
        <v>1.322038261257461</v>
      </c>
      <c r="W408" s="17">
        <v>-0.54000870393571332</v>
      </c>
      <c r="X408" s="17">
        <v>-0.93446499101467595</v>
      </c>
      <c r="Y408" s="17">
        <v>1.3623707400649003</v>
      </c>
      <c r="Z408" s="17">
        <v>0.73556995189170193</v>
      </c>
      <c r="AA408" s="17">
        <v>1.6983871669386827</v>
      </c>
      <c r="AB408" s="17">
        <v>-1.2113068807979621</v>
      </c>
      <c r="AC408" s="17">
        <v>1.5906603286575782</v>
      </c>
      <c r="AD408" s="17">
        <v>-0.8593627097567913</v>
      </c>
      <c r="AE408" s="17">
        <v>1.3374666300864129</v>
      </c>
      <c r="AF408" s="17">
        <v>1.6049118769290147</v>
      </c>
      <c r="AG408" s="17">
        <v>1.3481853892245086</v>
      </c>
      <c r="AH408" s="17">
        <v>0.33128292594394448</v>
      </c>
      <c r="AI408" s="17">
        <v>-1.6572512841003593</v>
      </c>
      <c r="AJ408" s="17">
        <v>-0.4315878441673433</v>
      </c>
      <c r="AK408" s="17">
        <v>0.36873422441298942</v>
      </c>
      <c r="AM408" s="17">
        <v>-0.73049096008510506</v>
      </c>
      <c r="AN408" s="17">
        <v>0.70563642874143384</v>
      </c>
      <c r="AO408" s="17">
        <v>0.80568633665043787</v>
      </c>
      <c r="AP408" s="17">
        <v>0.31656172496120494</v>
      </c>
      <c r="AQ408" s="17">
        <v>0.8695942396105536</v>
      </c>
      <c r="AR408" s="17">
        <v>-0.55503262464192815</v>
      </c>
      <c r="AS408" s="17">
        <v>-0.75834480932580417</v>
      </c>
      <c r="AT408" s="17">
        <v>0.8581245740911797</v>
      </c>
      <c r="AU408" s="17">
        <v>0.69449543814863102</v>
      </c>
      <c r="AV408" s="17">
        <v>0.92448395079561541</v>
      </c>
      <c r="AW408" s="17">
        <v>-0.79354021555615417</v>
      </c>
      <c r="AX408" s="17">
        <v>0.90638911746830086</v>
      </c>
      <c r="AY408" s="17">
        <v>-0.68831136662663417</v>
      </c>
      <c r="AZ408" s="17">
        <v>0.87827712951360248</v>
      </c>
      <c r="BA408" s="17">
        <v>0.88860988518696593</v>
      </c>
      <c r="BB408" s="17">
        <v>0.833389371103614</v>
      </c>
      <c r="BC408" s="17">
        <v>0.3421918803938544</v>
      </c>
      <c r="BD408" s="17">
        <v>-0.92647546484340015</v>
      </c>
      <c r="BE408" s="17">
        <v>-0.41612525991592447</v>
      </c>
      <c r="BF408" s="17">
        <v>0.56658031872814874</v>
      </c>
      <c r="BK408" s="20">
        <v>0.98736851619306243</v>
      </c>
      <c r="BL408" s="20">
        <v>1.2909021819994591E-2</v>
      </c>
      <c r="BN408" s="21">
        <f t="shared" si="20"/>
        <v>0</v>
      </c>
    </row>
    <row r="409" spans="1:66">
      <c r="A409" s="14">
        <v>12.85</v>
      </c>
      <c r="B409" s="14">
        <v>21.37</v>
      </c>
      <c r="C409" s="14">
        <v>82.63</v>
      </c>
      <c r="D409" s="14">
        <v>514.5</v>
      </c>
      <c r="E409" s="14">
        <v>8.3159999999999998E-2</v>
      </c>
      <c r="F409" s="14">
        <v>6.1260000000000002E-2</v>
      </c>
      <c r="G409" s="14">
        <v>1.8669999999999999E-2</v>
      </c>
      <c r="H409" s="14">
        <v>14.4</v>
      </c>
      <c r="I409" s="14">
        <v>645.79999999999995</v>
      </c>
      <c r="J409" s="14">
        <v>5.6009999999999997E-2</v>
      </c>
      <c r="M409" s="16">
        <v>0</v>
      </c>
      <c r="O409" s="12">
        <f t="shared" si="18"/>
        <v>1</v>
      </c>
      <c r="P409" s="12">
        <f t="shared" si="19"/>
        <v>0</v>
      </c>
      <c r="R409" s="17">
        <v>-0.86216493245391179</v>
      </c>
      <c r="S409" s="17">
        <v>0.86592397083683859</v>
      </c>
      <c r="T409" s="17">
        <v>1.1492407566427856</v>
      </c>
      <c r="U409" s="17">
        <v>0.30971288832147947</v>
      </c>
      <c r="V409" s="17">
        <v>1.322038261257461</v>
      </c>
      <c r="W409" s="17">
        <v>-0.54000870393571332</v>
      </c>
      <c r="X409" s="17">
        <v>-0.93446499101467595</v>
      </c>
      <c r="Y409" s="17">
        <v>1.3623707400649003</v>
      </c>
      <c r="Z409" s="17">
        <v>0.73556995189170193</v>
      </c>
      <c r="AA409" s="17">
        <v>1.6983871669386827</v>
      </c>
      <c r="AB409" s="17">
        <v>-1.2113068807979621</v>
      </c>
      <c r="AC409" s="17">
        <v>1.5906603286575782</v>
      </c>
      <c r="AD409" s="17">
        <v>-0.8593627097567913</v>
      </c>
      <c r="AE409" s="17">
        <v>1.3374666300864129</v>
      </c>
      <c r="AF409" s="17">
        <v>1.6049118769290147</v>
      </c>
      <c r="AG409" s="17">
        <v>1.3481853892245086</v>
      </c>
      <c r="AH409" s="17">
        <v>0.33128292594394448</v>
      </c>
      <c r="AI409" s="17">
        <v>-1.6572512841003593</v>
      </c>
      <c r="AJ409" s="17">
        <v>-0.4315878441673433</v>
      </c>
      <c r="AK409" s="17">
        <v>0.36873422441298942</v>
      </c>
      <c r="AM409" s="17">
        <v>-0.84314564145286852</v>
      </c>
      <c r="AN409" s="17">
        <v>0.73870118865931733</v>
      </c>
      <c r="AO409" s="17">
        <v>0.5910886153189634</v>
      </c>
      <c r="AP409" s="17">
        <v>0.38866578189601808</v>
      </c>
      <c r="AQ409" s="17">
        <v>0.88445291552159644</v>
      </c>
      <c r="AR409" s="17">
        <v>-0.76071569432686215</v>
      </c>
      <c r="AS409" s="17">
        <v>-0.84954293479061704</v>
      </c>
      <c r="AT409" s="17">
        <v>0.75713734615663641</v>
      </c>
      <c r="AU409" s="17">
        <v>0.88146268229815361</v>
      </c>
      <c r="AV409" s="17">
        <v>0.86558886077509889</v>
      </c>
      <c r="AW409" s="17">
        <v>-0.50208982096797949</v>
      </c>
      <c r="AX409" s="17">
        <v>0.82822867514164045</v>
      </c>
      <c r="AY409" s="17">
        <v>-0.66347612012736135</v>
      </c>
      <c r="AZ409" s="17">
        <v>0.90925118686966</v>
      </c>
      <c r="BA409" s="17">
        <v>0.56708838959457919</v>
      </c>
      <c r="BB409" s="17">
        <v>0.53270016756857064</v>
      </c>
      <c r="BC409" s="17">
        <v>0.43800734232859972</v>
      </c>
      <c r="BD409" s="17">
        <v>-0.91558915417381936</v>
      </c>
      <c r="BE409" s="17">
        <v>-0.4616047669492494</v>
      </c>
      <c r="BF409" s="17">
        <v>-0.5830677401063924</v>
      </c>
      <c r="BK409" s="20">
        <v>0.92460231118227321</v>
      </c>
      <c r="BL409" s="20">
        <v>7.5844059365008737E-2</v>
      </c>
      <c r="BN409" s="21">
        <f t="shared" si="20"/>
        <v>0</v>
      </c>
    </row>
    <row r="410" spans="1:66">
      <c r="A410" s="14">
        <v>17.989999999999998</v>
      </c>
      <c r="B410" s="14">
        <v>20.66</v>
      </c>
      <c r="C410" s="14">
        <v>117.8</v>
      </c>
      <c r="D410" s="14">
        <v>991.7</v>
      </c>
      <c r="E410" s="14">
        <v>0.13039999999999999</v>
      </c>
      <c r="F410" s="14">
        <v>0.1201</v>
      </c>
      <c r="G410" s="14">
        <v>8.8239999999999999E-2</v>
      </c>
      <c r="H410" s="14">
        <v>21.08</v>
      </c>
      <c r="I410" s="14">
        <v>1349</v>
      </c>
      <c r="J410" s="14">
        <v>0.19739999999999999</v>
      </c>
      <c r="M410" s="16">
        <v>1</v>
      </c>
      <c r="O410" s="12">
        <f t="shared" si="18"/>
        <v>0</v>
      </c>
      <c r="P410" s="12">
        <f t="shared" si="19"/>
        <v>1</v>
      </c>
      <c r="R410" s="17">
        <v>-0.86216493245391179</v>
      </c>
      <c r="S410" s="17">
        <v>0.86592397083683859</v>
      </c>
      <c r="T410" s="17">
        <v>1.1492407566427856</v>
      </c>
      <c r="U410" s="17">
        <v>0.30971288832147947</v>
      </c>
      <c r="V410" s="17">
        <v>1.322038261257461</v>
      </c>
      <c r="W410" s="17">
        <v>-0.54000870393571332</v>
      </c>
      <c r="X410" s="17">
        <v>-0.93446499101467595</v>
      </c>
      <c r="Y410" s="17">
        <v>1.3623707400649003</v>
      </c>
      <c r="Z410" s="17">
        <v>0.73556995189170193</v>
      </c>
      <c r="AA410" s="17">
        <v>1.6983871669386827</v>
      </c>
      <c r="AB410" s="17">
        <v>-1.2113068807979621</v>
      </c>
      <c r="AC410" s="17">
        <v>1.5906603286575782</v>
      </c>
      <c r="AD410" s="17">
        <v>-0.8593627097567913</v>
      </c>
      <c r="AE410" s="17">
        <v>1.3374666300864129</v>
      </c>
      <c r="AF410" s="17">
        <v>1.6049118769290147</v>
      </c>
      <c r="AG410" s="17">
        <v>1.3481853892245086</v>
      </c>
      <c r="AH410" s="17">
        <v>0.33128292594394448</v>
      </c>
      <c r="AI410" s="17">
        <v>-1.6572512841003593</v>
      </c>
      <c r="AJ410" s="17">
        <v>-0.4315878441673433</v>
      </c>
      <c r="AK410" s="17">
        <v>0.36873422344926743</v>
      </c>
      <c r="AM410" s="17">
        <v>-0.76870514540749391</v>
      </c>
      <c r="AN410" s="17">
        <v>0.69747556992643867</v>
      </c>
      <c r="AO410" s="17">
        <v>0.68013525372909656</v>
      </c>
      <c r="AP410" s="17">
        <v>0.33426714138004032</v>
      </c>
      <c r="AQ410" s="17">
        <v>0.85876845788439005</v>
      </c>
      <c r="AR410" s="17">
        <v>-0.64193019644873328</v>
      </c>
      <c r="AS410" s="17">
        <v>-0.7849235940528565</v>
      </c>
      <c r="AT410" s="17">
        <v>0.79364385807498128</v>
      </c>
      <c r="AU410" s="17">
        <v>0.78174378725560689</v>
      </c>
      <c r="AV410" s="17">
        <v>0.88377850080487486</v>
      </c>
      <c r="AW410" s="17">
        <v>-0.65341561417093874</v>
      </c>
      <c r="AX410" s="17">
        <v>0.85576919062356505</v>
      </c>
      <c r="AY410" s="17">
        <v>-0.65161589053780011</v>
      </c>
      <c r="AZ410" s="17">
        <v>0.87747822545077281</v>
      </c>
      <c r="BA410" s="17">
        <v>0.75589932561912565</v>
      </c>
      <c r="BB410" s="17">
        <v>0.6953332005345314</v>
      </c>
      <c r="BC410" s="17">
        <v>0.37037064250673873</v>
      </c>
      <c r="BD410" s="17">
        <v>-0.9072306621616143</v>
      </c>
      <c r="BE410" s="17">
        <v>-0.4175153519027851</v>
      </c>
      <c r="BF410" s="17">
        <v>1.4914538017713889E-2</v>
      </c>
      <c r="BK410" s="20">
        <v>7.9720542744753459E-2</v>
      </c>
      <c r="BL410" s="20">
        <v>0.92037201102684885</v>
      </c>
      <c r="BN410" s="21">
        <f t="shared" si="20"/>
        <v>1</v>
      </c>
    </row>
    <row r="411" spans="1:66">
      <c r="A411" s="14">
        <v>12.27</v>
      </c>
      <c r="B411" s="14">
        <v>17.920000000000002</v>
      </c>
      <c r="C411" s="14">
        <v>78.41</v>
      </c>
      <c r="D411" s="14">
        <v>466.1</v>
      </c>
      <c r="E411" s="14">
        <v>6.5259999999999999E-2</v>
      </c>
      <c r="F411" s="14">
        <v>3.211E-2</v>
      </c>
      <c r="G411" s="14">
        <v>2.6530000000000001E-2</v>
      </c>
      <c r="H411" s="14">
        <v>14.1</v>
      </c>
      <c r="I411" s="14">
        <v>610.20000000000005</v>
      </c>
      <c r="J411" s="14">
        <v>9.5320000000000002E-2</v>
      </c>
      <c r="M411" s="16">
        <v>0</v>
      </c>
      <c r="O411" s="12">
        <f t="shared" si="18"/>
        <v>1</v>
      </c>
      <c r="P411" s="12">
        <f t="shared" si="19"/>
        <v>0</v>
      </c>
      <c r="R411" s="17">
        <v>-0.86216493245391179</v>
      </c>
      <c r="S411" s="17">
        <v>0.86592397083683859</v>
      </c>
      <c r="T411" s="17">
        <v>1.1492407566427856</v>
      </c>
      <c r="U411" s="17">
        <v>0.30971288832147947</v>
      </c>
      <c r="V411" s="17">
        <v>1.322038261257461</v>
      </c>
      <c r="W411" s="17">
        <v>-0.54000870393571332</v>
      </c>
      <c r="X411" s="17">
        <v>-0.93446499101467595</v>
      </c>
      <c r="Y411" s="17">
        <v>1.3623707400649003</v>
      </c>
      <c r="Z411" s="17">
        <v>0.73556995189170193</v>
      </c>
      <c r="AA411" s="17">
        <v>1.6983871669386827</v>
      </c>
      <c r="AB411" s="17">
        <v>-1.2113068807979621</v>
      </c>
      <c r="AC411" s="17">
        <v>1.5906603286575782</v>
      </c>
      <c r="AD411" s="17">
        <v>-0.8593627097567913</v>
      </c>
      <c r="AE411" s="17">
        <v>1.3374666300864129</v>
      </c>
      <c r="AF411" s="17">
        <v>1.6049118769290147</v>
      </c>
      <c r="AG411" s="17">
        <v>1.3481853892245086</v>
      </c>
      <c r="AH411" s="17">
        <v>0.33128292594394448</v>
      </c>
      <c r="AI411" s="17">
        <v>-1.6572512841003593</v>
      </c>
      <c r="AJ411" s="17">
        <v>-0.4315878441673433</v>
      </c>
      <c r="AK411" s="17">
        <v>0.36873422441298942</v>
      </c>
      <c r="AM411" s="17">
        <v>-0.68661189018836366</v>
      </c>
      <c r="AN411" s="17">
        <v>0.67989236353858862</v>
      </c>
      <c r="AO411" s="17">
        <v>0.77870199150337072</v>
      </c>
      <c r="AP411" s="17">
        <v>0.29175193271337035</v>
      </c>
      <c r="AQ411" s="17">
        <v>0.85179977982999755</v>
      </c>
      <c r="AR411" s="17">
        <v>-0.49282621095068146</v>
      </c>
      <c r="AS411" s="17">
        <v>-0.71995420449163794</v>
      </c>
      <c r="AT411" s="17">
        <v>0.85540973320697122</v>
      </c>
      <c r="AU411" s="17">
        <v>0.6270612398473544</v>
      </c>
      <c r="AV411" s="17">
        <v>0.92095431545306639</v>
      </c>
      <c r="AW411" s="17">
        <v>-0.80620462183612462</v>
      </c>
      <c r="AX411" s="17">
        <v>0.90356711712122351</v>
      </c>
      <c r="AY411" s="17">
        <v>-0.67216875233343942</v>
      </c>
      <c r="AZ411" s="17">
        <v>0.85745354164305809</v>
      </c>
      <c r="BA411" s="17">
        <v>0.90029927939991938</v>
      </c>
      <c r="BB411" s="17">
        <v>0.84575574032961032</v>
      </c>
      <c r="BC411" s="17">
        <v>0.31234909507766895</v>
      </c>
      <c r="BD411" s="17">
        <v>-0.91738039114931436</v>
      </c>
      <c r="BE411" s="17">
        <v>-0.39242274681035516</v>
      </c>
      <c r="BF411" s="17">
        <v>0.1486867138909749</v>
      </c>
      <c r="BK411" s="20">
        <v>0.10395893756506572</v>
      </c>
      <c r="BL411" s="20">
        <v>0.89621283421960163</v>
      </c>
      <c r="BN411" s="21">
        <f t="shared" si="20"/>
        <v>1</v>
      </c>
    </row>
    <row r="412" spans="1:66">
      <c r="A412" s="14">
        <v>11.36</v>
      </c>
      <c r="B412" s="14">
        <v>17.57</v>
      </c>
      <c r="C412" s="14">
        <v>72.489999999999995</v>
      </c>
      <c r="D412" s="14">
        <v>399.8</v>
      </c>
      <c r="E412" s="14">
        <v>5.3129999999999997E-2</v>
      </c>
      <c r="F412" s="14">
        <v>2.7830000000000001E-2</v>
      </c>
      <c r="G412" s="14">
        <v>2.1000000000000001E-2</v>
      </c>
      <c r="H412" s="14">
        <v>13.05</v>
      </c>
      <c r="I412" s="14">
        <v>521.29999999999995</v>
      </c>
      <c r="J412" s="14">
        <v>8.6980000000000002E-2</v>
      </c>
      <c r="M412" s="16">
        <v>0</v>
      </c>
      <c r="O412" s="12">
        <f t="shared" si="18"/>
        <v>1</v>
      </c>
      <c r="P412" s="12">
        <f t="shared" si="19"/>
        <v>0</v>
      </c>
      <c r="R412" s="17">
        <v>-0.86216493245391179</v>
      </c>
      <c r="S412" s="17">
        <v>0.86592397083683859</v>
      </c>
      <c r="T412" s="17">
        <v>1.1492407566427856</v>
      </c>
      <c r="U412" s="17">
        <v>0.30971288832147947</v>
      </c>
      <c r="V412" s="17">
        <v>1.322038261257461</v>
      </c>
      <c r="W412" s="17">
        <v>-0.54000870393571332</v>
      </c>
      <c r="X412" s="17">
        <v>-0.93446499101467595</v>
      </c>
      <c r="Y412" s="17">
        <v>1.3623707400649003</v>
      </c>
      <c r="Z412" s="17">
        <v>0.73556995189170193</v>
      </c>
      <c r="AA412" s="17">
        <v>1.6983871669386827</v>
      </c>
      <c r="AB412" s="17">
        <v>-1.2113068807979621</v>
      </c>
      <c r="AC412" s="17">
        <v>1.5906603286575782</v>
      </c>
      <c r="AD412" s="17">
        <v>-0.8593627097567913</v>
      </c>
      <c r="AE412" s="17">
        <v>1.3374666300864129</v>
      </c>
      <c r="AF412" s="17">
        <v>1.6049118769290147</v>
      </c>
      <c r="AG412" s="17">
        <v>1.3481853892245086</v>
      </c>
      <c r="AH412" s="17">
        <v>0.33128292594394448</v>
      </c>
      <c r="AI412" s="17">
        <v>-1.6572512841003593</v>
      </c>
      <c r="AJ412" s="17">
        <v>-0.4315878441673433</v>
      </c>
      <c r="AK412" s="17">
        <v>0.36873422441298942</v>
      </c>
      <c r="AM412" s="17">
        <v>-0.74217005091778143</v>
      </c>
      <c r="AN412" s="17">
        <v>0.70977088928645948</v>
      </c>
      <c r="AO412" s="17">
        <v>0.79747132443414093</v>
      </c>
      <c r="AP412" s="17">
        <v>0.32305257486537603</v>
      </c>
      <c r="AQ412" s="17">
        <v>0.87191510595981447</v>
      </c>
      <c r="AR412" s="17">
        <v>-0.57512770786037182</v>
      </c>
      <c r="AS412" s="17">
        <v>-0.76787450895185816</v>
      </c>
      <c r="AT412" s="17">
        <v>0.85358159273505718</v>
      </c>
      <c r="AU412" s="17">
        <v>0.71541183294535415</v>
      </c>
      <c r="AV412" s="17">
        <v>0.92208177593731422</v>
      </c>
      <c r="AW412" s="17">
        <v>-0.78032714500138223</v>
      </c>
      <c r="AX412" s="17">
        <v>0.90308677801434234</v>
      </c>
      <c r="AY412" s="17">
        <v>-0.68818182180248677</v>
      </c>
      <c r="AZ412" s="17">
        <v>0.88196372241435261</v>
      </c>
      <c r="BA412" s="17">
        <v>0.87731769774630053</v>
      </c>
      <c r="BB412" s="17">
        <v>0.82079942907335413</v>
      </c>
      <c r="BC412" s="17">
        <v>0.35062878423548072</v>
      </c>
      <c r="BD412" s="17">
        <v>-0.92657945498547367</v>
      </c>
      <c r="BE412" s="17">
        <v>-0.42086596421315309</v>
      </c>
      <c r="BF412" s="17">
        <v>0.41044557801003512</v>
      </c>
      <c r="BK412" s="20">
        <v>1.0528884884397622</v>
      </c>
      <c r="BL412" s="20">
        <v>-5.2937895593112544E-2</v>
      </c>
      <c r="BN412" s="21">
        <f t="shared" si="20"/>
        <v>0</v>
      </c>
    </row>
    <row r="413" spans="1:66">
      <c r="A413" s="14">
        <v>11.04</v>
      </c>
      <c r="B413" s="14">
        <v>16.829999999999998</v>
      </c>
      <c r="C413" s="14">
        <v>70.92</v>
      </c>
      <c r="D413" s="14">
        <v>373.2</v>
      </c>
      <c r="E413" s="14">
        <v>7.8039999999999998E-2</v>
      </c>
      <c r="F413" s="14">
        <v>3.0460000000000001E-2</v>
      </c>
      <c r="G413" s="14">
        <v>2.4799999999999999E-2</v>
      </c>
      <c r="H413" s="14">
        <v>12.41</v>
      </c>
      <c r="I413" s="14">
        <v>471.4</v>
      </c>
      <c r="J413" s="14">
        <v>7.4310000000000001E-2</v>
      </c>
      <c r="M413" s="16">
        <v>0</v>
      </c>
      <c r="O413" s="12">
        <f t="shared" si="18"/>
        <v>1</v>
      </c>
      <c r="P413" s="12">
        <f t="shared" si="19"/>
        <v>0</v>
      </c>
      <c r="R413" s="17">
        <v>-1.4643074708783446</v>
      </c>
      <c r="S413" s="17">
        <v>1.0359333700219733</v>
      </c>
      <c r="T413" s="17">
        <v>0.4503249130137873</v>
      </c>
      <c r="U413" s="17">
        <v>0.47751119115197871</v>
      </c>
      <c r="V413" s="17">
        <v>1.5052132201123889</v>
      </c>
      <c r="W413" s="17">
        <v>-1.2567352733816861</v>
      </c>
      <c r="X413" s="17">
        <v>-1.4659127711484521</v>
      </c>
      <c r="Y413" s="17">
        <v>0.877385815472147</v>
      </c>
      <c r="Z413" s="17">
        <v>1.7463530467411736</v>
      </c>
      <c r="AA413" s="17">
        <v>1.2163845753889837</v>
      </c>
      <c r="AB413" s="17">
        <v>-0.28839333793737798</v>
      </c>
      <c r="AC413" s="17">
        <v>1.0652147513376473</v>
      </c>
      <c r="AD413" s="17">
        <v>-0.81583654438301023</v>
      </c>
      <c r="AE413" s="17">
        <v>1.6894094608623824</v>
      </c>
      <c r="AF413" s="17">
        <v>0.2496334827590041</v>
      </c>
      <c r="AG413" s="17">
        <v>0.29010426800531797</v>
      </c>
      <c r="AH413" s="17">
        <v>0.55723475600471262</v>
      </c>
      <c r="AI413" s="17">
        <v>-1.603629768829455</v>
      </c>
      <c r="AJ413" s="17">
        <v>-0.55690825498325469</v>
      </c>
      <c r="AK413" s="17">
        <v>-1.5874074369991267</v>
      </c>
      <c r="AM413" s="17">
        <v>-0.75794729797046956</v>
      </c>
      <c r="AN413" s="17">
        <v>0.72476465733939621</v>
      </c>
      <c r="AO413" s="17">
        <v>0.77422100926098125</v>
      </c>
      <c r="AP413" s="17">
        <v>0.33408165635685327</v>
      </c>
      <c r="AQ413" s="17">
        <v>0.88255985302606454</v>
      </c>
      <c r="AR413" s="17">
        <v>-0.59277163607706373</v>
      </c>
      <c r="AS413" s="17">
        <v>-0.78287010987493555</v>
      </c>
      <c r="AT413" s="17">
        <v>0.86390561831236878</v>
      </c>
      <c r="AU413" s="17">
        <v>0.73295413656168218</v>
      </c>
      <c r="AV413" s="17">
        <v>0.92930905187118074</v>
      </c>
      <c r="AW413" s="17">
        <v>-0.79138662239354518</v>
      </c>
      <c r="AX413" s="17">
        <v>0.91129991490091822</v>
      </c>
      <c r="AY413" s="17">
        <v>-0.70266006728562602</v>
      </c>
      <c r="AZ413" s="17">
        <v>0.89235039953136075</v>
      </c>
      <c r="BA413" s="17">
        <v>0.88550161282098439</v>
      </c>
      <c r="BB413" s="17">
        <v>0.83091227458801442</v>
      </c>
      <c r="BC413" s="17">
        <v>0.3626704848542463</v>
      </c>
      <c r="BD413" s="17">
        <v>-0.93390475015993946</v>
      </c>
      <c r="BE413" s="17">
        <v>-0.43385688064813416</v>
      </c>
      <c r="BF413" s="17">
        <v>-0.14239789203335365</v>
      </c>
      <c r="BK413" s="20">
        <v>1.0051315439733512</v>
      </c>
      <c r="BL413" s="20">
        <v>-5.1428067847398493E-3</v>
      </c>
      <c r="BN413" s="21">
        <f t="shared" si="20"/>
        <v>0</v>
      </c>
    </row>
    <row r="414" spans="1:66">
      <c r="A414" s="14">
        <v>9.3970000000000002</v>
      </c>
      <c r="B414" s="14">
        <v>21.68</v>
      </c>
      <c r="C414" s="14">
        <v>59.75</v>
      </c>
      <c r="D414" s="14">
        <v>268.8</v>
      </c>
      <c r="E414" s="14">
        <v>6.053E-2</v>
      </c>
      <c r="F414" s="14">
        <v>3.7350000000000001E-2</v>
      </c>
      <c r="G414" s="14">
        <v>5.1279999999999997E-3</v>
      </c>
      <c r="H414" s="14">
        <v>9.9649999999999999</v>
      </c>
      <c r="I414" s="14">
        <v>301</v>
      </c>
      <c r="J414" s="14">
        <v>2.564E-2</v>
      </c>
      <c r="M414" s="16">
        <v>0</v>
      </c>
      <c r="O414" s="12">
        <f t="shared" si="18"/>
        <v>1</v>
      </c>
      <c r="P414" s="12">
        <f t="shared" si="19"/>
        <v>0</v>
      </c>
      <c r="R414" s="17">
        <v>-0.86216493245391179</v>
      </c>
      <c r="S414" s="17">
        <v>0.86592397083683859</v>
      </c>
      <c r="T414" s="17">
        <v>1.1492407566427856</v>
      </c>
      <c r="U414" s="17">
        <v>0.30971288832147947</v>
      </c>
      <c r="V414" s="17">
        <v>1.322038261257461</v>
      </c>
      <c r="W414" s="17">
        <v>-0.54000870393571332</v>
      </c>
      <c r="X414" s="17">
        <v>-0.93446499101467595</v>
      </c>
      <c r="Y414" s="17">
        <v>1.3623707400649003</v>
      </c>
      <c r="Z414" s="17">
        <v>0.73556995189170193</v>
      </c>
      <c r="AA414" s="17">
        <v>1.6983871669386827</v>
      </c>
      <c r="AB414" s="17">
        <v>-1.2113068807979621</v>
      </c>
      <c r="AC414" s="17">
        <v>1.5906603286575782</v>
      </c>
      <c r="AD414" s="17">
        <v>-0.8593627097567913</v>
      </c>
      <c r="AE414" s="17">
        <v>1.3374666300864129</v>
      </c>
      <c r="AF414" s="17">
        <v>1.6049118769290147</v>
      </c>
      <c r="AG414" s="17">
        <v>1.3481853892245086</v>
      </c>
      <c r="AH414" s="17">
        <v>0.33128292594394448</v>
      </c>
      <c r="AI414" s="17">
        <v>-1.6572512841003593</v>
      </c>
      <c r="AJ414" s="17">
        <v>-0.4315878441673433</v>
      </c>
      <c r="AK414" s="17">
        <v>0.36380121461459958</v>
      </c>
      <c r="AM414" s="17">
        <v>-0.71732798679559617</v>
      </c>
      <c r="AN414" s="17">
        <v>0.70794671242077589</v>
      </c>
      <c r="AO414" s="17">
        <v>0.8174694217508085</v>
      </c>
      <c r="AP414" s="17">
        <v>0.31086222419434534</v>
      </c>
      <c r="AQ414" s="17">
        <v>0.8726661776296053</v>
      </c>
      <c r="AR414" s="17">
        <v>-0.52483925652632613</v>
      </c>
      <c r="AS414" s="17">
        <v>-0.74930088229162739</v>
      </c>
      <c r="AT414" s="17">
        <v>0.87394049657895712</v>
      </c>
      <c r="AU414" s="17">
        <v>0.66176596213819705</v>
      </c>
      <c r="AV414" s="17">
        <v>0.93400118197428028</v>
      </c>
      <c r="AW414" s="17">
        <v>-0.82551023154971814</v>
      </c>
      <c r="AX414" s="17">
        <v>0.91826035764560709</v>
      </c>
      <c r="AY414" s="17">
        <v>-0.69889520260571558</v>
      </c>
      <c r="AZ414" s="17">
        <v>0.87838496746422579</v>
      </c>
      <c r="BA414" s="17">
        <v>0.91350602671009418</v>
      </c>
      <c r="BB414" s="17">
        <v>0.86297663289634896</v>
      </c>
      <c r="BC414" s="17">
        <v>0.3331331453065568</v>
      </c>
      <c r="BD414" s="17">
        <v>-0.93155055622408467</v>
      </c>
      <c r="BE414" s="17">
        <v>-0.41552689638137458</v>
      </c>
      <c r="BF414" s="17">
        <v>0.39484521066659906</v>
      </c>
      <c r="BK414" s="20">
        <v>0.68115153659030347</v>
      </c>
      <c r="BL414" s="20">
        <v>0.31883154110147199</v>
      </c>
      <c r="BN414" s="21">
        <f t="shared" si="20"/>
        <v>0</v>
      </c>
    </row>
    <row r="415" spans="1:66">
      <c r="A415" s="14">
        <v>14.99</v>
      </c>
      <c r="B415" s="14">
        <v>22.11</v>
      </c>
      <c r="C415" s="14">
        <v>97.53</v>
      </c>
      <c r="D415" s="14">
        <v>693.7</v>
      </c>
      <c r="E415" s="14">
        <v>0.10249999999999999</v>
      </c>
      <c r="F415" s="14">
        <v>6.8589999999999998E-2</v>
      </c>
      <c r="G415" s="14">
        <v>3.8760000000000003E-2</v>
      </c>
      <c r="H415" s="14">
        <v>16.760000000000002</v>
      </c>
      <c r="I415" s="14">
        <v>867.1</v>
      </c>
      <c r="J415" s="14">
        <v>0.1308</v>
      </c>
      <c r="M415" s="16">
        <v>0</v>
      </c>
      <c r="O415" s="12">
        <f t="shared" si="18"/>
        <v>1</v>
      </c>
      <c r="P415" s="12">
        <f t="shared" si="19"/>
        <v>0</v>
      </c>
      <c r="R415" s="17">
        <v>-0.86216493245391179</v>
      </c>
      <c r="S415" s="17">
        <v>0.86592397083683859</v>
      </c>
      <c r="T415" s="17">
        <v>1.1492407566427856</v>
      </c>
      <c r="U415" s="17">
        <v>0.30971288832147947</v>
      </c>
      <c r="V415" s="17">
        <v>1.322038261257461</v>
      </c>
      <c r="W415" s="17">
        <v>-0.54000870393571332</v>
      </c>
      <c r="X415" s="17">
        <v>-0.93446499101467595</v>
      </c>
      <c r="Y415" s="17">
        <v>1.3623707400649003</v>
      </c>
      <c r="Z415" s="17">
        <v>0.73556995189170193</v>
      </c>
      <c r="AA415" s="17">
        <v>1.6983871669386827</v>
      </c>
      <c r="AB415" s="17">
        <v>-1.2113068807979621</v>
      </c>
      <c r="AC415" s="17">
        <v>1.5906603286575782</v>
      </c>
      <c r="AD415" s="17">
        <v>-0.8593627097567913</v>
      </c>
      <c r="AE415" s="17">
        <v>1.3374666300864129</v>
      </c>
      <c r="AF415" s="17">
        <v>1.6049118769290147</v>
      </c>
      <c r="AG415" s="17">
        <v>1.3481853892245086</v>
      </c>
      <c r="AH415" s="17">
        <v>0.33128292594394448</v>
      </c>
      <c r="AI415" s="17">
        <v>-1.6572512841003593</v>
      </c>
      <c r="AJ415" s="17">
        <v>-0.4315878441673433</v>
      </c>
      <c r="AK415" s="17">
        <v>0.36871451176498049</v>
      </c>
      <c r="AM415" s="17">
        <v>-0.83307148190077374</v>
      </c>
      <c r="AN415" s="17">
        <v>0.74933134142786872</v>
      </c>
      <c r="AO415" s="17">
        <v>0.73621091398129168</v>
      </c>
      <c r="AP415" s="17">
        <v>0.38380493068485849</v>
      </c>
      <c r="AQ415" s="17">
        <v>0.89417474852930656</v>
      </c>
      <c r="AR415" s="17">
        <v>-0.73130849686469335</v>
      </c>
      <c r="AS415" s="17">
        <v>-0.84371345916450846</v>
      </c>
      <c r="AT415" s="17">
        <v>0.80999768621557078</v>
      </c>
      <c r="AU415" s="17">
        <v>0.85841373231923324</v>
      </c>
      <c r="AV415" s="17">
        <v>0.89965046395462711</v>
      </c>
      <c r="AW415" s="17">
        <v>-0.62902098289527653</v>
      </c>
      <c r="AX415" s="17">
        <v>0.87110432093659784</v>
      </c>
      <c r="AY415" s="17">
        <v>-0.69151937475267355</v>
      </c>
      <c r="AZ415" s="17">
        <v>0.91346858843014056</v>
      </c>
      <c r="BA415" s="17">
        <v>0.72090620850789866</v>
      </c>
      <c r="BB415" s="17">
        <v>0.66788910230301601</v>
      </c>
      <c r="BC415" s="17">
        <v>0.42802071069587388</v>
      </c>
      <c r="BD415" s="17">
        <v>-0.92981570637963173</v>
      </c>
      <c r="BE415" s="17">
        <v>-0.46668171376765555</v>
      </c>
      <c r="BF415" s="17">
        <v>0.57548259566685345</v>
      </c>
      <c r="BK415" s="20">
        <v>1.0371082217061394</v>
      </c>
      <c r="BL415" s="20">
        <v>-3.7193352171218816E-2</v>
      </c>
      <c r="BN415" s="21">
        <f t="shared" si="20"/>
        <v>0</v>
      </c>
    </row>
    <row r="416" spans="1:66">
      <c r="A416" s="14">
        <v>15.13</v>
      </c>
      <c r="B416" s="14">
        <v>29.81</v>
      </c>
      <c r="C416" s="14">
        <v>96.71</v>
      </c>
      <c r="D416" s="14">
        <v>719.5</v>
      </c>
      <c r="E416" s="14">
        <v>4.6050000000000001E-2</v>
      </c>
      <c r="F416" s="14">
        <v>4.6859999999999999E-2</v>
      </c>
      <c r="G416" s="14">
        <v>2.7390000000000001E-2</v>
      </c>
      <c r="H416" s="14">
        <v>17.260000000000002</v>
      </c>
      <c r="I416" s="14">
        <v>931.4</v>
      </c>
      <c r="J416" s="14">
        <v>6.5750000000000003E-2</v>
      </c>
      <c r="M416" s="16">
        <v>1</v>
      </c>
      <c r="O416" s="12">
        <f t="shared" si="18"/>
        <v>0</v>
      </c>
      <c r="P416" s="12">
        <f t="shared" si="19"/>
        <v>1</v>
      </c>
      <c r="R416" s="17">
        <v>-0.86216493245391179</v>
      </c>
      <c r="S416" s="17">
        <v>0.86592397083683859</v>
      </c>
      <c r="T416" s="17">
        <v>1.1492407566427856</v>
      </c>
      <c r="U416" s="17">
        <v>0.30971288832147947</v>
      </c>
      <c r="V416" s="17">
        <v>1.322038261257461</v>
      </c>
      <c r="W416" s="17">
        <v>-0.54000870393571332</v>
      </c>
      <c r="X416" s="17">
        <v>-0.93446499101467595</v>
      </c>
      <c r="Y416" s="17">
        <v>1.3623707400649003</v>
      </c>
      <c r="Z416" s="17">
        <v>0.73556995189170193</v>
      </c>
      <c r="AA416" s="17">
        <v>1.6983871669386827</v>
      </c>
      <c r="AB416" s="17">
        <v>-1.2113068807979621</v>
      </c>
      <c r="AC416" s="17">
        <v>1.5906603286575782</v>
      </c>
      <c r="AD416" s="17">
        <v>-0.8593627097567913</v>
      </c>
      <c r="AE416" s="17">
        <v>1.3374666300864129</v>
      </c>
      <c r="AF416" s="17">
        <v>1.6049118769290147</v>
      </c>
      <c r="AG416" s="17">
        <v>1.3481853892245086</v>
      </c>
      <c r="AH416" s="17">
        <v>0.33128292594394448</v>
      </c>
      <c r="AI416" s="17">
        <v>-1.6572512841003593</v>
      </c>
      <c r="AJ416" s="17">
        <v>-0.4315878441673433</v>
      </c>
      <c r="AK416" s="17">
        <v>0.36873422441298942</v>
      </c>
      <c r="AM416" s="17">
        <v>-0.70766923507801649</v>
      </c>
      <c r="AN416" s="17">
        <v>0.69393784403585645</v>
      </c>
      <c r="AO416" s="17">
        <v>0.79258408727590468</v>
      </c>
      <c r="AP416" s="17">
        <v>0.30368784634984131</v>
      </c>
      <c r="AQ416" s="17">
        <v>0.861909293923801</v>
      </c>
      <c r="AR416" s="17">
        <v>-0.52035759980922758</v>
      </c>
      <c r="AS416" s="17">
        <v>-0.73883503512151194</v>
      </c>
      <c r="AT416" s="17">
        <v>0.85981106515719063</v>
      </c>
      <c r="AU416" s="17">
        <v>0.65737262124655582</v>
      </c>
      <c r="AV416" s="17">
        <v>0.92464278094492625</v>
      </c>
      <c r="AW416" s="17">
        <v>-0.80561761037276503</v>
      </c>
      <c r="AX416" s="17">
        <v>0.90731373150265182</v>
      </c>
      <c r="AY416" s="17">
        <v>-0.6826047871545019</v>
      </c>
      <c r="AZ416" s="17">
        <v>0.86869134983191754</v>
      </c>
      <c r="BA416" s="17">
        <v>0.89903057734225122</v>
      </c>
      <c r="BB416" s="17">
        <v>0.84492857426091883</v>
      </c>
      <c r="BC416" s="17">
        <v>0.32632705863664685</v>
      </c>
      <c r="BD416" s="17">
        <v>-0.92322544130674522</v>
      </c>
      <c r="BE416" s="17">
        <v>-0.4047166477128325</v>
      </c>
      <c r="BF416" s="17">
        <v>0.30421453135750337</v>
      </c>
      <c r="BK416" s="20">
        <v>1.0456270693885115</v>
      </c>
      <c r="BL416" s="20">
        <v>-4.5637533392828569E-2</v>
      </c>
      <c r="BN416" s="21">
        <f t="shared" si="20"/>
        <v>0</v>
      </c>
    </row>
    <row r="417" spans="1:66">
      <c r="A417" s="14">
        <v>11.89</v>
      </c>
      <c r="B417" s="14">
        <v>21.17</v>
      </c>
      <c r="C417" s="14">
        <v>76.39</v>
      </c>
      <c r="D417" s="14">
        <v>433.8</v>
      </c>
      <c r="E417" s="14">
        <v>8.1199999999999994E-2</v>
      </c>
      <c r="F417" s="14">
        <v>2.555E-2</v>
      </c>
      <c r="G417" s="14">
        <v>2.179E-2</v>
      </c>
      <c r="H417" s="14">
        <v>13.05</v>
      </c>
      <c r="I417" s="14">
        <v>522.9</v>
      </c>
      <c r="J417" s="14">
        <v>8.2629999999999995E-2</v>
      </c>
      <c r="M417" s="16">
        <v>0</v>
      </c>
      <c r="O417" s="12">
        <f t="shared" si="18"/>
        <v>1</v>
      </c>
      <c r="P417" s="12">
        <f t="shared" si="19"/>
        <v>0</v>
      </c>
      <c r="R417" s="17">
        <v>-0.86216493245391179</v>
      </c>
      <c r="S417" s="17">
        <v>0.86592397083683859</v>
      </c>
      <c r="T417" s="17">
        <v>1.1492407566427856</v>
      </c>
      <c r="U417" s="17">
        <v>0.30971288832147947</v>
      </c>
      <c r="V417" s="17">
        <v>1.322038261257461</v>
      </c>
      <c r="W417" s="17">
        <v>-0.54000870393571332</v>
      </c>
      <c r="X417" s="17">
        <v>-0.93446499101467595</v>
      </c>
      <c r="Y417" s="17">
        <v>1.3623707400649003</v>
      </c>
      <c r="Z417" s="17">
        <v>0.73556995189170193</v>
      </c>
      <c r="AA417" s="17">
        <v>1.6983871669386827</v>
      </c>
      <c r="AB417" s="17">
        <v>-1.2113068807979621</v>
      </c>
      <c r="AC417" s="17">
        <v>1.5906603286575782</v>
      </c>
      <c r="AD417" s="17">
        <v>-0.8593627097567913</v>
      </c>
      <c r="AE417" s="17">
        <v>1.3374666300864129</v>
      </c>
      <c r="AF417" s="17">
        <v>1.6049118769290147</v>
      </c>
      <c r="AG417" s="17">
        <v>1.3481853892245086</v>
      </c>
      <c r="AH417" s="17">
        <v>0.33128292594394448</v>
      </c>
      <c r="AI417" s="17">
        <v>-1.6572512841003593</v>
      </c>
      <c r="AJ417" s="17">
        <v>-0.4315878441673433</v>
      </c>
      <c r="AK417" s="17">
        <v>0.36873231789887984</v>
      </c>
      <c r="AM417" s="17">
        <v>-0.72824457001045384</v>
      </c>
      <c r="AN417" s="17">
        <v>0.72298271287724425</v>
      </c>
      <c r="AO417" s="17">
        <v>0.81722799715622108</v>
      </c>
      <c r="AP417" s="17">
        <v>0.31904870618771619</v>
      </c>
      <c r="AQ417" s="17">
        <v>0.88373552249122445</v>
      </c>
      <c r="AR417" s="17">
        <v>-0.53074546702524505</v>
      </c>
      <c r="AS417" s="17">
        <v>-0.76088982113527182</v>
      </c>
      <c r="AT417" s="17">
        <v>0.88783009693279691</v>
      </c>
      <c r="AU417" s="17">
        <v>0.66764263952460856</v>
      </c>
      <c r="AV417" s="17">
        <v>0.94294918731411259</v>
      </c>
      <c r="AW417" s="17">
        <v>-0.84486514093596621</v>
      </c>
      <c r="AX417" s="17">
        <v>0.928794770838553</v>
      </c>
      <c r="AY417" s="17">
        <v>-0.71607736136416</v>
      </c>
      <c r="AZ417" s="17">
        <v>0.88847306375872781</v>
      </c>
      <c r="BA417" s="17">
        <v>0.92685147637497811</v>
      </c>
      <c r="BB417" s="17">
        <v>0.88022028104051375</v>
      </c>
      <c r="BC417" s="17">
        <v>0.34100590066434933</v>
      </c>
      <c r="BD417" s="17">
        <v>-0.93973786014350946</v>
      </c>
      <c r="BE417" s="17">
        <v>-0.42755163083430497</v>
      </c>
      <c r="BF417" s="17">
        <v>0.23119802653799915</v>
      </c>
      <c r="BK417" s="20">
        <v>1.0600941025155259</v>
      </c>
      <c r="BL417" s="20">
        <v>-6.0201156070661115E-2</v>
      </c>
      <c r="BN417" s="21">
        <f t="shared" si="20"/>
        <v>0</v>
      </c>
    </row>
    <row r="418" spans="1:66">
      <c r="A418" s="14">
        <v>9.4049999999999994</v>
      </c>
      <c r="B418" s="14">
        <v>21.7</v>
      </c>
      <c r="C418" s="14">
        <v>59.6</v>
      </c>
      <c r="D418" s="14">
        <v>271.2</v>
      </c>
      <c r="E418" s="14">
        <v>6.1589999999999999E-2</v>
      </c>
      <c r="F418" s="14">
        <v>2.0469999999999999E-2</v>
      </c>
      <c r="G418" s="14">
        <v>1.257E-2</v>
      </c>
      <c r="H418" s="14">
        <v>10.85</v>
      </c>
      <c r="I418" s="14">
        <v>359.4</v>
      </c>
      <c r="J418" s="14">
        <v>3.7699999999999997E-2</v>
      </c>
      <c r="M418" s="16">
        <v>0</v>
      </c>
      <c r="O418" s="12">
        <f t="shared" si="18"/>
        <v>1</v>
      </c>
      <c r="P418" s="12">
        <f t="shared" si="19"/>
        <v>0</v>
      </c>
      <c r="R418" s="17">
        <v>-0.86216493245391179</v>
      </c>
      <c r="S418" s="17">
        <v>0.86592397083683859</v>
      </c>
      <c r="T418" s="17">
        <v>1.1492407566427856</v>
      </c>
      <c r="U418" s="17">
        <v>0.30971288832147947</v>
      </c>
      <c r="V418" s="17">
        <v>1.322038261257461</v>
      </c>
      <c r="W418" s="17">
        <v>-0.54000870393571332</v>
      </c>
      <c r="X418" s="17">
        <v>-0.93446499101467595</v>
      </c>
      <c r="Y418" s="17">
        <v>1.3623707400649003</v>
      </c>
      <c r="Z418" s="17">
        <v>0.73556995189170193</v>
      </c>
      <c r="AA418" s="17">
        <v>1.6983871669386827</v>
      </c>
      <c r="AB418" s="17">
        <v>-1.2113068807979621</v>
      </c>
      <c r="AC418" s="17">
        <v>1.5906603286575782</v>
      </c>
      <c r="AD418" s="17">
        <v>-0.8593627097567913</v>
      </c>
      <c r="AE418" s="17">
        <v>1.3374666300864129</v>
      </c>
      <c r="AF418" s="17">
        <v>1.6049118769290147</v>
      </c>
      <c r="AG418" s="17">
        <v>1.3481853892245086</v>
      </c>
      <c r="AH418" s="17">
        <v>0.33128292594394448</v>
      </c>
      <c r="AI418" s="17">
        <v>-1.6572512841003593</v>
      </c>
      <c r="AJ418" s="17">
        <v>-0.4315878441673433</v>
      </c>
      <c r="AK418" s="17">
        <v>0.36873422441298942</v>
      </c>
      <c r="AM418" s="17">
        <v>-0.68412711102385515</v>
      </c>
      <c r="AN418" s="17">
        <v>0.69101297969655984</v>
      </c>
      <c r="AO418" s="17">
        <v>0.80926060935114952</v>
      </c>
      <c r="AP418" s="17">
        <v>0.29283330558355763</v>
      </c>
      <c r="AQ418" s="17">
        <v>0.86152096015607904</v>
      </c>
      <c r="AR418" s="17">
        <v>-0.47521861983556274</v>
      </c>
      <c r="AS418" s="17">
        <v>-0.72095490569899123</v>
      </c>
      <c r="AT418" s="17">
        <v>0.87486208423644118</v>
      </c>
      <c r="AU418" s="17">
        <v>0.60639229600840805</v>
      </c>
      <c r="AV418" s="17">
        <v>0.93345540375420166</v>
      </c>
      <c r="AW418" s="17">
        <v>-0.83787785941579884</v>
      </c>
      <c r="AX418" s="17">
        <v>0.91849971449367263</v>
      </c>
      <c r="AY418" s="17">
        <v>-0.69004777139455509</v>
      </c>
      <c r="AZ418" s="17">
        <v>0.86447006488715916</v>
      </c>
      <c r="BA418" s="17">
        <v>0.92336061474179087</v>
      </c>
      <c r="BB418" s="17">
        <v>0.87449174834893806</v>
      </c>
      <c r="BC418" s="17">
        <v>0.31101249295275124</v>
      </c>
      <c r="BD418" s="17">
        <v>-0.9267382935630194</v>
      </c>
      <c r="BE418" s="17">
        <v>-0.3992182494808425</v>
      </c>
      <c r="BF418" s="17">
        <v>-7.8968221826542558E-3</v>
      </c>
      <c r="BK418" s="20">
        <v>-4.13554582337302E-2</v>
      </c>
      <c r="BL418" s="20">
        <v>1.0413892350096374</v>
      </c>
      <c r="BN418" s="21">
        <f t="shared" si="20"/>
        <v>1</v>
      </c>
    </row>
    <row r="419" spans="1:66">
      <c r="A419" s="14">
        <v>15.5</v>
      </c>
      <c r="B419" s="14">
        <v>21.08</v>
      </c>
      <c r="C419" s="14">
        <v>102.9</v>
      </c>
      <c r="D419" s="14">
        <v>803.1</v>
      </c>
      <c r="E419" s="14">
        <v>0.15709999999999999</v>
      </c>
      <c r="F419" s="14">
        <v>0.1522</v>
      </c>
      <c r="G419" s="14">
        <v>8.4809999999999997E-2</v>
      </c>
      <c r="H419" s="14">
        <v>23.17</v>
      </c>
      <c r="I419" s="14">
        <v>1748</v>
      </c>
      <c r="J419" s="14">
        <v>0.21340000000000001</v>
      </c>
      <c r="M419" s="16">
        <v>1</v>
      </c>
      <c r="O419" s="12">
        <f t="shared" si="18"/>
        <v>0</v>
      </c>
      <c r="P419" s="12">
        <f t="shared" si="19"/>
        <v>1</v>
      </c>
      <c r="R419" s="17">
        <v>-1.4643074708783446</v>
      </c>
      <c r="S419" s="17">
        <v>1.0359333700219733</v>
      </c>
      <c r="T419" s="17">
        <v>0.4503249130137873</v>
      </c>
      <c r="U419" s="17">
        <v>0.47751119115197871</v>
      </c>
      <c r="V419" s="17">
        <v>1.5052132201123889</v>
      </c>
      <c r="W419" s="17">
        <v>-1.2567352733816861</v>
      </c>
      <c r="X419" s="17">
        <v>-1.4659127711484521</v>
      </c>
      <c r="Y419" s="17">
        <v>0.877385815472147</v>
      </c>
      <c r="Z419" s="17">
        <v>1.7463530467411736</v>
      </c>
      <c r="AA419" s="17">
        <v>1.2163845753889837</v>
      </c>
      <c r="AB419" s="17">
        <v>-0.28839333793737798</v>
      </c>
      <c r="AC419" s="17">
        <v>1.0652147513376473</v>
      </c>
      <c r="AD419" s="17">
        <v>-0.81583654438301023</v>
      </c>
      <c r="AE419" s="17">
        <v>1.6894094608623824</v>
      </c>
      <c r="AF419" s="17">
        <v>0.2496334827590041</v>
      </c>
      <c r="AG419" s="17">
        <v>0.29010426800531797</v>
      </c>
      <c r="AH419" s="17">
        <v>0.55723475600471262</v>
      </c>
      <c r="AI419" s="17">
        <v>-1.603629768829455</v>
      </c>
      <c r="AJ419" s="17">
        <v>-0.55690825498325469</v>
      </c>
      <c r="AK419" s="17">
        <v>0.41256201738018505</v>
      </c>
      <c r="AM419" s="17">
        <v>-0.88228329811646267</v>
      </c>
      <c r="AN419" s="17">
        <v>0.77606205631432235</v>
      </c>
      <c r="AO419" s="17">
        <v>0.7374551881935012</v>
      </c>
      <c r="AP419" s="17">
        <v>0.42852693687695981</v>
      </c>
      <c r="AQ419" s="17">
        <v>0.90836843249728427</v>
      </c>
      <c r="AR419" s="17">
        <v>-0.81664173335023138</v>
      </c>
      <c r="AS419" s="17">
        <v>-0.88595433562406511</v>
      </c>
      <c r="AT419" s="17">
        <v>0.76648727350924772</v>
      </c>
      <c r="AU419" s="17">
        <v>0.92018053295085578</v>
      </c>
      <c r="AV419" s="17">
        <v>0.87682470454145656</v>
      </c>
      <c r="AW419" s="17">
        <v>-0.45914368096943664</v>
      </c>
      <c r="AX419" s="17">
        <v>0.83810393008042305</v>
      </c>
      <c r="AY419" s="17">
        <v>-0.69286313659289112</v>
      </c>
      <c r="AZ419" s="17">
        <v>0.93188363377073513</v>
      </c>
      <c r="BA419" s="17">
        <v>0.49962407164443301</v>
      </c>
      <c r="BB419" s="17">
        <v>0.48306205653911677</v>
      </c>
      <c r="BC419" s="17">
        <v>0.48393621403640397</v>
      </c>
      <c r="BD419" s="17">
        <v>-0.93164437910532738</v>
      </c>
      <c r="BE419" s="17">
        <v>-0.50002932902102171</v>
      </c>
      <c r="BF419" s="17">
        <v>0.75414105699112821</v>
      </c>
      <c r="BK419" s="20">
        <v>1.0434479446312288</v>
      </c>
      <c r="BL419" s="20">
        <v>-4.3517281648555374E-2</v>
      </c>
      <c r="BN419" s="21">
        <f t="shared" si="20"/>
        <v>0</v>
      </c>
    </row>
    <row r="420" spans="1:66">
      <c r="A420" s="14">
        <v>12.7</v>
      </c>
      <c r="B420" s="14">
        <v>12.17</v>
      </c>
      <c r="C420" s="14">
        <v>80.88</v>
      </c>
      <c r="D420" s="14">
        <v>495</v>
      </c>
      <c r="E420" s="14">
        <v>5.7939999999999998E-2</v>
      </c>
      <c r="F420" s="14">
        <v>2.3599999999999999E-2</v>
      </c>
      <c r="G420" s="14">
        <v>2.402E-2</v>
      </c>
      <c r="H420" s="14">
        <v>13.65</v>
      </c>
      <c r="I420" s="14">
        <v>566.9</v>
      </c>
      <c r="J420" s="14">
        <v>8.2239999999999994E-2</v>
      </c>
      <c r="M420" s="16">
        <v>0</v>
      </c>
      <c r="O420" s="12">
        <f t="shared" si="18"/>
        <v>1</v>
      </c>
      <c r="P420" s="12">
        <f t="shared" si="19"/>
        <v>0</v>
      </c>
      <c r="R420" s="17">
        <v>-0.86216493245391179</v>
      </c>
      <c r="S420" s="17">
        <v>0.86592397083683859</v>
      </c>
      <c r="T420" s="17">
        <v>1.1492407566427856</v>
      </c>
      <c r="U420" s="17">
        <v>0.30971288832147947</v>
      </c>
      <c r="V420" s="17">
        <v>1.322038261257461</v>
      </c>
      <c r="W420" s="17">
        <v>-0.54000870393571332</v>
      </c>
      <c r="X420" s="17">
        <v>-0.93446499101467595</v>
      </c>
      <c r="Y420" s="17">
        <v>1.3623707400649003</v>
      </c>
      <c r="Z420" s="17">
        <v>0.73556995189170193</v>
      </c>
      <c r="AA420" s="17">
        <v>1.6983871669386827</v>
      </c>
      <c r="AB420" s="17">
        <v>-1.2113068807979621</v>
      </c>
      <c r="AC420" s="17">
        <v>1.5906603286575782</v>
      </c>
      <c r="AD420" s="17">
        <v>-0.8593627097567913</v>
      </c>
      <c r="AE420" s="17">
        <v>1.3374666300864129</v>
      </c>
      <c r="AF420" s="17">
        <v>1.6049118769290147</v>
      </c>
      <c r="AG420" s="17">
        <v>1.3481853892245086</v>
      </c>
      <c r="AH420" s="17">
        <v>0.33128292594394448</v>
      </c>
      <c r="AI420" s="17">
        <v>-1.6572512841003593</v>
      </c>
      <c r="AJ420" s="17">
        <v>-0.4315878441673433</v>
      </c>
      <c r="AK420" s="17">
        <v>0.36873422441289272</v>
      </c>
      <c r="AM420" s="17">
        <v>-0.65610342283656864</v>
      </c>
      <c r="AN420" s="17">
        <v>0.65416588533807973</v>
      </c>
      <c r="AO420" s="17">
        <v>0.75718302299219942</v>
      </c>
      <c r="AP420" s="17">
        <v>0.27435762587395712</v>
      </c>
      <c r="AQ420" s="17">
        <v>0.83167486227687126</v>
      </c>
      <c r="AR420" s="17">
        <v>-0.46022315129281827</v>
      </c>
      <c r="AS420" s="17">
        <v>-0.69104204932923963</v>
      </c>
      <c r="AT420" s="17">
        <v>0.83947294653330473</v>
      </c>
      <c r="AU420" s="17">
        <v>0.59043704203867353</v>
      </c>
      <c r="AV420" s="17">
        <v>0.90905597761405132</v>
      </c>
      <c r="AW420" s="17">
        <v>-0.79188342069199946</v>
      </c>
      <c r="AX420" s="17">
        <v>0.89050415599161126</v>
      </c>
      <c r="AY420" s="17">
        <v>-0.64883667449669014</v>
      </c>
      <c r="AZ420" s="17">
        <v>0.83670572547785338</v>
      </c>
      <c r="BA420" s="17">
        <v>0.89046600851614011</v>
      </c>
      <c r="BB420" s="17">
        <v>0.83292677788743785</v>
      </c>
      <c r="BC420" s="17">
        <v>0.29305879893810571</v>
      </c>
      <c r="BD420" s="17">
        <v>-0.90364307987720793</v>
      </c>
      <c r="BE420" s="17">
        <v>-0.37193611083275885</v>
      </c>
      <c r="BF420" s="17">
        <v>9.5353097109424093E-2</v>
      </c>
      <c r="BK420" s="20">
        <v>1.0471779620669974</v>
      </c>
      <c r="BL420" s="20">
        <v>-4.7274641052956812E-2</v>
      </c>
      <c r="BN420" s="21">
        <f t="shared" si="20"/>
        <v>0</v>
      </c>
    </row>
    <row r="421" spans="1:66">
      <c r="A421" s="14">
        <v>11.16</v>
      </c>
      <c r="B421" s="14">
        <v>21.41</v>
      </c>
      <c r="C421" s="14">
        <v>70.95</v>
      </c>
      <c r="D421" s="14">
        <v>380.3</v>
      </c>
      <c r="E421" s="14">
        <v>5.978E-2</v>
      </c>
      <c r="F421" s="14">
        <v>8.9549999999999994E-3</v>
      </c>
      <c r="G421" s="14">
        <v>1.076E-2</v>
      </c>
      <c r="H421" s="14">
        <v>12.36</v>
      </c>
      <c r="I421" s="14">
        <v>458</v>
      </c>
      <c r="J421" s="14">
        <v>4.3060000000000001E-2</v>
      </c>
      <c r="M421" s="16">
        <v>0</v>
      </c>
      <c r="O421" s="12">
        <f t="shared" si="18"/>
        <v>1</v>
      </c>
      <c r="P421" s="12">
        <f t="shared" si="19"/>
        <v>0</v>
      </c>
      <c r="R421" s="17">
        <v>-0.86216493245391179</v>
      </c>
      <c r="S421" s="17">
        <v>0.86592397083683859</v>
      </c>
      <c r="T421" s="17">
        <v>1.1492407566427856</v>
      </c>
      <c r="U421" s="17">
        <v>0.30971288832147947</v>
      </c>
      <c r="V421" s="17">
        <v>1.322038261257461</v>
      </c>
      <c r="W421" s="17">
        <v>-0.54000870393571332</v>
      </c>
      <c r="X421" s="17">
        <v>-0.93446499101467595</v>
      </c>
      <c r="Y421" s="17">
        <v>1.3623707400649003</v>
      </c>
      <c r="Z421" s="17">
        <v>0.73556995189170193</v>
      </c>
      <c r="AA421" s="17">
        <v>1.6983871669386827</v>
      </c>
      <c r="AB421" s="17">
        <v>-1.2113068807979621</v>
      </c>
      <c r="AC421" s="17">
        <v>1.5906603286575782</v>
      </c>
      <c r="AD421" s="17">
        <v>-0.8593627097567913</v>
      </c>
      <c r="AE421" s="17">
        <v>1.3374666300864129</v>
      </c>
      <c r="AF421" s="17">
        <v>1.6049118769290147</v>
      </c>
      <c r="AG421" s="17">
        <v>1.3481853892245086</v>
      </c>
      <c r="AH421" s="17">
        <v>0.33128292594394448</v>
      </c>
      <c r="AI421" s="17">
        <v>-1.6572512841003593</v>
      </c>
      <c r="AJ421" s="17">
        <v>-0.4315878441673433</v>
      </c>
      <c r="AK421" s="17">
        <v>0.36873422441298942</v>
      </c>
      <c r="AM421" s="17">
        <v>-0.61790228465959884</v>
      </c>
      <c r="AN421" s="17">
        <v>0.64169704805976691</v>
      </c>
      <c r="AO421" s="17">
        <v>0.77197631851347204</v>
      </c>
      <c r="AP421" s="17">
        <v>0.25735176317721331</v>
      </c>
      <c r="AQ421" s="17">
        <v>0.82372858824204831</v>
      </c>
      <c r="AR421" s="17">
        <v>-0.39997147022751856</v>
      </c>
      <c r="AS421" s="17">
        <v>-0.65967438369682441</v>
      </c>
      <c r="AT421" s="17">
        <v>0.85112132256341511</v>
      </c>
      <c r="AU421" s="17">
        <v>0.51839633653435546</v>
      </c>
      <c r="AV421" s="17">
        <v>0.91554822437705041</v>
      </c>
      <c r="AW421" s="17">
        <v>-0.82153772748443299</v>
      </c>
      <c r="AX421" s="17">
        <v>0.8991895889924747</v>
      </c>
      <c r="AY421" s="17">
        <v>-0.64867607295397478</v>
      </c>
      <c r="AZ421" s="17">
        <v>0.82363874179373564</v>
      </c>
      <c r="BA421" s="17">
        <v>0.91378898799977692</v>
      </c>
      <c r="BB421" s="17">
        <v>0.86052427148043376</v>
      </c>
      <c r="BC421" s="17">
        <v>0.27079890658511652</v>
      </c>
      <c r="BD421" s="17">
        <v>-0.902991295500155</v>
      </c>
      <c r="BE421" s="17">
        <v>-0.35916777751164058</v>
      </c>
      <c r="BF421" s="17">
        <v>-0.42596606909376078</v>
      </c>
      <c r="BK421" s="20">
        <v>1.0272682775946991</v>
      </c>
      <c r="BL421" s="20">
        <v>-2.7298932014784671E-2</v>
      </c>
      <c r="BN421" s="21">
        <f t="shared" si="20"/>
        <v>0</v>
      </c>
    </row>
    <row r="422" spans="1:66">
      <c r="A422" s="14">
        <v>11.57</v>
      </c>
      <c r="B422" s="14">
        <v>19.04</v>
      </c>
      <c r="C422" s="14">
        <v>74.2</v>
      </c>
      <c r="D422" s="14">
        <v>409.7</v>
      </c>
      <c r="E422" s="14">
        <v>7.7219999999999997E-2</v>
      </c>
      <c r="F422" s="14">
        <v>5.4850000000000003E-2</v>
      </c>
      <c r="G422" s="14">
        <v>1.4279999999999999E-2</v>
      </c>
      <c r="H422" s="14">
        <v>13.07</v>
      </c>
      <c r="I422" s="14">
        <v>520.5</v>
      </c>
      <c r="J422" s="14">
        <v>6.6640000000000005E-2</v>
      </c>
      <c r="M422" s="16">
        <v>0</v>
      </c>
      <c r="O422" s="12">
        <f t="shared" si="18"/>
        <v>1</v>
      </c>
      <c r="P422" s="12">
        <f t="shared" si="19"/>
        <v>0</v>
      </c>
      <c r="R422" s="17">
        <v>-0.86216493245391179</v>
      </c>
      <c r="S422" s="17">
        <v>0.86592397083683859</v>
      </c>
      <c r="T422" s="17">
        <v>1.1492407566427856</v>
      </c>
      <c r="U422" s="17">
        <v>0.30971288832147947</v>
      </c>
      <c r="V422" s="17">
        <v>1.322038261257461</v>
      </c>
      <c r="W422" s="17">
        <v>-0.54000870393571332</v>
      </c>
      <c r="X422" s="17">
        <v>-0.93446499101467595</v>
      </c>
      <c r="Y422" s="17">
        <v>1.3623707400649003</v>
      </c>
      <c r="Z422" s="17">
        <v>0.73556995189170193</v>
      </c>
      <c r="AA422" s="17">
        <v>1.6983871669386827</v>
      </c>
      <c r="AB422" s="17">
        <v>-1.2113068807979621</v>
      </c>
      <c r="AC422" s="17">
        <v>1.5906603286575782</v>
      </c>
      <c r="AD422" s="17">
        <v>-0.8593627097567913</v>
      </c>
      <c r="AE422" s="17">
        <v>1.3374666300864129</v>
      </c>
      <c r="AF422" s="17">
        <v>1.6049118769290147</v>
      </c>
      <c r="AG422" s="17">
        <v>1.3481853892245086</v>
      </c>
      <c r="AH422" s="17">
        <v>0.33128292594394448</v>
      </c>
      <c r="AI422" s="17">
        <v>-1.6572512841003593</v>
      </c>
      <c r="AJ422" s="17">
        <v>-0.4315878441673433</v>
      </c>
      <c r="AK422" s="17">
        <v>0.36873420709305971</v>
      </c>
      <c r="AM422" s="17">
        <v>-0.91265286405363122</v>
      </c>
      <c r="AN422" s="17">
        <v>0.78835571198683185</v>
      </c>
      <c r="AO422" s="17">
        <v>-5.0083454519423337E-2</v>
      </c>
      <c r="AP422" s="17">
        <v>0.46249433961116515</v>
      </c>
      <c r="AQ422" s="17">
        <v>0.91284140161354876</v>
      </c>
      <c r="AR422" s="17">
        <v>-0.87255469856021983</v>
      </c>
      <c r="AS422" s="17">
        <v>-0.91178305895807776</v>
      </c>
      <c r="AT422" s="17">
        <v>0.68748459127917849</v>
      </c>
      <c r="AU422" s="17">
        <v>0.95346767271944877</v>
      </c>
      <c r="AV422" s="17">
        <v>0.82973558544174741</v>
      </c>
      <c r="AW422" s="17">
        <v>-0.20083174643500398</v>
      </c>
      <c r="AX422" s="17">
        <v>0.7738193748453458</v>
      </c>
      <c r="AY422" s="17">
        <v>-0.67684544025883098</v>
      </c>
      <c r="AZ422" s="17">
        <v>0.94107732409614309</v>
      </c>
      <c r="BA422" s="17">
        <v>0.12202625759310715</v>
      </c>
      <c r="BB422" s="17">
        <v>0.18997745835750851</v>
      </c>
      <c r="BC422" s="17">
        <v>0.5276921547793485</v>
      </c>
      <c r="BD422" s="17">
        <v>-0.92481494352565985</v>
      </c>
      <c r="BE422" s="17">
        <v>-0.52042052946096673</v>
      </c>
      <c r="BF422" s="17">
        <v>-0.63246168220719567</v>
      </c>
      <c r="BK422" s="20">
        <v>1.0152514547003217</v>
      </c>
      <c r="BL422" s="20">
        <v>-1.5285164484701448E-2</v>
      </c>
      <c r="BN422" s="21">
        <f t="shared" si="20"/>
        <v>0</v>
      </c>
    </row>
    <row r="423" spans="1:66">
      <c r="A423" s="14">
        <v>14.69</v>
      </c>
      <c r="B423" s="14">
        <v>13.98</v>
      </c>
      <c r="C423" s="14">
        <v>98.22</v>
      </c>
      <c r="D423" s="14">
        <v>656.1</v>
      </c>
      <c r="E423" s="14">
        <v>0.18360000000000001</v>
      </c>
      <c r="F423" s="14">
        <v>0.14499999999999999</v>
      </c>
      <c r="G423" s="14">
        <v>6.3E-2</v>
      </c>
      <c r="H423" s="14">
        <v>16.46</v>
      </c>
      <c r="I423" s="14">
        <v>809.2</v>
      </c>
      <c r="J423" s="14">
        <v>0.1108</v>
      </c>
      <c r="M423" s="16">
        <v>0</v>
      </c>
      <c r="O423" s="12">
        <f t="shared" si="18"/>
        <v>1</v>
      </c>
      <c r="P423" s="12">
        <f t="shared" si="19"/>
        <v>0</v>
      </c>
      <c r="R423" s="17">
        <v>-1.4643074708783446</v>
      </c>
      <c r="S423" s="17">
        <v>1.0359333700219733</v>
      </c>
      <c r="T423" s="17">
        <v>0.4503249130137873</v>
      </c>
      <c r="U423" s="17">
        <v>0.47751119115197871</v>
      </c>
      <c r="V423" s="17">
        <v>1.5052132201123889</v>
      </c>
      <c r="W423" s="17">
        <v>-1.2567352733816861</v>
      </c>
      <c r="X423" s="17">
        <v>-1.4659127711484521</v>
      </c>
      <c r="Y423" s="17">
        <v>0.877385815472147</v>
      </c>
      <c r="Z423" s="17">
        <v>1.7463530467411736</v>
      </c>
      <c r="AA423" s="17">
        <v>1.2163845753889837</v>
      </c>
      <c r="AB423" s="17">
        <v>-0.28839333793737798</v>
      </c>
      <c r="AC423" s="17">
        <v>1.0652147513376473</v>
      </c>
      <c r="AD423" s="17">
        <v>-0.81583654438301023</v>
      </c>
      <c r="AE423" s="17">
        <v>1.6894094608623824</v>
      </c>
      <c r="AF423" s="17">
        <v>0.2496334827590041</v>
      </c>
      <c r="AG423" s="17">
        <v>0.29010426800531797</v>
      </c>
      <c r="AH423" s="17">
        <v>0.55723475600471262</v>
      </c>
      <c r="AI423" s="17">
        <v>-1.603629768829455</v>
      </c>
      <c r="AJ423" s="17">
        <v>-0.55690825498325469</v>
      </c>
      <c r="AK423" s="17">
        <v>0.41256201738018505</v>
      </c>
      <c r="AM423" s="17">
        <v>-0.9214635088552795</v>
      </c>
      <c r="AN423" s="17">
        <v>0.80182541449717659</v>
      </c>
      <c r="AO423" s="17">
        <v>0.11455954395846758</v>
      </c>
      <c r="AP423" s="17">
        <v>0.47636755611489923</v>
      </c>
      <c r="AQ423" s="17">
        <v>0.92119802041687338</v>
      </c>
      <c r="AR423" s="17">
        <v>-0.88389925451595019</v>
      </c>
      <c r="AS423" s="17">
        <v>-0.92057635629098966</v>
      </c>
      <c r="AT423" s="17">
        <v>0.70025123863755556</v>
      </c>
      <c r="AU423" s="17">
        <v>0.95935359672164389</v>
      </c>
      <c r="AV423" s="17">
        <v>0.84064293331177276</v>
      </c>
      <c r="AW423" s="17">
        <v>-0.20114126428945933</v>
      </c>
      <c r="AX423" s="17">
        <v>0.78578533002468454</v>
      </c>
      <c r="AY423" s="17">
        <v>-0.69123247757346895</v>
      </c>
      <c r="AZ423" s="17">
        <v>0.94761648089722306</v>
      </c>
      <c r="BA423" s="17">
        <v>0.11671907609779755</v>
      </c>
      <c r="BB423" s="17">
        <v>0.18901765302274293</v>
      </c>
      <c r="BC423" s="17">
        <v>0.54272782316169521</v>
      </c>
      <c r="BD423" s="17">
        <v>-0.93218308881304357</v>
      </c>
      <c r="BE423" s="17">
        <v>-0.53487867079819651</v>
      </c>
      <c r="BF423" s="17">
        <v>1.7450340490406273E-2</v>
      </c>
      <c r="BK423" s="20">
        <v>0.96888682484673461</v>
      </c>
      <c r="BL423" s="20">
        <v>3.0978015382896181E-2</v>
      </c>
      <c r="BN423" s="21">
        <f t="shared" si="20"/>
        <v>0</v>
      </c>
    </row>
    <row r="424" spans="1:66">
      <c r="A424" s="14">
        <v>11.61</v>
      </c>
      <c r="B424" s="14">
        <v>16.02</v>
      </c>
      <c r="C424" s="14">
        <v>75.459999999999994</v>
      </c>
      <c r="D424" s="14">
        <v>408.2</v>
      </c>
      <c r="E424" s="14">
        <v>0.1168</v>
      </c>
      <c r="F424" s="14">
        <v>7.0970000000000005E-2</v>
      </c>
      <c r="G424" s="14">
        <v>4.4970000000000003E-2</v>
      </c>
      <c r="H424" s="14">
        <v>12.64</v>
      </c>
      <c r="I424" s="14">
        <v>475.7</v>
      </c>
      <c r="J424" s="14">
        <v>0.1105</v>
      </c>
      <c r="M424" s="16">
        <v>0</v>
      </c>
      <c r="O424" s="12">
        <f t="shared" si="18"/>
        <v>1</v>
      </c>
      <c r="P424" s="12">
        <f t="shared" si="19"/>
        <v>0</v>
      </c>
      <c r="R424" s="17">
        <v>-0.86216493245391179</v>
      </c>
      <c r="S424" s="17">
        <v>0.86592397083683859</v>
      </c>
      <c r="T424" s="17">
        <v>1.1492407566427856</v>
      </c>
      <c r="U424" s="17">
        <v>0.30971288832147947</v>
      </c>
      <c r="V424" s="17">
        <v>1.322038261257461</v>
      </c>
      <c r="W424" s="17">
        <v>-0.54000870393571332</v>
      </c>
      <c r="X424" s="17">
        <v>-0.93446499101467595</v>
      </c>
      <c r="Y424" s="17">
        <v>1.3623707400649003</v>
      </c>
      <c r="Z424" s="17">
        <v>0.73556995189170193</v>
      </c>
      <c r="AA424" s="17">
        <v>1.6983871669386827</v>
      </c>
      <c r="AB424" s="17">
        <v>-1.2113068807979621</v>
      </c>
      <c r="AC424" s="17">
        <v>1.5906603286575782</v>
      </c>
      <c r="AD424" s="17">
        <v>-0.8593627097567913</v>
      </c>
      <c r="AE424" s="17">
        <v>1.3374666300864129</v>
      </c>
      <c r="AF424" s="17">
        <v>1.6049118769290147</v>
      </c>
      <c r="AG424" s="17">
        <v>1.3481853892245086</v>
      </c>
      <c r="AH424" s="17">
        <v>0.33128292594394448</v>
      </c>
      <c r="AI424" s="17">
        <v>-1.6572512841003593</v>
      </c>
      <c r="AJ424" s="17">
        <v>-0.4315878441673433</v>
      </c>
      <c r="AK424" s="17">
        <v>-1.2433669287532481</v>
      </c>
      <c r="AM424" s="17">
        <v>-0.73759286618564956</v>
      </c>
      <c r="AN424" s="17">
        <v>0.71719358783252751</v>
      </c>
      <c r="AO424" s="17">
        <v>0.78894348622376398</v>
      </c>
      <c r="AP424" s="17">
        <v>0.32232438905515082</v>
      </c>
      <c r="AQ424" s="17">
        <v>0.87835845339977237</v>
      </c>
      <c r="AR424" s="17">
        <v>-0.55741337655248435</v>
      </c>
      <c r="AS424" s="17">
        <v>-0.76626277788928954</v>
      </c>
      <c r="AT424" s="17">
        <v>0.87088748358911117</v>
      </c>
      <c r="AU424" s="17">
        <v>0.69659437908929467</v>
      </c>
      <c r="AV424" s="17">
        <v>0.9328382290278463</v>
      </c>
      <c r="AW424" s="17">
        <v>-0.81267102014072246</v>
      </c>
      <c r="AX424" s="17">
        <v>0.91625752707983432</v>
      </c>
      <c r="AY424" s="17">
        <v>-0.70230757295514457</v>
      </c>
      <c r="AZ424" s="17">
        <v>0.88593341344545629</v>
      </c>
      <c r="BA424" s="17">
        <v>0.90316710869827066</v>
      </c>
      <c r="BB424" s="17">
        <v>0.85098493258607988</v>
      </c>
      <c r="BC424" s="17">
        <v>0.34749275875910784</v>
      </c>
      <c r="BD424" s="17">
        <v>-0.93345876113297943</v>
      </c>
      <c r="BE424" s="17">
        <v>-0.42511606488744064</v>
      </c>
      <c r="BF424" s="17">
        <v>-2.0773191908629623E-2</v>
      </c>
      <c r="BK424" s="20">
        <v>0.76444159364671094</v>
      </c>
      <c r="BL424" s="20">
        <v>0.23564352907707359</v>
      </c>
      <c r="BN424" s="21">
        <f t="shared" si="20"/>
        <v>0</v>
      </c>
    </row>
    <row r="425" spans="1:66">
      <c r="A425" s="14">
        <v>13.66</v>
      </c>
      <c r="B425" s="14">
        <v>19.13</v>
      </c>
      <c r="C425" s="14">
        <v>89.46</v>
      </c>
      <c r="D425" s="14">
        <v>575.29999999999995</v>
      </c>
      <c r="E425" s="14">
        <v>0.1147</v>
      </c>
      <c r="F425" s="14">
        <v>9.6570000000000003E-2</v>
      </c>
      <c r="G425" s="14">
        <v>4.8120000000000003E-2</v>
      </c>
      <c r="H425" s="14">
        <v>15.14</v>
      </c>
      <c r="I425" s="14">
        <v>708.8</v>
      </c>
      <c r="J425" s="14">
        <v>0.14069999999999999</v>
      </c>
      <c r="M425" s="16">
        <v>0</v>
      </c>
      <c r="O425" s="12">
        <f t="shared" si="18"/>
        <v>1</v>
      </c>
      <c r="P425" s="12">
        <f t="shared" si="19"/>
        <v>0</v>
      </c>
      <c r="R425" s="17">
        <v>-0.86216493245391179</v>
      </c>
      <c r="S425" s="17">
        <v>0.86592397083683859</v>
      </c>
      <c r="T425" s="17">
        <v>1.1492407566427856</v>
      </c>
      <c r="U425" s="17">
        <v>0.30971288832147947</v>
      </c>
      <c r="V425" s="17">
        <v>1.322038261257461</v>
      </c>
      <c r="W425" s="17">
        <v>-0.54000870393571332</v>
      </c>
      <c r="X425" s="17">
        <v>-0.93446499101467595</v>
      </c>
      <c r="Y425" s="17">
        <v>1.3623707400649003</v>
      </c>
      <c r="Z425" s="17">
        <v>0.73556995189170193</v>
      </c>
      <c r="AA425" s="17">
        <v>1.6983871669386827</v>
      </c>
      <c r="AB425" s="17">
        <v>-1.2113068807979621</v>
      </c>
      <c r="AC425" s="17">
        <v>1.5906603286575782</v>
      </c>
      <c r="AD425" s="17">
        <v>-0.8593627097567913</v>
      </c>
      <c r="AE425" s="17">
        <v>1.3374666300864129</v>
      </c>
      <c r="AF425" s="17">
        <v>1.6049118769290147</v>
      </c>
      <c r="AG425" s="17">
        <v>1.3481853892245086</v>
      </c>
      <c r="AH425" s="17">
        <v>0.33128292594394448</v>
      </c>
      <c r="AI425" s="17">
        <v>-1.6572512841003593</v>
      </c>
      <c r="AJ425" s="17">
        <v>-0.4315878441673433</v>
      </c>
      <c r="AK425" s="17">
        <v>-1.6312499870677351</v>
      </c>
      <c r="AM425" s="17">
        <v>-0.74925711643546644</v>
      </c>
      <c r="AN425" s="17">
        <v>0.7247956833177055</v>
      </c>
      <c r="AO425" s="17">
        <v>0.82601190242431088</v>
      </c>
      <c r="AP425" s="17">
        <v>0.32966418062465697</v>
      </c>
      <c r="AQ425" s="17">
        <v>0.88336656190436513</v>
      </c>
      <c r="AR425" s="17">
        <v>-0.5740213675409519</v>
      </c>
      <c r="AS425" s="17">
        <v>-0.77653818254557205</v>
      </c>
      <c r="AT425" s="17">
        <v>0.87256304487667136</v>
      </c>
      <c r="AU425" s="17">
        <v>0.71373157593714498</v>
      </c>
      <c r="AV425" s="17">
        <v>0.93433062829822078</v>
      </c>
      <c r="AW425" s="17">
        <v>-0.81079074169344811</v>
      </c>
      <c r="AX425" s="17">
        <v>0.91770897817942598</v>
      </c>
      <c r="AY425" s="17">
        <v>-0.70766690155995726</v>
      </c>
      <c r="AZ425" s="17">
        <v>0.89151941376344412</v>
      </c>
      <c r="BA425" s="17">
        <v>0.90122100755721168</v>
      </c>
      <c r="BB425" s="17">
        <v>0.84907854045855924</v>
      </c>
      <c r="BC425" s="17">
        <v>0.35616014414857439</v>
      </c>
      <c r="BD425" s="17">
        <v>-0.93614164062453276</v>
      </c>
      <c r="BE425" s="17">
        <v>-0.43234626218725913</v>
      </c>
      <c r="BF425" s="17">
        <v>0.54254240983654467</v>
      </c>
      <c r="BK425" s="20">
        <v>1.0033084292121808</v>
      </c>
      <c r="BL425" s="20">
        <v>-3.2429812527378947E-3</v>
      </c>
      <c r="BN425" s="21">
        <f t="shared" si="20"/>
        <v>0</v>
      </c>
    </row>
    <row r="426" spans="1:66">
      <c r="A426" s="14">
        <v>9.7420000000000009</v>
      </c>
      <c r="B426" s="14">
        <v>19.12</v>
      </c>
      <c r="C426" s="14">
        <v>61.93</v>
      </c>
      <c r="D426" s="14">
        <v>289.7</v>
      </c>
      <c r="E426" s="14">
        <v>8.3330000000000001E-2</v>
      </c>
      <c r="F426" s="14">
        <v>8.9339999999999992E-3</v>
      </c>
      <c r="G426" s="14">
        <v>1.967E-2</v>
      </c>
      <c r="H426" s="14">
        <v>11.21</v>
      </c>
      <c r="I426" s="14">
        <v>380.9</v>
      </c>
      <c r="J426" s="14">
        <v>4.589E-2</v>
      </c>
      <c r="M426" s="16">
        <v>0</v>
      </c>
      <c r="O426" s="12">
        <f t="shared" si="18"/>
        <v>1</v>
      </c>
      <c r="P426" s="12">
        <f t="shared" si="19"/>
        <v>0</v>
      </c>
      <c r="R426" s="17">
        <v>-1.4643074708783446</v>
      </c>
      <c r="S426" s="17">
        <v>1.0359333700219733</v>
      </c>
      <c r="T426" s="17">
        <v>-1.5496011486667631</v>
      </c>
      <c r="U426" s="17">
        <v>0.47751119115197871</v>
      </c>
      <c r="V426" s="17">
        <v>1.5052132201123889</v>
      </c>
      <c r="W426" s="17">
        <v>-1.2567352733816861</v>
      </c>
      <c r="X426" s="17">
        <v>-1.4659127711484521</v>
      </c>
      <c r="Y426" s="17">
        <v>0.877385815472147</v>
      </c>
      <c r="Z426" s="17">
        <v>1.7463530467411736</v>
      </c>
      <c r="AA426" s="17">
        <v>1.2163845753889837</v>
      </c>
      <c r="AB426" s="17">
        <v>-0.28839333793737798</v>
      </c>
      <c r="AC426" s="17">
        <v>1.0652147513376473</v>
      </c>
      <c r="AD426" s="17">
        <v>-0.81583654438301023</v>
      </c>
      <c r="AE426" s="17">
        <v>1.6894094608623824</v>
      </c>
      <c r="AF426" s="17">
        <v>0.2496334827590041</v>
      </c>
      <c r="AG426" s="17">
        <v>0.29010426800531797</v>
      </c>
      <c r="AH426" s="17">
        <v>0.55723475600471262</v>
      </c>
      <c r="AI426" s="17">
        <v>-1.603629768829455</v>
      </c>
      <c r="AJ426" s="17">
        <v>-0.55690825498325469</v>
      </c>
      <c r="AK426" s="17">
        <v>-1.5874379826198148</v>
      </c>
      <c r="AM426" s="17">
        <v>-0.79745496677348404</v>
      </c>
      <c r="AN426" s="17">
        <v>0.73305211338790677</v>
      </c>
      <c r="AO426" s="17">
        <v>0.73695400230382635</v>
      </c>
      <c r="AP426" s="17">
        <v>0.35762247980277834</v>
      </c>
      <c r="AQ426" s="17">
        <v>0.88527620284164943</v>
      </c>
      <c r="AR426" s="17">
        <v>-0.66931091429961243</v>
      </c>
      <c r="AS426" s="17">
        <v>-0.81381671542714817</v>
      </c>
      <c r="AT426" s="17">
        <v>0.83143691252767316</v>
      </c>
      <c r="AU426" s="17">
        <v>0.80597230385531526</v>
      </c>
      <c r="AV426" s="17">
        <v>0.91083006808748634</v>
      </c>
      <c r="AW426" s="17">
        <v>-0.70560229874350966</v>
      </c>
      <c r="AX426" s="17">
        <v>0.88701747434444866</v>
      </c>
      <c r="AY426" s="17">
        <v>-0.69085140485334728</v>
      </c>
      <c r="AZ426" s="17">
        <v>0.90103814314881203</v>
      </c>
      <c r="BA426" s="17">
        <v>0.80572429942295321</v>
      </c>
      <c r="BB426" s="17">
        <v>0.74702497250887301</v>
      </c>
      <c r="BC426" s="17">
        <v>0.39476168526227468</v>
      </c>
      <c r="BD426" s="17">
        <v>-0.92880564613794692</v>
      </c>
      <c r="BE426" s="17">
        <v>-0.44720129307290263</v>
      </c>
      <c r="BF426" s="17">
        <v>0.37740428857077218</v>
      </c>
      <c r="BK426" s="20">
        <v>-5.3988121415870075E-2</v>
      </c>
      <c r="BL426" s="20">
        <v>1.0540082568257161</v>
      </c>
      <c r="BN426" s="21">
        <f t="shared" si="20"/>
        <v>1</v>
      </c>
    </row>
    <row r="427" spans="1:66">
      <c r="A427" s="14">
        <v>10.029999999999999</v>
      </c>
      <c r="B427" s="14">
        <v>21.28</v>
      </c>
      <c r="C427" s="14">
        <v>63.19</v>
      </c>
      <c r="D427" s="14">
        <v>307.3</v>
      </c>
      <c r="E427" s="14">
        <v>3.9120000000000002E-2</v>
      </c>
      <c r="F427" s="14">
        <v>2.47E-3</v>
      </c>
      <c r="G427" s="14">
        <v>5.1590000000000004E-3</v>
      </c>
      <c r="H427" s="14">
        <v>11.11</v>
      </c>
      <c r="I427" s="14">
        <v>376.3</v>
      </c>
      <c r="J427" s="14">
        <v>2.579E-2</v>
      </c>
      <c r="M427" s="16">
        <v>0</v>
      </c>
      <c r="O427" s="12">
        <f t="shared" si="18"/>
        <v>1</v>
      </c>
      <c r="P427" s="12">
        <f t="shared" si="19"/>
        <v>0</v>
      </c>
      <c r="R427" s="17">
        <v>-1.4643074708783446</v>
      </c>
      <c r="S427" s="17">
        <v>1.0359333700219733</v>
      </c>
      <c r="T427" s="17">
        <v>0.4503249130137873</v>
      </c>
      <c r="U427" s="17">
        <v>0.47751119115197871</v>
      </c>
      <c r="V427" s="17">
        <v>1.5052132201123889</v>
      </c>
      <c r="W427" s="17">
        <v>-1.2567352733816861</v>
      </c>
      <c r="X427" s="17">
        <v>-1.4659127711484521</v>
      </c>
      <c r="Y427" s="17">
        <v>0.877385815472147</v>
      </c>
      <c r="Z427" s="17">
        <v>1.7463530467411736</v>
      </c>
      <c r="AA427" s="17">
        <v>1.2163845753889837</v>
      </c>
      <c r="AB427" s="17">
        <v>-0.28839333793737798</v>
      </c>
      <c r="AC427" s="17">
        <v>1.0652147513376473</v>
      </c>
      <c r="AD427" s="17">
        <v>-0.81583654438301023</v>
      </c>
      <c r="AE427" s="17">
        <v>1.6894094608623824</v>
      </c>
      <c r="AF427" s="17">
        <v>0.2496334827590041</v>
      </c>
      <c r="AG427" s="17">
        <v>0.29010426800531797</v>
      </c>
      <c r="AH427" s="17">
        <v>0.55723475600471262</v>
      </c>
      <c r="AI427" s="17">
        <v>-1.603629768829455</v>
      </c>
      <c r="AJ427" s="17">
        <v>-0.55690825498325469</v>
      </c>
      <c r="AK427" s="17">
        <v>0.41256201738018505</v>
      </c>
      <c r="AM427" s="17">
        <v>-0.73834569199834832</v>
      </c>
      <c r="AN427" s="17">
        <v>0.71396999369633685</v>
      </c>
      <c r="AO427" s="17">
        <v>0.79367327155845802</v>
      </c>
      <c r="AP427" s="17">
        <v>0.32202996489901814</v>
      </c>
      <c r="AQ427" s="17">
        <v>0.87569508893416237</v>
      </c>
      <c r="AR427" s="17">
        <v>-0.56255629713065936</v>
      </c>
      <c r="AS427" s="17">
        <v>-0.76605104205281926</v>
      </c>
      <c r="AT427" s="17">
        <v>0.86479062619422553</v>
      </c>
      <c r="AU427" s="17">
        <v>0.7021433640716086</v>
      </c>
      <c r="AV427" s="17">
        <v>0.92904356449177572</v>
      </c>
      <c r="AW427" s="17">
        <v>-0.80176426889553032</v>
      </c>
      <c r="AX427" s="17">
        <v>0.91163616392134361</v>
      </c>
      <c r="AY427" s="17">
        <v>-0.6968997187139494</v>
      </c>
      <c r="AZ427" s="17">
        <v>0.88408992490744764</v>
      </c>
      <c r="BA427" s="17">
        <v>0.89472716120357887</v>
      </c>
      <c r="BB427" s="17">
        <v>0.84091056091172456</v>
      </c>
      <c r="BC427" s="17">
        <v>0.34796057545674813</v>
      </c>
      <c r="BD427" s="17">
        <v>-0.93085703009944543</v>
      </c>
      <c r="BE427" s="17">
        <v>-0.42304840088757556</v>
      </c>
      <c r="BF427" s="17">
        <v>0.34230652142511014</v>
      </c>
      <c r="BK427" s="20">
        <v>0.84132138603020568</v>
      </c>
      <c r="BL427" s="20">
        <v>0.1585411931923712</v>
      </c>
      <c r="BN427" s="21">
        <f t="shared" si="20"/>
        <v>0</v>
      </c>
    </row>
    <row r="428" spans="1:66">
      <c r="A428" s="14">
        <v>10.48</v>
      </c>
      <c r="B428" s="14">
        <v>14.98</v>
      </c>
      <c r="C428" s="14">
        <v>67.489999999999995</v>
      </c>
      <c r="D428" s="14">
        <v>333.6</v>
      </c>
      <c r="E428" s="14">
        <v>0.1013</v>
      </c>
      <c r="F428" s="14">
        <v>6.3350000000000004E-2</v>
      </c>
      <c r="G428" s="14">
        <v>2.2179999999999998E-2</v>
      </c>
      <c r="H428" s="14">
        <v>12.13</v>
      </c>
      <c r="I428" s="14">
        <v>440.4</v>
      </c>
      <c r="J428" s="14">
        <v>9.3100000000000002E-2</v>
      </c>
      <c r="M428" s="16">
        <v>0</v>
      </c>
      <c r="O428" s="12">
        <f t="shared" si="18"/>
        <v>1</v>
      </c>
      <c r="P428" s="12">
        <f t="shared" si="19"/>
        <v>0</v>
      </c>
      <c r="R428" s="17">
        <v>-0.86216493245391179</v>
      </c>
      <c r="S428" s="17">
        <v>0.86592397083683859</v>
      </c>
      <c r="T428" s="17">
        <v>1.1492407566427856</v>
      </c>
      <c r="U428" s="17">
        <v>0.30971288832147947</v>
      </c>
      <c r="V428" s="17">
        <v>1.322038261257461</v>
      </c>
      <c r="W428" s="17">
        <v>-0.54000870393571332</v>
      </c>
      <c r="X428" s="17">
        <v>-0.93446499101467595</v>
      </c>
      <c r="Y428" s="17">
        <v>1.3623707400649003</v>
      </c>
      <c r="Z428" s="17">
        <v>0.73556995189170193</v>
      </c>
      <c r="AA428" s="17">
        <v>1.6983871669386827</v>
      </c>
      <c r="AB428" s="17">
        <v>-1.2113068807979621</v>
      </c>
      <c r="AC428" s="17">
        <v>1.5906603286575782</v>
      </c>
      <c r="AD428" s="17">
        <v>-0.8593627097567913</v>
      </c>
      <c r="AE428" s="17">
        <v>1.3374666300864129</v>
      </c>
      <c r="AF428" s="17">
        <v>1.6049118769290147</v>
      </c>
      <c r="AG428" s="17">
        <v>1.3481853892245086</v>
      </c>
      <c r="AH428" s="17">
        <v>0.33128292594394448</v>
      </c>
      <c r="AI428" s="17">
        <v>-1.6572512841003593</v>
      </c>
      <c r="AJ428" s="17">
        <v>-0.4315878441673433</v>
      </c>
      <c r="AK428" s="17">
        <v>0.36873421116706562</v>
      </c>
      <c r="AM428" s="17">
        <v>-0.69792016135454782</v>
      </c>
      <c r="AN428" s="17">
        <v>0.67903925712358804</v>
      </c>
      <c r="AO428" s="17">
        <v>0.73797396023018924</v>
      </c>
      <c r="AP428" s="17">
        <v>0.29649370451600676</v>
      </c>
      <c r="AQ428" s="17">
        <v>0.84999769303863359</v>
      </c>
      <c r="AR428" s="17">
        <v>-0.51657923471928902</v>
      </c>
      <c r="AS428" s="17">
        <v>-0.72805032517898782</v>
      </c>
      <c r="AT428" s="17">
        <v>0.84344500736196237</v>
      </c>
      <c r="AU428" s="17">
        <v>0.65375856305713798</v>
      </c>
      <c r="AV428" s="17">
        <v>0.91350202536134828</v>
      </c>
      <c r="AW428" s="17">
        <v>-0.78235373895261628</v>
      </c>
      <c r="AX428" s="17">
        <v>0.89436513122424899</v>
      </c>
      <c r="AY428" s="17">
        <v>-0.66498287858074312</v>
      </c>
      <c r="AZ428" s="17">
        <v>0.85807735200149782</v>
      </c>
      <c r="BA428" s="17">
        <v>0.88116829457583978</v>
      </c>
      <c r="BB428" s="17">
        <v>0.82343757130964068</v>
      </c>
      <c r="BC428" s="17">
        <v>0.31959798393057942</v>
      </c>
      <c r="BD428" s="17">
        <v>-0.91358824643531544</v>
      </c>
      <c r="BE428" s="17">
        <v>-0.39360161364665097</v>
      </c>
      <c r="BF428" s="17">
        <v>5.1576025285645109E-2</v>
      </c>
      <c r="BK428" s="20">
        <v>0.90380121627081011</v>
      </c>
      <c r="BL428" s="20">
        <v>9.6084529107756722E-2</v>
      </c>
      <c r="BN428" s="21">
        <f t="shared" si="20"/>
        <v>0</v>
      </c>
    </row>
    <row r="429" spans="1:66">
      <c r="A429" s="14">
        <v>10.8</v>
      </c>
      <c r="B429" s="14">
        <v>21.98</v>
      </c>
      <c r="C429" s="14">
        <v>68.790000000000006</v>
      </c>
      <c r="D429" s="14">
        <v>359.9</v>
      </c>
      <c r="E429" s="14">
        <v>5.7430000000000002E-2</v>
      </c>
      <c r="F429" s="14">
        <v>3.6139999999999999E-2</v>
      </c>
      <c r="G429" s="14">
        <v>1.404E-2</v>
      </c>
      <c r="H429" s="14">
        <v>12.76</v>
      </c>
      <c r="I429" s="14">
        <v>489.5</v>
      </c>
      <c r="J429" s="14">
        <v>7.485E-2</v>
      </c>
      <c r="M429" s="16">
        <v>0</v>
      </c>
      <c r="O429" s="12">
        <f t="shared" si="18"/>
        <v>1</v>
      </c>
      <c r="P429" s="12">
        <f t="shared" si="19"/>
        <v>0</v>
      </c>
      <c r="R429" s="17">
        <v>-0.86216493245391179</v>
      </c>
      <c r="S429" s="17">
        <v>0.86592397083683859</v>
      </c>
      <c r="T429" s="17">
        <v>1.1492407566427856</v>
      </c>
      <c r="U429" s="17">
        <v>0.30971288832147947</v>
      </c>
      <c r="V429" s="17">
        <v>1.322038261257461</v>
      </c>
      <c r="W429" s="17">
        <v>-0.54000870393571332</v>
      </c>
      <c r="X429" s="17">
        <v>-0.93446499101467595</v>
      </c>
      <c r="Y429" s="17">
        <v>1.3623707400649003</v>
      </c>
      <c r="Z429" s="17">
        <v>0.73556995189170193</v>
      </c>
      <c r="AA429" s="17">
        <v>1.6983871669386827</v>
      </c>
      <c r="AB429" s="17">
        <v>-1.2113068807979621</v>
      </c>
      <c r="AC429" s="17">
        <v>1.5906603286575782</v>
      </c>
      <c r="AD429" s="17">
        <v>-0.8593627097567913</v>
      </c>
      <c r="AE429" s="17">
        <v>1.3374666300864129</v>
      </c>
      <c r="AF429" s="17">
        <v>1.6049118769290147</v>
      </c>
      <c r="AG429" s="17">
        <v>1.3481853892245086</v>
      </c>
      <c r="AH429" s="17">
        <v>0.33128292594394448</v>
      </c>
      <c r="AI429" s="17">
        <v>-1.6572512841003593</v>
      </c>
      <c r="AJ429" s="17">
        <v>-0.4315878441673433</v>
      </c>
      <c r="AK429" s="17">
        <v>0.36873422441298942</v>
      </c>
      <c r="AM429" s="17">
        <v>-0.72539694207976047</v>
      </c>
      <c r="AN429" s="17">
        <v>0.70306535962560734</v>
      </c>
      <c r="AO429" s="17">
        <v>0.76203900557603954</v>
      </c>
      <c r="AP429" s="17">
        <v>0.31363649212201156</v>
      </c>
      <c r="AQ429" s="17">
        <v>0.86793283513694486</v>
      </c>
      <c r="AR429" s="17">
        <v>-0.54716276408810327</v>
      </c>
      <c r="AS429" s="17">
        <v>-0.75400572066320415</v>
      </c>
      <c r="AT429" s="17">
        <v>0.85864512837014506</v>
      </c>
      <c r="AU429" s="17">
        <v>0.68619714223263872</v>
      </c>
      <c r="AV429" s="17">
        <v>0.92460529110525191</v>
      </c>
      <c r="AW429" s="17">
        <v>-0.79659238963912504</v>
      </c>
      <c r="AX429" s="17">
        <v>0.90670391280290086</v>
      </c>
      <c r="AY429" s="17">
        <v>-0.68713001745767088</v>
      </c>
      <c r="AZ429" s="17">
        <v>0.87618705044690259</v>
      </c>
      <c r="BA429" s="17">
        <v>0.89126288953803123</v>
      </c>
      <c r="BB429" s="17">
        <v>0.83631202859426701</v>
      </c>
      <c r="BC429" s="17">
        <v>0.33857419415832746</v>
      </c>
      <c r="BD429" s="17">
        <v>-0.92580315505088284</v>
      </c>
      <c r="BE429" s="17">
        <v>-0.41357299747788667</v>
      </c>
      <c r="BF429" s="17">
        <v>2.3438221827413334E-2</v>
      </c>
      <c r="BK429" s="20">
        <v>1.0382995711945573</v>
      </c>
      <c r="BL429" s="20">
        <v>-3.8400832306854198E-2</v>
      </c>
      <c r="BN429" s="21">
        <f t="shared" si="20"/>
        <v>0</v>
      </c>
    </row>
    <row r="430" spans="1:66">
      <c r="A430" s="14">
        <v>11.13</v>
      </c>
      <c r="B430" s="14">
        <v>16.62</v>
      </c>
      <c r="C430" s="14">
        <v>70.47</v>
      </c>
      <c r="D430" s="14">
        <v>381.1</v>
      </c>
      <c r="E430" s="14">
        <v>3.8339999999999999E-2</v>
      </c>
      <c r="F430" s="14">
        <v>1.3690000000000001E-2</v>
      </c>
      <c r="G430" s="14">
        <v>1.37E-2</v>
      </c>
      <c r="H430" s="14">
        <v>11.68</v>
      </c>
      <c r="I430" s="14">
        <v>421.1</v>
      </c>
      <c r="J430" s="14">
        <v>4.0439999999999997E-2</v>
      </c>
      <c r="M430" s="16">
        <v>0</v>
      </c>
      <c r="O430" s="12">
        <f t="shared" si="18"/>
        <v>1</v>
      </c>
      <c r="P430" s="12">
        <f t="shared" si="19"/>
        <v>0</v>
      </c>
      <c r="R430" s="17">
        <v>-0.86216493245391179</v>
      </c>
      <c r="S430" s="17">
        <v>0.86592397083683859</v>
      </c>
      <c r="T430" s="17">
        <v>1.1492407566427856</v>
      </c>
      <c r="U430" s="17">
        <v>0.30971288832147947</v>
      </c>
      <c r="V430" s="17">
        <v>1.322038261257461</v>
      </c>
      <c r="W430" s="17">
        <v>-0.54000870393571332</v>
      </c>
      <c r="X430" s="17">
        <v>-0.93446499101467595</v>
      </c>
      <c r="Y430" s="17">
        <v>1.3623707400649003</v>
      </c>
      <c r="Z430" s="17">
        <v>0.73556995189170193</v>
      </c>
      <c r="AA430" s="17">
        <v>1.6983871669386827</v>
      </c>
      <c r="AB430" s="17">
        <v>-1.2113068807979621</v>
      </c>
      <c r="AC430" s="17">
        <v>1.5906603286575782</v>
      </c>
      <c r="AD430" s="17">
        <v>-0.8593627097567913</v>
      </c>
      <c r="AE430" s="17">
        <v>1.3374666300864129</v>
      </c>
      <c r="AF430" s="17">
        <v>1.6049118769290147</v>
      </c>
      <c r="AG430" s="17">
        <v>1.3481853892245086</v>
      </c>
      <c r="AH430" s="17">
        <v>0.33128292594394448</v>
      </c>
      <c r="AI430" s="17">
        <v>-1.6572512841003593</v>
      </c>
      <c r="AJ430" s="17">
        <v>-0.4315878441673433</v>
      </c>
      <c r="AK430" s="17">
        <v>0.36873422441298942</v>
      </c>
      <c r="AM430" s="17">
        <v>-0.88387026623346188</v>
      </c>
      <c r="AN430" s="17">
        <v>0.77361702836749702</v>
      </c>
      <c r="AO430" s="17">
        <v>0.49261624183274044</v>
      </c>
      <c r="AP430" s="17">
        <v>0.42942361191548406</v>
      </c>
      <c r="AQ430" s="17">
        <v>0.90630274784173515</v>
      </c>
      <c r="AR430" s="17">
        <v>-0.82156042731744716</v>
      </c>
      <c r="AS430" s="17">
        <v>-0.88683060023281046</v>
      </c>
      <c r="AT430" s="17">
        <v>0.75263736665323422</v>
      </c>
      <c r="AU430" s="17">
        <v>0.92339976197985651</v>
      </c>
      <c r="AV430" s="17">
        <v>0.86797501608410665</v>
      </c>
      <c r="AW430" s="17">
        <v>-0.4235450665909769</v>
      </c>
      <c r="AX430" s="17">
        <v>0.82675326049613396</v>
      </c>
      <c r="AY430" s="17">
        <v>-0.68625815176518079</v>
      </c>
      <c r="AZ430" s="17">
        <v>0.93099579214326034</v>
      </c>
      <c r="BA430" s="17">
        <v>0.45115064574864516</v>
      </c>
      <c r="BB430" s="17">
        <v>0.44367994415025919</v>
      </c>
      <c r="BC430" s="17">
        <v>0.48592716868383629</v>
      </c>
      <c r="BD430" s="17">
        <v>-0.92849274355125033</v>
      </c>
      <c r="BE430" s="17">
        <v>-0.49867627469051423</v>
      </c>
      <c r="BF430" s="17">
        <v>0.28501608335723577</v>
      </c>
      <c r="BK430" s="20">
        <v>0.96222127738333907</v>
      </c>
      <c r="BL430" s="20">
        <v>3.8061579137879845E-2</v>
      </c>
      <c r="BN430" s="21">
        <f t="shared" si="20"/>
        <v>0</v>
      </c>
    </row>
    <row r="431" spans="1:66">
      <c r="A431" s="14">
        <v>12.72</v>
      </c>
      <c r="B431" s="14">
        <v>17.670000000000002</v>
      </c>
      <c r="C431" s="14">
        <v>80.98</v>
      </c>
      <c r="D431" s="14">
        <v>501.3</v>
      </c>
      <c r="E431" s="14">
        <v>4.5220000000000003E-2</v>
      </c>
      <c r="F431" s="14">
        <v>1.4019999999999999E-2</v>
      </c>
      <c r="G431" s="14">
        <v>1.8350000000000002E-2</v>
      </c>
      <c r="H431" s="14">
        <v>13.82</v>
      </c>
      <c r="I431" s="14">
        <v>586.79999999999995</v>
      </c>
      <c r="J431" s="14">
        <v>3.6119999999999999E-2</v>
      </c>
      <c r="M431" s="16">
        <v>0</v>
      </c>
      <c r="O431" s="12">
        <f t="shared" si="18"/>
        <v>1</v>
      </c>
      <c r="P431" s="12">
        <f t="shared" si="19"/>
        <v>0</v>
      </c>
      <c r="R431" s="17">
        <v>-0.86216493245391179</v>
      </c>
      <c r="S431" s="17">
        <v>0.86592397083683859</v>
      </c>
      <c r="T431" s="17">
        <v>1.1492407566427856</v>
      </c>
      <c r="U431" s="17">
        <v>0.30971288832147947</v>
      </c>
      <c r="V431" s="17">
        <v>1.322038261257461</v>
      </c>
      <c r="W431" s="17">
        <v>-0.54000870393571332</v>
      </c>
      <c r="X431" s="17">
        <v>-0.93446499101467595</v>
      </c>
      <c r="Y431" s="17">
        <v>1.3623707400649003</v>
      </c>
      <c r="Z431" s="17">
        <v>0.73556995189170193</v>
      </c>
      <c r="AA431" s="17">
        <v>1.6983871669386827</v>
      </c>
      <c r="AB431" s="17">
        <v>-1.2113068807979621</v>
      </c>
      <c r="AC431" s="17">
        <v>1.5906603286575782</v>
      </c>
      <c r="AD431" s="17">
        <v>-0.8593627097567913</v>
      </c>
      <c r="AE431" s="17">
        <v>1.3374666300864129</v>
      </c>
      <c r="AF431" s="17">
        <v>1.6049118769290147</v>
      </c>
      <c r="AG431" s="17">
        <v>1.3481853892245086</v>
      </c>
      <c r="AH431" s="17">
        <v>0.33128292594394448</v>
      </c>
      <c r="AI431" s="17">
        <v>-1.6572512841003593</v>
      </c>
      <c r="AJ431" s="17">
        <v>-0.4315878441673433</v>
      </c>
      <c r="AK431" s="17">
        <v>0.36873422441298942</v>
      </c>
      <c r="AM431" s="17">
        <v>-0.7096067111694464</v>
      </c>
      <c r="AN431" s="17">
        <v>0.68425084473752307</v>
      </c>
      <c r="AO431" s="17">
        <v>0.72407880509911793</v>
      </c>
      <c r="AP431" s="17">
        <v>0.30269231008329367</v>
      </c>
      <c r="AQ431" s="17">
        <v>0.85342623232614634</v>
      </c>
      <c r="AR431" s="17">
        <v>-0.53471835121665445</v>
      </c>
      <c r="AS431" s="17">
        <v>-0.73791923164710993</v>
      </c>
      <c r="AT431" s="17">
        <v>0.84109439318558465</v>
      </c>
      <c r="AU431" s="17">
        <v>0.67346257158925316</v>
      </c>
      <c r="AV431" s="17">
        <v>0.91245808958426833</v>
      </c>
      <c r="AW431" s="17">
        <v>-0.77347578740578837</v>
      </c>
      <c r="AX431" s="17">
        <v>0.89271707104875775</v>
      </c>
      <c r="AY431" s="17">
        <v>-0.66668579325184285</v>
      </c>
      <c r="AZ431" s="17">
        <v>0.86270413593708517</v>
      </c>
      <c r="BA431" s="17">
        <v>0.87335646736844386</v>
      </c>
      <c r="BB431" s="17">
        <v>0.81488951312826663</v>
      </c>
      <c r="BC431" s="17">
        <v>0.32741383237126348</v>
      </c>
      <c r="BD431" s="17">
        <v>-0.9147126485539343</v>
      </c>
      <c r="BE431" s="17">
        <v>-0.39875631560514035</v>
      </c>
      <c r="BF431" s="17">
        <v>0.12078567043019364</v>
      </c>
      <c r="BK431" s="20">
        <v>0.51731991794962395</v>
      </c>
      <c r="BL431" s="20">
        <v>0.4827730359969658</v>
      </c>
      <c r="BN431" s="21">
        <f t="shared" si="20"/>
        <v>0</v>
      </c>
    </row>
    <row r="432" spans="1:66">
      <c r="A432" s="14">
        <v>14.9</v>
      </c>
      <c r="B432" s="14">
        <v>22.53</v>
      </c>
      <c r="C432" s="14">
        <v>102.1</v>
      </c>
      <c r="D432" s="14">
        <v>685</v>
      </c>
      <c r="E432" s="14">
        <v>0.2225</v>
      </c>
      <c r="F432" s="14">
        <v>0.27329999999999999</v>
      </c>
      <c r="G432" s="14">
        <v>9.7110000000000002E-2</v>
      </c>
      <c r="H432" s="14">
        <v>16.350000000000001</v>
      </c>
      <c r="I432" s="14">
        <v>832.7</v>
      </c>
      <c r="J432" s="14">
        <v>0.2475</v>
      </c>
      <c r="M432" s="16">
        <v>1</v>
      </c>
      <c r="O432" s="12">
        <f t="shared" si="18"/>
        <v>0</v>
      </c>
      <c r="P432" s="12">
        <f t="shared" si="19"/>
        <v>1</v>
      </c>
      <c r="R432" s="17">
        <v>-0.86216493245391179</v>
      </c>
      <c r="S432" s="17">
        <v>0.86592397083683859</v>
      </c>
      <c r="T432" s="17">
        <v>1.1492407566427856</v>
      </c>
      <c r="U432" s="17">
        <v>0.30971288832147947</v>
      </c>
      <c r="V432" s="17">
        <v>1.322038261257461</v>
      </c>
      <c r="W432" s="17">
        <v>-0.54000870393571332</v>
      </c>
      <c r="X432" s="17">
        <v>-0.93446499101467595</v>
      </c>
      <c r="Y432" s="17">
        <v>1.3623707400649003</v>
      </c>
      <c r="Z432" s="17">
        <v>0.73556995189170193</v>
      </c>
      <c r="AA432" s="17">
        <v>1.6983871669386827</v>
      </c>
      <c r="AB432" s="17">
        <v>-1.2113068807979621</v>
      </c>
      <c r="AC432" s="17">
        <v>1.5906603286575782</v>
      </c>
      <c r="AD432" s="17">
        <v>-0.8593627097567913</v>
      </c>
      <c r="AE432" s="17">
        <v>1.3374666300864129</v>
      </c>
      <c r="AF432" s="17">
        <v>1.6049118769290147</v>
      </c>
      <c r="AG432" s="17">
        <v>1.3481853892245086</v>
      </c>
      <c r="AH432" s="17">
        <v>0.33128292594394448</v>
      </c>
      <c r="AI432" s="17">
        <v>-1.6572512841003593</v>
      </c>
      <c r="AJ432" s="17">
        <v>-0.4315878441673433</v>
      </c>
      <c r="AK432" s="17">
        <v>0.2611206787642758</v>
      </c>
      <c r="AM432" s="17">
        <v>-0.72448454698271825</v>
      </c>
      <c r="AN432" s="17">
        <v>0.70590972468990942</v>
      </c>
      <c r="AO432" s="17">
        <v>0.79687520092451813</v>
      </c>
      <c r="AP432" s="17">
        <v>0.31377601362139118</v>
      </c>
      <c r="AQ432" s="17">
        <v>0.87036705456402519</v>
      </c>
      <c r="AR432" s="17">
        <v>-0.54215229670212572</v>
      </c>
      <c r="AS432" s="17">
        <v>-0.75401789552647969</v>
      </c>
      <c r="AT432" s="17">
        <v>0.86431733529430632</v>
      </c>
      <c r="AU432" s="17">
        <v>0.68070579579916501</v>
      </c>
      <c r="AV432" s="17">
        <v>0.92819043075428553</v>
      </c>
      <c r="AW432" s="17">
        <v>-0.80664520169430376</v>
      </c>
      <c r="AX432" s="17">
        <v>0.91104762090042213</v>
      </c>
      <c r="AY432" s="17">
        <v>-0.69200980336615647</v>
      </c>
      <c r="AZ432" s="17">
        <v>0.87784093930349383</v>
      </c>
      <c r="BA432" s="17">
        <v>0.89912180571606681</v>
      </c>
      <c r="BB432" s="17">
        <v>0.8456340277608374</v>
      </c>
      <c r="BC432" s="17">
        <v>0.33800348995718266</v>
      </c>
      <c r="BD432" s="17">
        <v>-0.92825168196559371</v>
      </c>
      <c r="BE432" s="17">
        <v>-0.41531815807922307</v>
      </c>
      <c r="BF432" s="17">
        <v>0.41387022792521883</v>
      </c>
      <c r="BK432" s="20">
        <v>0.29479790225543234</v>
      </c>
      <c r="BL432" s="20">
        <v>0.70529438867320249</v>
      </c>
      <c r="BN432" s="21">
        <f t="shared" si="20"/>
        <v>1</v>
      </c>
    </row>
    <row r="433" spans="1:66">
      <c r="A433" s="14">
        <v>12.4</v>
      </c>
      <c r="B433" s="14">
        <v>17.68</v>
      </c>
      <c r="C433" s="14">
        <v>81.47</v>
      </c>
      <c r="D433" s="14">
        <v>467.8</v>
      </c>
      <c r="E433" s="14">
        <v>0.13159999999999999</v>
      </c>
      <c r="F433" s="14">
        <v>7.7410000000000007E-2</v>
      </c>
      <c r="G433" s="14">
        <v>2.7990000000000001E-2</v>
      </c>
      <c r="H433" s="14">
        <v>12.88</v>
      </c>
      <c r="I433" s="14">
        <v>515.79999999999995</v>
      </c>
      <c r="J433" s="14">
        <v>7.3700000000000002E-2</v>
      </c>
      <c r="M433" s="16">
        <v>0</v>
      </c>
      <c r="O433" s="12">
        <f t="shared" si="18"/>
        <v>1</v>
      </c>
      <c r="P433" s="12">
        <f t="shared" si="19"/>
        <v>0</v>
      </c>
      <c r="R433" s="17">
        <v>-0.86216493245391179</v>
      </c>
      <c r="S433" s="17">
        <v>0.86592397083683859</v>
      </c>
      <c r="T433" s="17">
        <v>1.1492407566427856</v>
      </c>
      <c r="U433" s="17">
        <v>0.30971288832147947</v>
      </c>
      <c r="V433" s="17">
        <v>1.322038261257461</v>
      </c>
      <c r="W433" s="17">
        <v>-0.54000870393571332</v>
      </c>
      <c r="X433" s="17">
        <v>-0.93446499101467595</v>
      </c>
      <c r="Y433" s="17">
        <v>1.3623707400649003</v>
      </c>
      <c r="Z433" s="17">
        <v>0.73556995189170193</v>
      </c>
      <c r="AA433" s="17">
        <v>1.6983871669386827</v>
      </c>
      <c r="AB433" s="17">
        <v>-1.2113068807979621</v>
      </c>
      <c r="AC433" s="17">
        <v>1.5906603286575782</v>
      </c>
      <c r="AD433" s="17">
        <v>-0.8593627097567913</v>
      </c>
      <c r="AE433" s="17">
        <v>1.3374666300864129</v>
      </c>
      <c r="AF433" s="17">
        <v>1.6049118769290147</v>
      </c>
      <c r="AG433" s="17">
        <v>1.3481853892245086</v>
      </c>
      <c r="AH433" s="17">
        <v>0.33128292594394448</v>
      </c>
      <c r="AI433" s="17">
        <v>-1.6572512841003593</v>
      </c>
      <c r="AJ433" s="17">
        <v>-0.4315878441673433</v>
      </c>
      <c r="AK433" s="17">
        <v>0.36873208684656855</v>
      </c>
      <c r="AM433" s="17">
        <v>-0.720007036170075</v>
      </c>
      <c r="AN433" s="17">
        <v>0.71465548409414992</v>
      </c>
      <c r="AO433" s="17">
        <v>0.83287516189884769</v>
      </c>
      <c r="AP433" s="17">
        <v>0.31346575412869992</v>
      </c>
      <c r="AQ433" s="17">
        <v>0.87784480057564496</v>
      </c>
      <c r="AR433" s="17">
        <v>-0.52281505341375534</v>
      </c>
      <c r="AS433" s="17">
        <v>-0.75289206642135464</v>
      </c>
      <c r="AT433" s="17">
        <v>0.88201244591159156</v>
      </c>
      <c r="AU433" s="17">
        <v>0.65926536574099248</v>
      </c>
      <c r="AV433" s="17">
        <v>0.9391175864333895</v>
      </c>
      <c r="AW433" s="17">
        <v>-0.83795526619935523</v>
      </c>
      <c r="AX433" s="17">
        <v>0.9243635672053877</v>
      </c>
      <c r="AY433" s="17">
        <v>-0.70768302731628108</v>
      </c>
      <c r="AZ433" s="17">
        <v>0.8827258505426584</v>
      </c>
      <c r="BA433" s="17">
        <v>0.92230886383179811</v>
      </c>
      <c r="BB433" s="17">
        <v>0.87415176145752327</v>
      </c>
      <c r="BC433" s="17">
        <v>0.33511322787618231</v>
      </c>
      <c r="BD433" s="17">
        <v>-0.93577902113974409</v>
      </c>
      <c r="BE433" s="17">
        <v>-0.4204950493489521</v>
      </c>
      <c r="BF433" s="17">
        <v>0.3060459025363107</v>
      </c>
      <c r="BK433" s="20">
        <v>1.0144057991243636</v>
      </c>
      <c r="BL433" s="20">
        <v>-1.4537310914591615E-2</v>
      </c>
      <c r="BN433" s="21">
        <f t="shared" si="20"/>
        <v>0</v>
      </c>
    </row>
    <row r="434" spans="1:66">
      <c r="A434" s="14">
        <v>20.18</v>
      </c>
      <c r="B434" s="14">
        <v>19.54</v>
      </c>
      <c r="C434" s="14">
        <v>133.80000000000001</v>
      </c>
      <c r="D434" s="14">
        <v>1250</v>
      </c>
      <c r="E434" s="14">
        <v>0.1489</v>
      </c>
      <c r="F434" s="14">
        <v>0.21329999999999999</v>
      </c>
      <c r="G434" s="14">
        <v>0.12590000000000001</v>
      </c>
      <c r="H434" s="14">
        <v>22.03</v>
      </c>
      <c r="I434" s="14">
        <v>1479</v>
      </c>
      <c r="J434" s="14">
        <v>0.21729999999999999</v>
      </c>
      <c r="M434" s="16">
        <v>1</v>
      </c>
      <c r="O434" s="12">
        <f t="shared" si="18"/>
        <v>0</v>
      </c>
      <c r="P434" s="12">
        <f t="shared" si="19"/>
        <v>1</v>
      </c>
      <c r="R434" s="17">
        <v>-1.4643074708783446</v>
      </c>
      <c r="S434" s="17">
        <v>1.0359333700219733</v>
      </c>
      <c r="T434" s="17">
        <v>0.4503249130137873</v>
      </c>
      <c r="U434" s="17">
        <v>0.47751119115197871</v>
      </c>
      <c r="V434" s="17">
        <v>1.5052132201123889</v>
      </c>
      <c r="W434" s="17">
        <v>-1.2567352733816861</v>
      </c>
      <c r="X434" s="17">
        <v>-1.4659127711484521</v>
      </c>
      <c r="Y434" s="17">
        <v>0.877385815472147</v>
      </c>
      <c r="Z434" s="17">
        <v>1.7463530467411736</v>
      </c>
      <c r="AA434" s="17">
        <v>1.2163845753889837</v>
      </c>
      <c r="AB434" s="17">
        <v>-0.28839333793737798</v>
      </c>
      <c r="AC434" s="17">
        <v>1.0652147513376473</v>
      </c>
      <c r="AD434" s="17">
        <v>-0.81583654438301023</v>
      </c>
      <c r="AE434" s="17">
        <v>1.6894094608623824</v>
      </c>
      <c r="AF434" s="17">
        <v>0.2496334827590041</v>
      </c>
      <c r="AG434" s="17">
        <v>0.29010426800531797</v>
      </c>
      <c r="AH434" s="17">
        <v>0.55723475600471262</v>
      </c>
      <c r="AI434" s="17">
        <v>-1.603629768829455</v>
      </c>
      <c r="AJ434" s="17">
        <v>-0.55690825498325469</v>
      </c>
      <c r="AK434" s="17">
        <v>0.41256201738018505</v>
      </c>
      <c r="AM434" s="17">
        <v>-0.69139232232869952</v>
      </c>
      <c r="AN434" s="17">
        <v>0.69892385596440521</v>
      </c>
      <c r="AO434" s="17">
        <v>0.82718054173866684</v>
      </c>
      <c r="AP434" s="17">
        <v>0.2975025779606536</v>
      </c>
      <c r="AQ434" s="17">
        <v>0.86748655526795959</v>
      </c>
      <c r="AR434" s="17">
        <v>-0.48100339935370984</v>
      </c>
      <c r="AS434" s="17">
        <v>-0.72824439353659587</v>
      </c>
      <c r="AT434" s="17">
        <v>0.88095777326305635</v>
      </c>
      <c r="AU434" s="17">
        <v>0.61273890329009584</v>
      </c>
      <c r="AV434" s="17">
        <v>0.93754149978080392</v>
      </c>
      <c r="AW434" s="17">
        <v>-0.84525501889450649</v>
      </c>
      <c r="AX434" s="17">
        <v>0.92319809382253759</v>
      </c>
      <c r="AY434" s="17">
        <v>-0.69828355929829744</v>
      </c>
      <c r="AZ434" s="17">
        <v>0.87024906695938575</v>
      </c>
      <c r="BA434" s="17">
        <v>0.92821101370256875</v>
      </c>
      <c r="BB434" s="17">
        <v>0.88097597520104276</v>
      </c>
      <c r="BC434" s="17">
        <v>0.31580601332942337</v>
      </c>
      <c r="BD434" s="17">
        <v>-0.93093105327953696</v>
      </c>
      <c r="BE434" s="17">
        <v>-0.40549627238855945</v>
      </c>
      <c r="BF434" s="17">
        <v>0.33363359166564516</v>
      </c>
      <c r="BK434" s="20">
        <v>1.0564893609711687</v>
      </c>
      <c r="BL434" s="20">
        <v>-5.6483261420743613E-2</v>
      </c>
      <c r="BN434" s="21">
        <f t="shared" si="20"/>
        <v>0</v>
      </c>
    </row>
    <row r="435" spans="1:66">
      <c r="A435" s="14">
        <v>18.82</v>
      </c>
      <c r="B435" s="14">
        <v>21.97</v>
      </c>
      <c r="C435" s="14">
        <v>123.7</v>
      </c>
      <c r="D435" s="14">
        <v>1110</v>
      </c>
      <c r="E435" s="14">
        <v>0.1389</v>
      </c>
      <c r="F435" s="14">
        <v>0.15939999999999999</v>
      </c>
      <c r="G435" s="14">
        <v>8.7440000000000004E-2</v>
      </c>
      <c r="H435" s="14">
        <v>22.66</v>
      </c>
      <c r="I435" s="14">
        <v>1603</v>
      </c>
      <c r="J435" s="14">
        <v>0.17080000000000001</v>
      </c>
      <c r="M435" s="16">
        <v>1</v>
      </c>
      <c r="O435" s="12">
        <f t="shared" si="18"/>
        <v>0</v>
      </c>
      <c r="P435" s="12">
        <f t="shared" si="19"/>
        <v>1</v>
      </c>
      <c r="R435" s="17">
        <v>-0.86216493245391179</v>
      </c>
      <c r="S435" s="17">
        <v>0.86592397083683859</v>
      </c>
      <c r="T435" s="17">
        <v>1.1492407566427856</v>
      </c>
      <c r="U435" s="17">
        <v>0.30971288832147947</v>
      </c>
      <c r="V435" s="17">
        <v>1.322038261257461</v>
      </c>
      <c r="W435" s="17">
        <v>-0.54000870393571332</v>
      </c>
      <c r="X435" s="17">
        <v>-0.93446499101467595</v>
      </c>
      <c r="Y435" s="17">
        <v>1.3623707400649003</v>
      </c>
      <c r="Z435" s="17">
        <v>0.73556995189170193</v>
      </c>
      <c r="AA435" s="17">
        <v>1.6983871669386827</v>
      </c>
      <c r="AB435" s="17">
        <v>-1.2113068807979621</v>
      </c>
      <c r="AC435" s="17">
        <v>1.5906603286575782</v>
      </c>
      <c r="AD435" s="17">
        <v>-0.8593627097567913</v>
      </c>
      <c r="AE435" s="17">
        <v>1.3374666300864129</v>
      </c>
      <c r="AF435" s="17">
        <v>1.6049118769290147</v>
      </c>
      <c r="AG435" s="17">
        <v>1.3481853892245086</v>
      </c>
      <c r="AH435" s="17">
        <v>0.33128292594394448</v>
      </c>
      <c r="AI435" s="17">
        <v>-1.6572512841003593</v>
      </c>
      <c r="AJ435" s="17">
        <v>-0.4315878441673433</v>
      </c>
      <c r="AK435" s="17">
        <v>0.34151483402116201</v>
      </c>
      <c r="AM435" s="17">
        <v>-0.74051668401039661</v>
      </c>
      <c r="AN435" s="17">
        <v>0.69162094904323901</v>
      </c>
      <c r="AO435" s="17">
        <v>0.70855412634634662</v>
      </c>
      <c r="AP435" s="17">
        <v>0.31866903187295742</v>
      </c>
      <c r="AQ435" s="17">
        <v>0.85673555906012633</v>
      </c>
      <c r="AR435" s="17">
        <v>-0.59010702704505191</v>
      </c>
      <c r="AS435" s="17">
        <v>-0.7625311076261958</v>
      </c>
      <c r="AT435" s="17">
        <v>0.8203027999757494</v>
      </c>
      <c r="AU435" s="17">
        <v>0.73134454734455412</v>
      </c>
      <c r="AV435" s="17">
        <v>0.90011370530677326</v>
      </c>
      <c r="AW435" s="17">
        <v>-0.72158177616882369</v>
      </c>
      <c r="AX435" s="17">
        <v>0.87675709424097081</v>
      </c>
      <c r="AY435" s="17">
        <v>-0.66037946918255885</v>
      </c>
      <c r="AZ435" s="17">
        <v>0.87071406648403571</v>
      </c>
      <c r="BA435" s="17">
        <v>0.82587882007951563</v>
      </c>
      <c r="BB435" s="17">
        <v>0.76428413016190289</v>
      </c>
      <c r="BC435" s="17">
        <v>0.34904111983929487</v>
      </c>
      <c r="BD435" s="17">
        <v>-0.91170151196427696</v>
      </c>
      <c r="BE435" s="17">
        <v>-0.40861958326114639</v>
      </c>
      <c r="BF435" s="17">
        <v>9.1260333700252896E-2</v>
      </c>
      <c r="BK435" s="20">
        <v>-5.2402917058792776E-2</v>
      </c>
      <c r="BL435" s="20">
        <v>1.0522046292886871</v>
      </c>
      <c r="BN435" s="21">
        <f t="shared" si="20"/>
        <v>1</v>
      </c>
    </row>
    <row r="436" spans="1:66">
      <c r="A436" s="14">
        <v>14.86</v>
      </c>
      <c r="B436" s="14">
        <v>16.940000000000001</v>
      </c>
      <c r="C436" s="14">
        <v>94.89</v>
      </c>
      <c r="D436" s="14">
        <v>673.7</v>
      </c>
      <c r="E436" s="14">
        <v>7.0739999999999997E-2</v>
      </c>
      <c r="F436" s="14">
        <v>3.3459999999999997E-2</v>
      </c>
      <c r="G436" s="14">
        <v>2.877E-2</v>
      </c>
      <c r="H436" s="14">
        <v>16.309999999999999</v>
      </c>
      <c r="I436" s="14">
        <v>777.5</v>
      </c>
      <c r="J436" s="14">
        <v>7.9710000000000003E-2</v>
      </c>
      <c r="M436" s="16">
        <v>0</v>
      </c>
      <c r="O436" s="12">
        <f t="shared" si="18"/>
        <v>1</v>
      </c>
      <c r="P436" s="12">
        <f t="shared" si="19"/>
        <v>0</v>
      </c>
      <c r="R436" s="17">
        <v>-0.86216493245391179</v>
      </c>
      <c r="S436" s="17">
        <v>0.86592397083683859</v>
      </c>
      <c r="T436" s="17">
        <v>1.1492407566427856</v>
      </c>
      <c r="U436" s="17">
        <v>0.30971288832147947</v>
      </c>
      <c r="V436" s="17">
        <v>1.322038261257461</v>
      </c>
      <c r="W436" s="17">
        <v>-0.54000870393571332</v>
      </c>
      <c r="X436" s="17">
        <v>-0.93446499101467595</v>
      </c>
      <c r="Y436" s="17">
        <v>1.3623707400649003</v>
      </c>
      <c r="Z436" s="17">
        <v>0.73556995189170193</v>
      </c>
      <c r="AA436" s="17">
        <v>1.6983871669386827</v>
      </c>
      <c r="AB436" s="17">
        <v>-1.2113068807979621</v>
      </c>
      <c r="AC436" s="17">
        <v>1.5906603286575782</v>
      </c>
      <c r="AD436" s="17">
        <v>-0.8593627097567913</v>
      </c>
      <c r="AE436" s="17">
        <v>1.3374666300864129</v>
      </c>
      <c r="AF436" s="17">
        <v>1.6049118769290147</v>
      </c>
      <c r="AG436" s="17">
        <v>1.3481853892245086</v>
      </c>
      <c r="AH436" s="17">
        <v>0.33128292594394448</v>
      </c>
      <c r="AI436" s="17">
        <v>-1.6572512841003593</v>
      </c>
      <c r="AJ436" s="17">
        <v>-0.4315878441673433</v>
      </c>
      <c r="AK436" s="17">
        <v>0.36873422441298942</v>
      </c>
      <c r="AM436" s="17">
        <v>-0.79430051355654674</v>
      </c>
      <c r="AN436" s="17">
        <v>0.7425231462712143</v>
      </c>
      <c r="AO436" s="17">
        <v>0.79555335114948567</v>
      </c>
      <c r="AP436" s="17">
        <v>0.35779019337566237</v>
      </c>
      <c r="AQ436" s="17">
        <v>0.89300265173656912</v>
      </c>
      <c r="AR436" s="17">
        <v>-0.65334742813785585</v>
      </c>
      <c r="AS436" s="17">
        <v>-0.81343701420188097</v>
      </c>
      <c r="AT436" s="17">
        <v>0.85552626655214292</v>
      </c>
      <c r="AU436" s="17">
        <v>0.79112753161306726</v>
      </c>
      <c r="AV436" s="17">
        <v>0.92582546484342221</v>
      </c>
      <c r="AW436" s="17">
        <v>-0.75566061923278172</v>
      </c>
      <c r="AX436" s="17">
        <v>0.90562648299138648</v>
      </c>
      <c r="AY436" s="17">
        <v>-0.70870609998224932</v>
      </c>
      <c r="AZ436" s="17">
        <v>0.90582689683906359</v>
      </c>
      <c r="BA436" s="17">
        <v>0.85279627319951101</v>
      </c>
      <c r="BB436" s="17">
        <v>0.79618153004831105</v>
      </c>
      <c r="BC436" s="17">
        <v>0.39227719198305849</v>
      </c>
      <c r="BD436" s="17">
        <v>-0.93726533252231559</v>
      </c>
      <c r="BE436" s="17">
        <v>-0.45327109532676779</v>
      </c>
      <c r="BF436" s="17">
        <v>0.52330181089961181</v>
      </c>
      <c r="BK436" s="20">
        <v>1.0423059365216478</v>
      </c>
      <c r="BL436" s="20">
        <v>-4.2360655927409466E-2</v>
      </c>
      <c r="BN436" s="21">
        <f t="shared" si="20"/>
        <v>0</v>
      </c>
    </row>
    <row r="437" spans="1:66">
      <c r="A437" s="14">
        <v>13.98</v>
      </c>
      <c r="B437" s="14">
        <v>19.62</v>
      </c>
      <c r="C437" s="14">
        <v>91.12</v>
      </c>
      <c r="D437" s="14">
        <v>599.5</v>
      </c>
      <c r="E437" s="14">
        <v>0.1133</v>
      </c>
      <c r="F437" s="14">
        <v>0.11260000000000001</v>
      </c>
      <c r="G437" s="14">
        <v>6.4630000000000007E-2</v>
      </c>
      <c r="H437" s="14">
        <v>17.04</v>
      </c>
      <c r="I437" s="14">
        <v>869.3</v>
      </c>
      <c r="J437" s="14">
        <v>0.1827</v>
      </c>
      <c r="M437" s="16">
        <v>1</v>
      </c>
      <c r="O437" s="12">
        <f t="shared" si="18"/>
        <v>0</v>
      </c>
      <c r="P437" s="12">
        <f t="shared" si="19"/>
        <v>1</v>
      </c>
      <c r="R437" s="17">
        <v>-0.86216493245391179</v>
      </c>
      <c r="S437" s="17">
        <v>0.86592397083683859</v>
      </c>
      <c r="T437" s="17">
        <v>1.1492407566427856</v>
      </c>
      <c r="U437" s="17">
        <v>0.30971288832147947</v>
      </c>
      <c r="V437" s="17">
        <v>1.322038261257461</v>
      </c>
      <c r="W437" s="17">
        <v>-0.54000870393571332</v>
      </c>
      <c r="X437" s="17">
        <v>-0.93446499101467595</v>
      </c>
      <c r="Y437" s="17">
        <v>1.3623707400649003</v>
      </c>
      <c r="Z437" s="17">
        <v>0.73556995189170193</v>
      </c>
      <c r="AA437" s="17">
        <v>1.6983871669386827</v>
      </c>
      <c r="AB437" s="17">
        <v>-1.2113068807979621</v>
      </c>
      <c r="AC437" s="17">
        <v>1.5906603286575782</v>
      </c>
      <c r="AD437" s="17">
        <v>-0.8593627097567913</v>
      </c>
      <c r="AE437" s="17">
        <v>1.3374666300864129</v>
      </c>
      <c r="AF437" s="17">
        <v>1.6049118769290147</v>
      </c>
      <c r="AG437" s="17">
        <v>1.3481853892245086</v>
      </c>
      <c r="AH437" s="17">
        <v>0.33128292594394448</v>
      </c>
      <c r="AI437" s="17">
        <v>-1.6572512841003593</v>
      </c>
      <c r="AJ437" s="17">
        <v>-0.4315878441673433</v>
      </c>
      <c r="AK437" s="17">
        <v>0.36873422441298942</v>
      </c>
      <c r="AM437" s="17">
        <v>-0.75340985519549009</v>
      </c>
      <c r="AN437" s="17">
        <v>0.73117590391278564</v>
      </c>
      <c r="AO437" s="17">
        <v>0.79993838704929165</v>
      </c>
      <c r="AP437" s="17">
        <v>0.33311049965764417</v>
      </c>
      <c r="AQ437" s="17">
        <v>0.88798512787946871</v>
      </c>
      <c r="AR437" s="17">
        <v>-0.57592960579757446</v>
      </c>
      <c r="AS437" s="17">
        <v>-0.78104330727585614</v>
      </c>
      <c r="AT437" s="17">
        <v>0.87914618310203796</v>
      </c>
      <c r="AU437" s="17">
        <v>0.71547648728381441</v>
      </c>
      <c r="AV437" s="17">
        <v>0.93852944186045173</v>
      </c>
      <c r="AW437" s="17">
        <v>-0.82071137027048346</v>
      </c>
      <c r="AX437" s="17">
        <v>0.92270800774119366</v>
      </c>
      <c r="AY437" s="17">
        <v>-0.7152824082247452</v>
      </c>
      <c r="AZ437" s="17">
        <v>0.89557954786145944</v>
      </c>
      <c r="BA437" s="17">
        <v>0.90855800303196077</v>
      </c>
      <c r="BB437" s="17">
        <v>0.85811150457642571</v>
      </c>
      <c r="BC437" s="17">
        <v>0.3593986430387876</v>
      </c>
      <c r="BD437" s="17">
        <v>-0.93968573101928554</v>
      </c>
      <c r="BE437" s="17">
        <v>-0.43752948899431005</v>
      </c>
      <c r="BF437" s="17">
        <v>-1.0564990447998916E-2</v>
      </c>
      <c r="BK437" s="20">
        <v>1.061285732395709</v>
      </c>
      <c r="BL437" s="20">
        <v>-6.1381571131777085E-2</v>
      </c>
      <c r="BN437" s="21">
        <f t="shared" si="20"/>
        <v>0</v>
      </c>
    </row>
    <row r="438" spans="1:66">
      <c r="A438" s="14">
        <v>12.87</v>
      </c>
      <c r="B438" s="14">
        <v>19.54</v>
      </c>
      <c r="C438" s="14">
        <v>82.67</v>
      </c>
      <c r="D438" s="14">
        <v>509.2</v>
      </c>
      <c r="E438" s="14">
        <v>7.8829999999999997E-2</v>
      </c>
      <c r="F438" s="14">
        <v>1.797E-2</v>
      </c>
      <c r="G438" s="14">
        <v>2.0899999999999998E-2</v>
      </c>
      <c r="H438" s="14">
        <v>14.45</v>
      </c>
      <c r="I438" s="14">
        <v>626.9</v>
      </c>
      <c r="J438" s="14">
        <v>6.3839999999999994E-2</v>
      </c>
      <c r="M438" s="16">
        <v>0</v>
      </c>
      <c r="O438" s="12">
        <f t="shared" si="18"/>
        <v>1</v>
      </c>
      <c r="P438" s="12">
        <f t="shared" si="19"/>
        <v>0</v>
      </c>
      <c r="R438" s="17">
        <v>-0.86216493245391179</v>
      </c>
      <c r="S438" s="17">
        <v>0.86592397083683859</v>
      </c>
      <c r="T438" s="17">
        <v>1.1492407566427856</v>
      </c>
      <c r="U438" s="17">
        <v>0.30971288832147947</v>
      </c>
      <c r="V438" s="17">
        <v>1.322038261257461</v>
      </c>
      <c r="W438" s="17">
        <v>-0.54000870393571332</v>
      </c>
      <c r="X438" s="17">
        <v>-0.93446499101467595</v>
      </c>
      <c r="Y438" s="17">
        <v>1.3623707400649003</v>
      </c>
      <c r="Z438" s="17">
        <v>0.73556995189170193</v>
      </c>
      <c r="AA438" s="17">
        <v>1.6983871669386827</v>
      </c>
      <c r="AB438" s="17">
        <v>-1.2113068807979621</v>
      </c>
      <c r="AC438" s="17">
        <v>1.5906603286575782</v>
      </c>
      <c r="AD438" s="17">
        <v>-0.8593627097567913</v>
      </c>
      <c r="AE438" s="17">
        <v>1.3374666300864129</v>
      </c>
      <c r="AF438" s="17">
        <v>1.6049118769290147</v>
      </c>
      <c r="AG438" s="17">
        <v>1.3481853892245086</v>
      </c>
      <c r="AH438" s="17">
        <v>0.33128292594394448</v>
      </c>
      <c r="AI438" s="17">
        <v>-1.6572512841003593</v>
      </c>
      <c r="AJ438" s="17">
        <v>-0.4315878441673433</v>
      </c>
      <c r="AK438" s="17">
        <v>0.36873422441298898</v>
      </c>
      <c r="AM438" s="17">
        <v>-0.88642698351755711</v>
      </c>
      <c r="AN438" s="17">
        <v>0.77717676325397134</v>
      </c>
      <c r="AO438" s="17">
        <v>0.51918436401846657</v>
      </c>
      <c r="AP438" s="17">
        <v>0.43261118174823726</v>
      </c>
      <c r="AQ438" s="17">
        <v>0.90861747894739087</v>
      </c>
      <c r="AR438" s="17">
        <v>-0.82468436452934313</v>
      </c>
      <c r="AS438" s="17">
        <v>-0.88936205651809908</v>
      </c>
      <c r="AT438" s="17">
        <v>0.75649924314781158</v>
      </c>
      <c r="AU438" s="17">
        <v>0.92535393273736133</v>
      </c>
      <c r="AV438" s="17">
        <v>0.87090557490043508</v>
      </c>
      <c r="AW438" s="17">
        <v>-0.42735837050865855</v>
      </c>
      <c r="AX438" s="17">
        <v>0.83012416711551495</v>
      </c>
      <c r="AY438" s="17">
        <v>-0.69016764463286984</v>
      </c>
      <c r="AZ438" s="17">
        <v>0.93288792099407758</v>
      </c>
      <c r="BA438" s="17">
        <v>0.45534218532706705</v>
      </c>
      <c r="BB438" s="17">
        <v>0.44766590757529046</v>
      </c>
      <c r="BC438" s="17">
        <v>0.48935787442659401</v>
      </c>
      <c r="BD438" s="17">
        <v>-0.93046938982704186</v>
      </c>
      <c r="BE438" s="17">
        <v>-0.50221660379544308</v>
      </c>
      <c r="BF438" s="17">
        <v>0.3921770644187263</v>
      </c>
      <c r="BK438" s="20">
        <v>1.0588309051260385</v>
      </c>
      <c r="BL438" s="20">
        <v>-5.8936090866468178E-2</v>
      </c>
      <c r="BN438" s="21">
        <f t="shared" si="20"/>
        <v>0</v>
      </c>
    </row>
    <row r="439" spans="1:66">
      <c r="A439" s="14">
        <v>14.04</v>
      </c>
      <c r="B439" s="14">
        <v>15.98</v>
      </c>
      <c r="C439" s="14">
        <v>89.78</v>
      </c>
      <c r="D439" s="14">
        <v>611.20000000000005</v>
      </c>
      <c r="E439" s="14">
        <v>5.8950000000000002E-2</v>
      </c>
      <c r="F439" s="14">
        <v>3.5340000000000003E-2</v>
      </c>
      <c r="G439" s="14">
        <v>2.9440000000000001E-2</v>
      </c>
      <c r="H439" s="14">
        <v>15.66</v>
      </c>
      <c r="I439" s="14">
        <v>750</v>
      </c>
      <c r="J439" s="14">
        <v>7.4529999999999999E-2</v>
      </c>
      <c r="M439" s="16">
        <v>0</v>
      </c>
      <c r="O439" s="12">
        <f t="shared" si="18"/>
        <v>1</v>
      </c>
      <c r="P439" s="12">
        <f t="shared" si="19"/>
        <v>0</v>
      </c>
      <c r="R439" s="17">
        <v>-0.86216493245391179</v>
      </c>
      <c r="S439" s="17">
        <v>0.86592397083683859</v>
      </c>
      <c r="T439" s="17">
        <v>1.1492407566427856</v>
      </c>
      <c r="U439" s="17">
        <v>0.30971288832147947</v>
      </c>
      <c r="V439" s="17">
        <v>1.322038261257461</v>
      </c>
      <c r="W439" s="17">
        <v>-0.54000870393571332</v>
      </c>
      <c r="X439" s="17">
        <v>-0.93446499101467595</v>
      </c>
      <c r="Y439" s="17">
        <v>1.3623707400649003</v>
      </c>
      <c r="Z439" s="17">
        <v>0.73556995189170193</v>
      </c>
      <c r="AA439" s="17">
        <v>1.6983871669386827</v>
      </c>
      <c r="AB439" s="17">
        <v>-1.2113068807979621</v>
      </c>
      <c r="AC439" s="17">
        <v>1.5906603286575782</v>
      </c>
      <c r="AD439" s="17">
        <v>-0.8593627097567913</v>
      </c>
      <c r="AE439" s="17">
        <v>1.3374666300864129</v>
      </c>
      <c r="AF439" s="17">
        <v>1.6049118769290147</v>
      </c>
      <c r="AG439" s="17">
        <v>1.3481853892245086</v>
      </c>
      <c r="AH439" s="17">
        <v>0.33128292594394448</v>
      </c>
      <c r="AI439" s="17">
        <v>-1.6572512841003593</v>
      </c>
      <c r="AJ439" s="17">
        <v>-0.4315878441673433</v>
      </c>
      <c r="AK439" s="17">
        <v>0.36821501284924263</v>
      </c>
      <c r="AM439" s="17">
        <v>-0.7708041714612095</v>
      </c>
      <c r="AN439" s="17">
        <v>0.7124512270572706</v>
      </c>
      <c r="AO439" s="17">
        <v>0.70635948473434162</v>
      </c>
      <c r="AP439" s="17">
        <v>0.33834288337628726</v>
      </c>
      <c r="AQ439" s="17">
        <v>0.87129173838272556</v>
      </c>
      <c r="AR439" s="17">
        <v>-0.63243242709719094</v>
      </c>
      <c r="AS439" s="17">
        <v>-0.78965333614816813</v>
      </c>
      <c r="AT439" s="17">
        <v>0.82447404161239202</v>
      </c>
      <c r="AU439" s="17">
        <v>0.77234179672459113</v>
      </c>
      <c r="AV439" s="17">
        <v>0.9046622743353735</v>
      </c>
      <c r="AW439" s="17">
        <v>-0.7106891016300374</v>
      </c>
      <c r="AX439" s="17">
        <v>0.88082259122872575</v>
      </c>
      <c r="AY439" s="17">
        <v>-0.674886875312106</v>
      </c>
      <c r="AZ439" s="17">
        <v>0.88656318977615245</v>
      </c>
      <c r="BA439" s="17">
        <v>0.81316172551337029</v>
      </c>
      <c r="BB439" s="17">
        <v>0.75281618714493381</v>
      </c>
      <c r="BC439" s="17">
        <v>0.37234139281697254</v>
      </c>
      <c r="BD439" s="17">
        <v>-0.92016172903795423</v>
      </c>
      <c r="BE439" s="17">
        <v>-0.42781845519204953</v>
      </c>
      <c r="BF439" s="17">
        <v>0.1653892223793898</v>
      </c>
      <c r="BK439" s="20">
        <v>0.88866363526978942</v>
      </c>
      <c r="BL439" s="20">
        <v>0.11152834919768204</v>
      </c>
      <c r="BN439" s="21">
        <f t="shared" si="20"/>
        <v>0</v>
      </c>
    </row>
    <row r="440" spans="1:66">
      <c r="A440" s="14">
        <v>13.85</v>
      </c>
      <c r="B440" s="14">
        <v>19.600000000000001</v>
      </c>
      <c r="C440" s="14">
        <v>88.68</v>
      </c>
      <c r="D440" s="14">
        <v>592.6</v>
      </c>
      <c r="E440" s="14">
        <v>6.3299999999999995E-2</v>
      </c>
      <c r="F440" s="14">
        <v>1.342E-2</v>
      </c>
      <c r="G440" s="14">
        <v>2.2929999999999999E-2</v>
      </c>
      <c r="H440" s="14">
        <v>15.63</v>
      </c>
      <c r="I440" s="14">
        <v>749.1</v>
      </c>
      <c r="J440" s="14">
        <v>5.8900000000000001E-2</v>
      </c>
      <c r="M440" s="16">
        <v>0</v>
      </c>
      <c r="O440" s="12">
        <f t="shared" si="18"/>
        <v>1</v>
      </c>
      <c r="P440" s="12">
        <f t="shared" si="19"/>
        <v>0</v>
      </c>
      <c r="R440" s="17">
        <v>-0.86216493245391179</v>
      </c>
      <c r="S440" s="17">
        <v>0.86592397083683859</v>
      </c>
      <c r="T440" s="17">
        <v>1.1492407566427856</v>
      </c>
      <c r="U440" s="17">
        <v>0.30971288832147947</v>
      </c>
      <c r="V440" s="17">
        <v>1.322038261257461</v>
      </c>
      <c r="W440" s="17">
        <v>-0.54000870393571332</v>
      </c>
      <c r="X440" s="17">
        <v>-0.93446499101467595</v>
      </c>
      <c r="Y440" s="17">
        <v>1.3623707400649003</v>
      </c>
      <c r="Z440" s="17">
        <v>0.73556995189170193</v>
      </c>
      <c r="AA440" s="17">
        <v>1.6983871669386827</v>
      </c>
      <c r="AB440" s="17">
        <v>-1.2113068807979621</v>
      </c>
      <c r="AC440" s="17">
        <v>1.5906603286575782</v>
      </c>
      <c r="AD440" s="17">
        <v>-0.8593627097567913</v>
      </c>
      <c r="AE440" s="17">
        <v>1.3374666300864129</v>
      </c>
      <c r="AF440" s="17">
        <v>1.6049118769290147</v>
      </c>
      <c r="AG440" s="17">
        <v>1.3481853892245086</v>
      </c>
      <c r="AH440" s="17">
        <v>0.33128292594394448</v>
      </c>
      <c r="AI440" s="17">
        <v>-1.6572512841003593</v>
      </c>
      <c r="AJ440" s="17">
        <v>-0.4315878441673433</v>
      </c>
      <c r="AK440" s="17">
        <v>0.36873422441298942</v>
      </c>
      <c r="AM440" s="17">
        <v>-0.75041076914711002</v>
      </c>
      <c r="AN440" s="17">
        <v>0.69195661208391235</v>
      </c>
      <c r="AO440" s="17">
        <v>0.68596755638177909</v>
      </c>
      <c r="AP440" s="17">
        <v>0.32367054566498454</v>
      </c>
      <c r="AQ440" s="17">
        <v>0.85597980492807912</v>
      </c>
      <c r="AR440" s="17">
        <v>-0.60989214123691393</v>
      </c>
      <c r="AS440" s="17">
        <v>-0.76999629162599981</v>
      </c>
      <c r="AT440" s="17">
        <v>0.80796976759837913</v>
      </c>
      <c r="AU440" s="17">
        <v>0.75109056021624065</v>
      </c>
      <c r="AV440" s="17">
        <v>0.89234729043735639</v>
      </c>
      <c r="AW440" s="17">
        <v>-0.69306716267556834</v>
      </c>
      <c r="AX440" s="17">
        <v>0.86700528332249271</v>
      </c>
      <c r="AY440" s="17">
        <v>-0.65472176738815002</v>
      </c>
      <c r="AZ440" s="17">
        <v>0.87202821306684652</v>
      </c>
      <c r="BA440" s="17">
        <v>0.79788126510324142</v>
      </c>
      <c r="BB440" s="17">
        <v>0.73583626432911908</v>
      </c>
      <c r="BC440" s="17">
        <v>0.35629754450373191</v>
      </c>
      <c r="BD440" s="17">
        <v>-0.90866385479843204</v>
      </c>
      <c r="BE440" s="17">
        <v>-0.41057446460237063</v>
      </c>
      <c r="BF440" s="17">
        <v>0.20187167201131778</v>
      </c>
      <c r="BK440" s="20">
        <v>1.0214962318091005</v>
      </c>
      <c r="BL440" s="20">
        <v>-2.1639491290009721E-2</v>
      </c>
      <c r="BN440" s="21">
        <f t="shared" si="20"/>
        <v>0</v>
      </c>
    </row>
    <row r="441" spans="1:66">
      <c r="A441" s="14">
        <v>14.02</v>
      </c>
      <c r="B441" s="14">
        <v>15.66</v>
      </c>
      <c r="C441" s="14">
        <v>89.59</v>
      </c>
      <c r="D441" s="14">
        <v>606.5</v>
      </c>
      <c r="E441" s="14">
        <v>5.5809999999999998E-2</v>
      </c>
      <c r="F441" s="14">
        <v>2.087E-2</v>
      </c>
      <c r="G441" s="14">
        <v>2.6519999999999998E-2</v>
      </c>
      <c r="H441" s="14">
        <v>14.91</v>
      </c>
      <c r="I441" s="14">
        <v>688.9</v>
      </c>
      <c r="J441" s="14">
        <v>8.2159999999999997E-2</v>
      </c>
      <c r="M441" s="16">
        <v>0</v>
      </c>
      <c r="O441" s="12">
        <f t="shared" si="18"/>
        <v>1</v>
      </c>
      <c r="P441" s="12">
        <f t="shared" si="19"/>
        <v>0</v>
      </c>
      <c r="R441" s="17">
        <v>-0.86216493245391179</v>
      </c>
      <c r="S441" s="17">
        <v>0.86592397083683859</v>
      </c>
      <c r="T441" s="17">
        <v>1.1492407566427856</v>
      </c>
      <c r="U441" s="17">
        <v>0.30971288832147947</v>
      </c>
      <c r="V441" s="17">
        <v>1.322038261257461</v>
      </c>
      <c r="W441" s="17">
        <v>-0.54000870393571332</v>
      </c>
      <c r="X441" s="17">
        <v>-0.93446499101467595</v>
      </c>
      <c r="Y441" s="17">
        <v>1.3623707400649003</v>
      </c>
      <c r="Z441" s="17">
        <v>0.73556995189170193</v>
      </c>
      <c r="AA441" s="17">
        <v>1.6983871669386827</v>
      </c>
      <c r="AB441" s="17">
        <v>-1.2113068807979621</v>
      </c>
      <c r="AC441" s="17">
        <v>1.5906603286575782</v>
      </c>
      <c r="AD441" s="17">
        <v>-0.8593627097567913</v>
      </c>
      <c r="AE441" s="17">
        <v>1.3374666300864129</v>
      </c>
      <c r="AF441" s="17">
        <v>1.6049118769290147</v>
      </c>
      <c r="AG441" s="17">
        <v>1.3481853892245086</v>
      </c>
      <c r="AH441" s="17">
        <v>0.33128292594394448</v>
      </c>
      <c r="AI441" s="17">
        <v>-1.6572512841003593</v>
      </c>
      <c r="AJ441" s="17">
        <v>-0.4315878441673433</v>
      </c>
      <c r="AK441" s="17">
        <v>0.36873422441298886</v>
      </c>
      <c r="AM441" s="17">
        <v>-0.71834376684192325</v>
      </c>
      <c r="AN441" s="17">
        <v>0.68727068815850834</v>
      </c>
      <c r="AO441" s="17">
        <v>0.74229419787571638</v>
      </c>
      <c r="AP441" s="17">
        <v>0.30726475216196086</v>
      </c>
      <c r="AQ441" s="17">
        <v>0.85519840406569403</v>
      </c>
      <c r="AR441" s="17">
        <v>-0.54933074816419092</v>
      </c>
      <c r="AS441" s="17">
        <v>-0.74508427881613959</v>
      </c>
      <c r="AT441" s="17">
        <v>0.83750429105872137</v>
      </c>
      <c r="AU441" s="17">
        <v>0.68908288671005313</v>
      </c>
      <c r="AV441" s="17">
        <v>0.91047788181180045</v>
      </c>
      <c r="AW441" s="17">
        <v>-0.76340434190363982</v>
      </c>
      <c r="AX441" s="17">
        <v>0.89003884911046915</v>
      </c>
      <c r="AY441" s="17">
        <v>-0.66651991078621908</v>
      </c>
      <c r="AZ441" s="17">
        <v>0.86556914213451441</v>
      </c>
      <c r="BA441" s="17">
        <v>0.86446432580563204</v>
      </c>
      <c r="BB441" s="17">
        <v>0.80517990099587977</v>
      </c>
      <c r="BC441" s="17">
        <v>0.33337923715608236</v>
      </c>
      <c r="BD441" s="17">
        <v>-0.91475755007589155</v>
      </c>
      <c r="BE441" s="17">
        <v>-0.4020983417960492</v>
      </c>
      <c r="BF441" s="17">
        <v>0.10709555503276813</v>
      </c>
      <c r="BK441" s="20">
        <v>0.66221035171978115</v>
      </c>
      <c r="BL441" s="20">
        <v>0.33776412440009496</v>
      </c>
      <c r="BN441" s="21">
        <f t="shared" si="20"/>
        <v>0</v>
      </c>
    </row>
    <row r="442" spans="1:66">
      <c r="A442" s="14">
        <v>10.97</v>
      </c>
      <c r="B442" s="14">
        <v>17.2</v>
      </c>
      <c r="C442" s="14">
        <v>71.73</v>
      </c>
      <c r="D442" s="14">
        <v>371.5</v>
      </c>
      <c r="E442" s="14">
        <v>0.1113</v>
      </c>
      <c r="F442" s="14">
        <v>9.4570000000000001E-2</v>
      </c>
      <c r="G442" s="14">
        <v>3.6130000000000002E-2</v>
      </c>
      <c r="H442" s="14">
        <v>12.36</v>
      </c>
      <c r="I442" s="14">
        <v>476.4</v>
      </c>
      <c r="J442" s="14">
        <v>0.1555</v>
      </c>
      <c r="M442" s="16">
        <v>0</v>
      </c>
      <c r="O442" s="12">
        <f t="shared" si="18"/>
        <v>1</v>
      </c>
      <c r="P442" s="12">
        <f t="shared" si="19"/>
        <v>0</v>
      </c>
      <c r="R442" s="17">
        <v>-1.4643074708783446</v>
      </c>
      <c r="S442" s="17">
        <v>1.0359333700219733</v>
      </c>
      <c r="T442" s="17">
        <v>0.4503249130137873</v>
      </c>
      <c r="U442" s="17">
        <v>0.47751119115197871</v>
      </c>
      <c r="V442" s="17">
        <v>1.5052132201123889</v>
      </c>
      <c r="W442" s="17">
        <v>-1.2567352733816861</v>
      </c>
      <c r="X442" s="17">
        <v>-1.4659127711484521</v>
      </c>
      <c r="Y442" s="17">
        <v>0.877385815472147</v>
      </c>
      <c r="Z442" s="17">
        <v>1.7463530467411736</v>
      </c>
      <c r="AA442" s="17">
        <v>1.2163845753889837</v>
      </c>
      <c r="AB442" s="17">
        <v>-0.28839333793737798</v>
      </c>
      <c r="AC442" s="17">
        <v>1.0652147513376473</v>
      </c>
      <c r="AD442" s="17">
        <v>-0.81583654438301023</v>
      </c>
      <c r="AE442" s="17">
        <v>1.6894094608623824</v>
      </c>
      <c r="AF442" s="17">
        <v>0.2496334827590041</v>
      </c>
      <c r="AG442" s="17">
        <v>0.29010426800531797</v>
      </c>
      <c r="AH442" s="17">
        <v>0.55723475600471262</v>
      </c>
      <c r="AI442" s="17">
        <v>-1.603629768829455</v>
      </c>
      <c r="AJ442" s="17">
        <v>-0.55690825498325469</v>
      </c>
      <c r="AK442" s="17">
        <v>0.41256201738018505</v>
      </c>
      <c r="AM442" s="17">
        <v>-0.64323160993201611</v>
      </c>
      <c r="AN442" s="17">
        <v>0.66116885524100599</v>
      </c>
      <c r="AO442" s="17">
        <v>0.79923358257717625</v>
      </c>
      <c r="AP442" s="17">
        <v>0.27053554200055013</v>
      </c>
      <c r="AQ442" s="17">
        <v>0.83920655907419595</v>
      </c>
      <c r="AR442" s="17">
        <v>-0.42725186769573598</v>
      </c>
      <c r="AS442" s="17">
        <v>-0.68340833116564104</v>
      </c>
      <c r="AT442" s="17">
        <v>0.86143480728008526</v>
      </c>
      <c r="AU442" s="17">
        <v>0.55088203481531239</v>
      </c>
      <c r="AV442" s="17">
        <v>0.92336267629123514</v>
      </c>
      <c r="AW442" s="17">
        <v>-0.82945952453842575</v>
      </c>
      <c r="AX442" s="17">
        <v>0.90763113916761706</v>
      </c>
      <c r="AY442" s="17">
        <v>-0.66542139974247039</v>
      </c>
      <c r="AZ442" s="17">
        <v>0.84024740512559026</v>
      </c>
      <c r="BA442" s="17">
        <v>0.91866625423397041</v>
      </c>
      <c r="BB442" s="17">
        <v>0.86739109989861196</v>
      </c>
      <c r="BC442" s="17">
        <v>0.2856129874419609</v>
      </c>
      <c r="BD442" s="17">
        <v>-0.91305850566704716</v>
      </c>
      <c r="BE442" s="17">
        <v>-0.3744412101806493</v>
      </c>
      <c r="BF442" s="17">
        <v>-2.0263406947426321E-3</v>
      </c>
      <c r="BK442" s="20">
        <v>1.0604160860224554</v>
      </c>
      <c r="BL442" s="20">
        <v>-6.0427038741463657E-2</v>
      </c>
      <c r="BN442" s="21">
        <f t="shared" si="20"/>
        <v>0</v>
      </c>
    </row>
    <row r="443" spans="1:66">
      <c r="A443" s="14">
        <v>17.27</v>
      </c>
      <c r="B443" s="14">
        <v>25.42</v>
      </c>
      <c r="C443" s="14">
        <v>112.4</v>
      </c>
      <c r="D443" s="14">
        <v>928.8</v>
      </c>
      <c r="E443" s="14">
        <v>0.1109</v>
      </c>
      <c r="F443" s="14">
        <v>0.12039999999999999</v>
      </c>
      <c r="G443" s="14">
        <v>5.7360000000000001E-2</v>
      </c>
      <c r="H443" s="14">
        <v>20.38</v>
      </c>
      <c r="I443" s="14">
        <v>1284</v>
      </c>
      <c r="J443" s="14">
        <v>0.1739</v>
      </c>
      <c r="M443" s="16">
        <v>1</v>
      </c>
      <c r="O443" s="12">
        <f t="shared" si="18"/>
        <v>0</v>
      </c>
      <c r="P443" s="12">
        <f t="shared" si="19"/>
        <v>1</v>
      </c>
      <c r="R443" s="17">
        <v>-0.86216493245391179</v>
      </c>
      <c r="S443" s="17">
        <v>0.86592397083683859</v>
      </c>
      <c r="T443" s="17">
        <v>1.1492407566427856</v>
      </c>
      <c r="U443" s="17">
        <v>0.30971288832147947</v>
      </c>
      <c r="V443" s="17">
        <v>1.322038261257461</v>
      </c>
      <c r="W443" s="17">
        <v>-0.54000870393571332</v>
      </c>
      <c r="X443" s="17">
        <v>-0.93446499101467595</v>
      </c>
      <c r="Y443" s="17">
        <v>1.3623707400649003</v>
      </c>
      <c r="Z443" s="17">
        <v>0.73556995189170193</v>
      </c>
      <c r="AA443" s="17">
        <v>1.6983871669386827</v>
      </c>
      <c r="AB443" s="17">
        <v>-1.2113068807979621</v>
      </c>
      <c r="AC443" s="17">
        <v>1.5906603286575782</v>
      </c>
      <c r="AD443" s="17">
        <v>-0.8593627097567913</v>
      </c>
      <c r="AE443" s="17">
        <v>1.3374666300864129</v>
      </c>
      <c r="AF443" s="17">
        <v>1.6049118769290147</v>
      </c>
      <c r="AG443" s="17">
        <v>1.3481853892245086</v>
      </c>
      <c r="AH443" s="17">
        <v>0.33128292594394448</v>
      </c>
      <c r="AI443" s="17">
        <v>-1.6572512841003593</v>
      </c>
      <c r="AJ443" s="17">
        <v>-0.4315878441673433</v>
      </c>
      <c r="AK443" s="17">
        <v>0.3687341923937657</v>
      </c>
      <c r="AM443" s="17">
        <v>-0.817456277287816</v>
      </c>
      <c r="AN443" s="17">
        <v>0.74893496141487426</v>
      </c>
      <c r="AO443" s="17">
        <v>0.73856055561049827</v>
      </c>
      <c r="AP443" s="17">
        <v>0.37334556643488326</v>
      </c>
      <c r="AQ443" s="17">
        <v>0.89559031243495923</v>
      </c>
      <c r="AR443" s="17">
        <v>-0.69786391493397903</v>
      </c>
      <c r="AS443" s="17">
        <v>-0.83190427229687225</v>
      </c>
      <c r="AT443" s="17">
        <v>0.8364383202414698</v>
      </c>
      <c r="AU443" s="17">
        <v>0.83066187076174836</v>
      </c>
      <c r="AV443" s="17">
        <v>0.91529146732810207</v>
      </c>
      <c r="AW443" s="17">
        <v>-0.70009324834151432</v>
      </c>
      <c r="AX443" s="17">
        <v>0.89147192646632545</v>
      </c>
      <c r="AY443" s="17">
        <v>-0.70317078194148674</v>
      </c>
      <c r="AZ443" s="17">
        <v>0.91157442090837093</v>
      </c>
      <c r="BA443" s="17">
        <v>0.79812539793476989</v>
      </c>
      <c r="BB443" s="17">
        <v>0.74089958725906657</v>
      </c>
      <c r="BC443" s="17">
        <v>0.41302167055874267</v>
      </c>
      <c r="BD443" s="17">
        <v>-0.93508368950738197</v>
      </c>
      <c r="BE443" s="17">
        <v>-0.46279369244774571</v>
      </c>
      <c r="BF443" s="17">
        <v>0.42513487023820135</v>
      </c>
      <c r="BK443" s="20">
        <v>1.0335206758149589</v>
      </c>
      <c r="BL443" s="20">
        <v>-3.3460177865107715E-2</v>
      </c>
      <c r="BN443" s="21">
        <f t="shared" si="20"/>
        <v>0</v>
      </c>
    </row>
    <row r="444" spans="1:66">
      <c r="A444" s="14">
        <v>13.78</v>
      </c>
      <c r="B444" s="14">
        <v>15.79</v>
      </c>
      <c r="C444" s="14">
        <v>88.37</v>
      </c>
      <c r="D444" s="14">
        <v>585.9</v>
      </c>
      <c r="E444" s="14">
        <v>6.7180000000000004E-2</v>
      </c>
      <c r="F444" s="14">
        <v>1.055E-2</v>
      </c>
      <c r="G444" s="14">
        <v>9.9369999999999997E-3</v>
      </c>
      <c r="H444" s="14">
        <v>15.27</v>
      </c>
      <c r="I444" s="14">
        <v>706.6</v>
      </c>
      <c r="J444" s="14">
        <v>3.3119999999999997E-2</v>
      </c>
      <c r="M444" s="16">
        <v>0</v>
      </c>
      <c r="O444" s="12">
        <f t="shared" si="18"/>
        <v>1</v>
      </c>
      <c r="P444" s="12">
        <f t="shared" si="19"/>
        <v>0</v>
      </c>
      <c r="R444" s="17">
        <v>-0.86216493245391179</v>
      </c>
      <c r="S444" s="17">
        <v>0.86592397083683859</v>
      </c>
      <c r="T444" s="17">
        <v>1.1492407566427856</v>
      </c>
      <c r="U444" s="17">
        <v>0.30971288832147947</v>
      </c>
      <c r="V444" s="17">
        <v>1.322038261257461</v>
      </c>
      <c r="W444" s="17">
        <v>-0.54000870393571332</v>
      </c>
      <c r="X444" s="17">
        <v>-0.93446499101467595</v>
      </c>
      <c r="Y444" s="17">
        <v>1.3623707400649003</v>
      </c>
      <c r="Z444" s="17">
        <v>0.73556995189170193</v>
      </c>
      <c r="AA444" s="17">
        <v>1.6983871669386827</v>
      </c>
      <c r="AB444" s="17">
        <v>-1.2113068807979621</v>
      </c>
      <c r="AC444" s="17">
        <v>1.5906603286575782</v>
      </c>
      <c r="AD444" s="17">
        <v>-0.8593627097567913</v>
      </c>
      <c r="AE444" s="17">
        <v>1.3374666300864129</v>
      </c>
      <c r="AF444" s="17">
        <v>1.6049118769290147</v>
      </c>
      <c r="AG444" s="17">
        <v>1.3481853892245086</v>
      </c>
      <c r="AH444" s="17">
        <v>0.33128292594394448</v>
      </c>
      <c r="AI444" s="17">
        <v>-1.6572512841003593</v>
      </c>
      <c r="AJ444" s="17">
        <v>-0.4315878441673433</v>
      </c>
      <c r="AK444" s="17">
        <v>0.36857798746071802</v>
      </c>
      <c r="AM444" s="17">
        <v>-0.83751721491940678</v>
      </c>
      <c r="AN444" s="17">
        <v>0.76790546703441864</v>
      </c>
      <c r="AO444" s="17">
        <v>0.73235321433739153</v>
      </c>
      <c r="AP444" s="17">
        <v>0.39104552801539844</v>
      </c>
      <c r="AQ444" s="17">
        <v>0.90769960316631393</v>
      </c>
      <c r="AR444" s="17">
        <v>-0.72499424094009202</v>
      </c>
      <c r="AS444" s="17">
        <v>-0.85049762660367223</v>
      </c>
      <c r="AT444" s="17">
        <v>0.84718349259353687</v>
      </c>
      <c r="AU444" s="17">
        <v>0.85289387195436694</v>
      </c>
      <c r="AV444" s="17">
        <v>0.92325435060740424</v>
      </c>
      <c r="AW444" s="17">
        <v>-0.70564731018080307</v>
      </c>
      <c r="AX444" s="17">
        <v>0.90032590069292007</v>
      </c>
      <c r="AY444" s="17">
        <v>-0.72039393259214302</v>
      </c>
      <c r="AZ444" s="17">
        <v>0.92312072877592555</v>
      </c>
      <c r="BA444" s="17">
        <v>0.80124882878874071</v>
      </c>
      <c r="BB444" s="17">
        <v>0.74575318697608917</v>
      </c>
      <c r="BC444" s="17">
        <v>0.43291941502911568</v>
      </c>
      <c r="BD444" s="17">
        <v>-0.94317909158603441</v>
      </c>
      <c r="BE444" s="17">
        <v>-0.48149608235970898</v>
      </c>
      <c r="BF444" s="17">
        <v>0.31413804404968038</v>
      </c>
      <c r="BK444" s="20">
        <v>1.0445649181876517</v>
      </c>
      <c r="BL444" s="20">
        <v>-4.465631113278469E-2</v>
      </c>
      <c r="BN444" s="21">
        <f t="shared" si="20"/>
        <v>0</v>
      </c>
    </row>
    <row r="445" spans="1:66">
      <c r="A445" s="14">
        <v>10.57</v>
      </c>
      <c r="B445" s="14">
        <v>18.32</v>
      </c>
      <c r="C445" s="14">
        <v>66.819999999999993</v>
      </c>
      <c r="D445" s="14">
        <v>340.9</v>
      </c>
      <c r="E445" s="14">
        <v>4.462E-2</v>
      </c>
      <c r="F445" s="14">
        <v>1.993E-2</v>
      </c>
      <c r="G445" s="14">
        <v>1.111E-2</v>
      </c>
      <c r="H445" s="14">
        <v>10.94</v>
      </c>
      <c r="I445" s="14">
        <v>366.3</v>
      </c>
      <c r="J445" s="14">
        <v>2.222E-2</v>
      </c>
      <c r="M445" s="16">
        <v>0</v>
      </c>
      <c r="O445" s="12">
        <f t="shared" si="18"/>
        <v>1</v>
      </c>
      <c r="P445" s="12">
        <f t="shared" si="19"/>
        <v>0</v>
      </c>
      <c r="R445" s="17">
        <v>-0.86216493245391179</v>
      </c>
      <c r="S445" s="17">
        <v>0.86592397083683859</v>
      </c>
      <c r="T445" s="17">
        <v>1.1492407566427856</v>
      </c>
      <c r="U445" s="17">
        <v>0.30971288832147947</v>
      </c>
      <c r="V445" s="17">
        <v>1.322038261257461</v>
      </c>
      <c r="W445" s="17">
        <v>-0.54000870393571332</v>
      </c>
      <c r="X445" s="17">
        <v>-0.93446499101467595</v>
      </c>
      <c r="Y445" s="17">
        <v>1.3623707400649003</v>
      </c>
      <c r="Z445" s="17">
        <v>0.73556995189170193</v>
      </c>
      <c r="AA445" s="17">
        <v>1.6983871669386827</v>
      </c>
      <c r="AB445" s="17">
        <v>-1.2113068807979621</v>
      </c>
      <c r="AC445" s="17">
        <v>1.5906603286575782</v>
      </c>
      <c r="AD445" s="17">
        <v>-0.8593627097567913</v>
      </c>
      <c r="AE445" s="17">
        <v>1.3374666300864129</v>
      </c>
      <c r="AF445" s="17">
        <v>1.6049118769290147</v>
      </c>
      <c r="AG445" s="17">
        <v>1.3481853892245086</v>
      </c>
      <c r="AH445" s="17">
        <v>0.33128292594394448</v>
      </c>
      <c r="AI445" s="17">
        <v>-1.6572512841003593</v>
      </c>
      <c r="AJ445" s="17">
        <v>-0.4315878441673433</v>
      </c>
      <c r="AK445" s="17">
        <v>0.36755741500617034</v>
      </c>
      <c r="AM445" s="17">
        <v>-0.74391096609653817</v>
      </c>
      <c r="AN445" s="17">
        <v>0.70933570315086858</v>
      </c>
      <c r="AO445" s="17">
        <v>0.77680407535163443</v>
      </c>
      <c r="AP445" s="17">
        <v>0.32382523390968382</v>
      </c>
      <c r="AQ445" s="17">
        <v>0.87139191129384541</v>
      </c>
      <c r="AR445" s="17">
        <v>-0.5792410972470835</v>
      </c>
      <c r="AS445" s="17">
        <v>-0.76905390717028499</v>
      </c>
      <c r="AT445" s="17">
        <v>0.85094022951099502</v>
      </c>
      <c r="AU445" s="17">
        <v>0.7196719656320848</v>
      </c>
      <c r="AV445" s="17">
        <v>0.92046564064098402</v>
      </c>
      <c r="AW445" s="17">
        <v>-0.77479629535143757</v>
      </c>
      <c r="AX445" s="17">
        <v>0.90107134277455847</v>
      </c>
      <c r="AY445" s="17">
        <v>-0.68649173789353579</v>
      </c>
      <c r="AZ445" s="17">
        <v>0.88188122797362323</v>
      </c>
      <c r="BA445" s="17">
        <v>0.87263198875236048</v>
      </c>
      <c r="BB445" s="17">
        <v>0.81554029388878024</v>
      </c>
      <c r="BC445" s="17">
        <v>0.35188581547211495</v>
      </c>
      <c r="BD445" s="17">
        <v>-0.92574824506627251</v>
      </c>
      <c r="BE445" s="17">
        <v>-0.42087371498673992</v>
      </c>
      <c r="BF445" s="17">
        <v>0.25157296016787112</v>
      </c>
      <c r="BK445" s="20">
        <v>0.7923234964307263</v>
      </c>
      <c r="BL445" s="20">
        <v>0.20757546698274046</v>
      </c>
      <c r="BN445" s="21">
        <f t="shared" si="20"/>
        <v>0</v>
      </c>
    </row>
    <row r="446" spans="1:66">
      <c r="A446" s="14">
        <v>18.03</v>
      </c>
      <c r="B446" s="14">
        <v>16.850000000000001</v>
      </c>
      <c r="C446" s="14">
        <v>117.5</v>
      </c>
      <c r="D446" s="14">
        <v>990</v>
      </c>
      <c r="E446" s="14">
        <v>0.1232</v>
      </c>
      <c r="F446" s="14">
        <v>0.109</v>
      </c>
      <c r="G446" s="14">
        <v>6.2539999999999998E-2</v>
      </c>
      <c r="H446" s="14">
        <v>20.38</v>
      </c>
      <c r="I446" s="14">
        <v>1292</v>
      </c>
      <c r="J446" s="14">
        <v>0.1535</v>
      </c>
      <c r="M446" s="16">
        <v>1</v>
      </c>
      <c r="O446" s="12">
        <f t="shared" si="18"/>
        <v>0</v>
      </c>
      <c r="P446" s="12">
        <f t="shared" si="19"/>
        <v>1</v>
      </c>
      <c r="R446" s="17">
        <v>-0.86216493245391179</v>
      </c>
      <c r="S446" s="17">
        <v>0.86592397083683859</v>
      </c>
      <c r="T446" s="17">
        <v>1.1492407566427856</v>
      </c>
      <c r="U446" s="17">
        <v>0.30971288832147947</v>
      </c>
      <c r="V446" s="17">
        <v>1.322038261257461</v>
      </c>
      <c r="W446" s="17">
        <v>-0.54000870393571332</v>
      </c>
      <c r="X446" s="17">
        <v>-0.93446499101467595</v>
      </c>
      <c r="Y446" s="17">
        <v>1.3623707400649003</v>
      </c>
      <c r="Z446" s="17">
        <v>0.73556995189170193</v>
      </c>
      <c r="AA446" s="17">
        <v>1.6983871669386827</v>
      </c>
      <c r="AB446" s="17">
        <v>-1.2113068807979621</v>
      </c>
      <c r="AC446" s="17">
        <v>1.5906603286575782</v>
      </c>
      <c r="AD446" s="17">
        <v>-0.8593627097567913</v>
      </c>
      <c r="AE446" s="17">
        <v>1.3374666300864129</v>
      </c>
      <c r="AF446" s="17">
        <v>1.6049118769290147</v>
      </c>
      <c r="AG446" s="17">
        <v>1.3481853892245086</v>
      </c>
      <c r="AH446" s="17">
        <v>0.33128292594394448</v>
      </c>
      <c r="AI446" s="17">
        <v>-1.6572512841003593</v>
      </c>
      <c r="AJ446" s="17">
        <v>-0.4315878441673433</v>
      </c>
      <c r="AK446" s="17">
        <v>0.36871425239887767</v>
      </c>
      <c r="AM446" s="17">
        <v>-0.70665730413681449</v>
      </c>
      <c r="AN446" s="17">
        <v>0.67172768754845713</v>
      </c>
      <c r="AO446" s="17">
        <v>0.71787264779994509</v>
      </c>
      <c r="AP446" s="17">
        <v>0.29901030378313836</v>
      </c>
      <c r="AQ446" s="17">
        <v>0.84264137053710764</v>
      </c>
      <c r="AR446" s="17">
        <v>-0.54165019345746257</v>
      </c>
      <c r="AS446" s="17">
        <v>-0.73276768842050855</v>
      </c>
      <c r="AT446" s="17">
        <v>0.82058317374974243</v>
      </c>
      <c r="AU446" s="17">
        <v>0.68139468490779143</v>
      </c>
      <c r="AV446" s="17">
        <v>0.89846894692819712</v>
      </c>
      <c r="AW446" s="17">
        <v>-0.73999870393038381</v>
      </c>
      <c r="AX446" s="17">
        <v>0.87624339193266265</v>
      </c>
      <c r="AY446" s="17">
        <v>-0.6488641810709761</v>
      </c>
      <c r="AZ446" s="17">
        <v>0.85422103722430254</v>
      </c>
      <c r="BA446" s="17">
        <v>0.84484610004818494</v>
      </c>
      <c r="BB446" s="17">
        <v>0.78292310862765968</v>
      </c>
      <c r="BC446" s="17">
        <v>0.32519069651502008</v>
      </c>
      <c r="BD446" s="17">
        <v>-0.90447011775514108</v>
      </c>
      <c r="BE446" s="17">
        <v>-0.39036069855233418</v>
      </c>
      <c r="BF446" s="17">
        <v>-0.18462952639866501</v>
      </c>
      <c r="BK446" s="20">
        <v>0.98007597961199922</v>
      </c>
      <c r="BL446" s="20">
        <v>2.0047162402734138E-2</v>
      </c>
      <c r="BN446" s="21">
        <f t="shared" si="20"/>
        <v>0</v>
      </c>
    </row>
    <row r="447" spans="1:66">
      <c r="A447" s="14">
        <v>11.99</v>
      </c>
      <c r="B447" s="14">
        <v>24.89</v>
      </c>
      <c r="C447" s="14">
        <v>77.61</v>
      </c>
      <c r="D447" s="14">
        <v>441.3</v>
      </c>
      <c r="E447" s="14">
        <v>9.2179999999999998E-2</v>
      </c>
      <c r="F447" s="14">
        <v>5.441E-2</v>
      </c>
      <c r="G447" s="14">
        <v>4.274E-2</v>
      </c>
      <c r="H447" s="14">
        <v>12.98</v>
      </c>
      <c r="I447" s="14">
        <v>513.9</v>
      </c>
      <c r="J447" s="14">
        <v>0.1202</v>
      </c>
      <c r="M447" s="16">
        <v>0</v>
      </c>
      <c r="O447" s="12">
        <f t="shared" si="18"/>
        <v>1</v>
      </c>
      <c r="P447" s="12">
        <f t="shared" si="19"/>
        <v>0</v>
      </c>
      <c r="R447" s="17">
        <v>-0.86216493245391179</v>
      </c>
      <c r="S447" s="17">
        <v>0.86592397083683859</v>
      </c>
      <c r="T447" s="17">
        <v>1.1492407566427856</v>
      </c>
      <c r="U447" s="17">
        <v>0.30971288832147947</v>
      </c>
      <c r="V447" s="17">
        <v>1.322038261257461</v>
      </c>
      <c r="W447" s="17">
        <v>-0.54000870393571332</v>
      </c>
      <c r="X447" s="17">
        <v>-0.93446499101467595</v>
      </c>
      <c r="Y447" s="17">
        <v>1.3623707400649003</v>
      </c>
      <c r="Z447" s="17">
        <v>0.73556995189170193</v>
      </c>
      <c r="AA447" s="17">
        <v>1.6983871669386827</v>
      </c>
      <c r="AB447" s="17">
        <v>-1.2113068807979621</v>
      </c>
      <c r="AC447" s="17">
        <v>1.5906603286575782</v>
      </c>
      <c r="AD447" s="17">
        <v>-0.8593627097567913</v>
      </c>
      <c r="AE447" s="17">
        <v>1.3374666300864129</v>
      </c>
      <c r="AF447" s="17">
        <v>1.6049118769290147</v>
      </c>
      <c r="AG447" s="17">
        <v>1.3481853892245086</v>
      </c>
      <c r="AH447" s="17">
        <v>0.33128292594394448</v>
      </c>
      <c r="AI447" s="17">
        <v>-1.6572512841003593</v>
      </c>
      <c r="AJ447" s="17">
        <v>-0.4315878441673433</v>
      </c>
      <c r="AK447" s="17">
        <v>0.36873422441298942</v>
      </c>
      <c r="AM447" s="17">
        <v>-0.91015991768675109</v>
      </c>
      <c r="AN447" s="17">
        <v>0.76921460531350394</v>
      </c>
      <c r="AO447" s="17">
        <v>-0.52900787031637908</v>
      </c>
      <c r="AP447" s="17">
        <v>0.45533510196971577</v>
      </c>
      <c r="AQ447" s="17">
        <v>0.89843567850868944</v>
      </c>
      <c r="AR447" s="17">
        <v>-0.87660876090623119</v>
      </c>
      <c r="AS447" s="17">
        <v>-0.90739826429189696</v>
      </c>
      <c r="AT447" s="17">
        <v>0.60938957115882531</v>
      </c>
      <c r="AU447" s="17">
        <v>0.95578883721546615</v>
      </c>
      <c r="AV447" s="17">
        <v>0.77321390202205142</v>
      </c>
      <c r="AW447" s="17">
        <v>-4.501922591062936E-2</v>
      </c>
      <c r="AX447" s="17">
        <v>0.70394573442698516</v>
      </c>
      <c r="AY447" s="17">
        <v>-0.64014830643963527</v>
      </c>
      <c r="AZ447" s="17">
        <v>0.93275443426477334</v>
      </c>
      <c r="BA447" s="17">
        <v>-9.7445809749590093E-2</v>
      </c>
      <c r="BB447" s="17">
        <v>1.344079755482378E-2</v>
      </c>
      <c r="BC447" s="17">
        <v>0.52329154176631554</v>
      </c>
      <c r="BD447" s="17">
        <v>-0.90490017629590036</v>
      </c>
      <c r="BE447" s="17">
        <v>-0.50487033435773332</v>
      </c>
      <c r="BF447" s="17">
        <v>-0.78254352179541953</v>
      </c>
      <c r="BK447" s="20">
        <v>1.035080492796894</v>
      </c>
      <c r="BL447" s="20">
        <v>-3.5129602480467953E-2</v>
      </c>
      <c r="BN447" s="21">
        <f t="shared" si="20"/>
        <v>0</v>
      </c>
    </row>
    <row r="448" spans="1:66">
      <c r="A448" s="14">
        <v>17.75</v>
      </c>
      <c r="B448" s="14">
        <v>28.03</v>
      </c>
      <c r="C448" s="14">
        <v>117.3</v>
      </c>
      <c r="D448" s="14">
        <v>981.6</v>
      </c>
      <c r="E448" s="14">
        <v>0.13139999999999999</v>
      </c>
      <c r="F448" s="14">
        <v>0.16980000000000001</v>
      </c>
      <c r="G448" s="14">
        <v>8.2930000000000004E-2</v>
      </c>
      <c r="H448" s="14">
        <v>21.53</v>
      </c>
      <c r="I448" s="14">
        <v>1437</v>
      </c>
      <c r="J448" s="14">
        <v>0.19700000000000001</v>
      </c>
      <c r="M448" s="16">
        <v>1</v>
      </c>
      <c r="O448" s="12">
        <f t="shared" si="18"/>
        <v>0</v>
      </c>
      <c r="P448" s="12">
        <f t="shared" si="19"/>
        <v>1</v>
      </c>
      <c r="R448" s="17">
        <v>-1.4643074708783446</v>
      </c>
      <c r="S448" s="17">
        <v>1.0359333700219733</v>
      </c>
      <c r="T448" s="17">
        <v>0.4503249130137873</v>
      </c>
      <c r="U448" s="17">
        <v>0.47751119115197871</v>
      </c>
      <c r="V448" s="17">
        <v>1.5052132201123889</v>
      </c>
      <c r="W448" s="17">
        <v>-1.2567352733816861</v>
      </c>
      <c r="X448" s="17">
        <v>-1.4659127711484521</v>
      </c>
      <c r="Y448" s="17">
        <v>0.877385815472147</v>
      </c>
      <c r="Z448" s="17">
        <v>1.7463530467411736</v>
      </c>
      <c r="AA448" s="17">
        <v>1.2163845753889837</v>
      </c>
      <c r="AB448" s="17">
        <v>-0.28839333793737798</v>
      </c>
      <c r="AC448" s="17">
        <v>1.0652147513376473</v>
      </c>
      <c r="AD448" s="17">
        <v>-0.81583654438301023</v>
      </c>
      <c r="AE448" s="17">
        <v>1.6894094608623824</v>
      </c>
      <c r="AF448" s="17">
        <v>0.2496334827590041</v>
      </c>
      <c r="AG448" s="17">
        <v>0.29010426800531797</v>
      </c>
      <c r="AH448" s="17">
        <v>0.55723475600471262</v>
      </c>
      <c r="AI448" s="17">
        <v>-1.603629768829455</v>
      </c>
      <c r="AJ448" s="17">
        <v>-0.55690825498325469</v>
      </c>
      <c r="AK448" s="17">
        <v>0.41256201738018505</v>
      </c>
      <c r="AM448" s="17">
        <v>-0.70306222833915077</v>
      </c>
      <c r="AN448" s="17">
        <v>0.69692785195479245</v>
      </c>
      <c r="AO448" s="17">
        <v>0.81225138068413461</v>
      </c>
      <c r="AP448" s="17">
        <v>0.30221631834173746</v>
      </c>
      <c r="AQ448" s="17">
        <v>0.86483084136894495</v>
      </c>
      <c r="AR448" s="17">
        <v>-0.50751079064565707</v>
      </c>
      <c r="AS448" s="17">
        <v>-0.7362095804996065</v>
      </c>
      <c r="AT448" s="17">
        <v>0.86868369518564748</v>
      </c>
      <c r="AU448" s="17">
        <v>0.64295863609756176</v>
      </c>
      <c r="AV448" s="17">
        <v>0.93016581920839281</v>
      </c>
      <c r="AW448" s="17">
        <v>-0.82187291153631237</v>
      </c>
      <c r="AX448" s="17">
        <v>0.91405814079102121</v>
      </c>
      <c r="AY448" s="17">
        <v>-0.68952232880703401</v>
      </c>
      <c r="AZ448" s="17">
        <v>0.8701221612692942</v>
      </c>
      <c r="BA448" s="17">
        <v>0.91136140197964954</v>
      </c>
      <c r="BB448" s="17">
        <v>0.85985993869871213</v>
      </c>
      <c r="BC448" s="17">
        <v>0.32334286610187901</v>
      </c>
      <c r="BD448" s="17">
        <v>-0.92671395144006552</v>
      </c>
      <c r="BE448" s="17">
        <v>-0.40595833377690371</v>
      </c>
      <c r="BF448" s="17">
        <v>0.38563558569584233</v>
      </c>
      <c r="BK448" s="20">
        <v>2.400147443701714E-2</v>
      </c>
      <c r="BL448" s="20">
        <v>0.97606165968886227</v>
      </c>
      <c r="BN448" s="21">
        <f t="shared" si="20"/>
        <v>1</v>
      </c>
    </row>
    <row r="449" spans="1:66">
      <c r="A449" s="14">
        <v>14.8</v>
      </c>
      <c r="B449" s="14">
        <v>17.66</v>
      </c>
      <c r="C449" s="14">
        <v>95.88</v>
      </c>
      <c r="D449" s="14">
        <v>674.8</v>
      </c>
      <c r="E449" s="14">
        <v>8.8900000000000007E-2</v>
      </c>
      <c r="F449" s="14">
        <v>4.0689999999999997E-2</v>
      </c>
      <c r="G449" s="14">
        <v>2.2599999999999999E-2</v>
      </c>
      <c r="H449" s="14">
        <v>16.43</v>
      </c>
      <c r="I449" s="14">
        <v>829.5</v>
      </c>
      <c r="J449" s="14">
        <v>8.3080000000000001E-2</v>
      </c>
      <c r="M449" s="16">
        <v>0</v>
      </c>
      <c r="O449" s="12">
        <f t="shared" si="18"/>
        <v>1</v>
      </c>
      <c r="P449" s="12">
        <f t="shared" si="19"/>
        <v>0</v>
      </c>
      <c r="R449" s="17">
        <v>-0.86216493245391179</v>
      </c>
      <c r="S449" s="17">
        <v>0.86592397083683859</v>
      </c>
      <c r="T449" s="17">
        <v>1.1492407566427856</v>
      </c>
      <c r="U449" s="17">
        <v>0.30971288832147947</v>
      </c>
      <c r="V449" s="17">
        <v>1.322038261257461</v>
      </c>
      <c r="W449" s="17">
        <v>-0.54000870393571332</v>
      </c>
      <c r="X449" s="17">
        <v>-0.93446499101467595</v>
      </c>
      <c r="Y449" s="17">
        <v>1.3623707400649003</v>
      </c>
      <c r="Z449" s="17">
        <v>0.73556995189170193</v>
      </c>
      <c r="AA449" s="17">
        <v>1.6983871669386827</v>
      </c>
      <c r="AB449" s="17">
        <v>-1.2113068807979621</v>
      </c>
      <c r="AC449" s="17">
        <v>1.5906603286575782</v>
      </c>
      <c r="AD449" s="17">
        <v>-0.8593627097567913</v>
      </c>
      <c r="AE449" s="17">
        <v>1.3374666300864129</v>
      </c>
      <c r="AF449" s="17">
        <v>1.6049118769290147</v>
      </c>
      <c r="AG449" s="17">
        <v>1.3481853892245086</v>
      </c>
      <c r="AH449" s="17">
        <v>0.33128292594394448</v>
      </c>
      <c r="AI449" s="17">
        <v>-1.6572512841003593</v>
      </c>
      <c r="AJ449" s="17">
        <v>-0.4315878441673433</v>
      </c>
      <c r="AK449" s="17">
        <v>0.36873422441078818</v>
      </c>
      <c r="AM449" s="17">
        <v>-0.71883635041937632</v>
      </c>
      <c r="AN449" s="17">
        <v>0.70027250480304482</v>
      </c>
      <c r="AO449" s="17">
        <v>0.79082647144843576</v>
      </c>
      <c r="AP449" s="17">
        <v>0.31002322935981702</v>
      </c>
      <c r="AQ449" s="17">
        <v>0.86620879670083117</v>
      </c>
      <c r="AR449" s="17">
        <v>-0.53653518924093169</v>
      </c>
      <c r="AS449" s="17">
        <v>-0.74853713520882526</v>
      </c>
      <c r="AT449" s="17">
        <v>0.86012362619785032</v>
      </c>
      <c r="AU449" s="17">
        <v>0.6748429462084411</v>
      </c>
      <c r="AV449" s="17">
        <v>0.92528691464511026</v>
      </c>
      <c r="AW449" s="17">
        <v>-0.80178723474807989</v>
      </c>
      <c r="AX449" s="17">
        <v>0.90773489360293247</v>
      </c>
      <c r="AY449" s="17">
        <v>-0.68637802213304189</v>
      </c>
      <c r="AZ449" s="17">
        <v>0.87379714138717046</v>
      </c>
      <c r="BA449" s="17">
        <v>0.89561460084771938</v>
      </c>
      <c r="BB449" s="17">
        <v>0.84123034736150415</v>
      </c>
      <c r="BC449" s="17">
        <v>0.33399336619738174</v>
      </c>
      <c r="BD449" s="17">
        <v>-0.92532712572439968</v>
      </c>
      <c r="BE449" s="17">
        <v>-0.41065593541982259</v>
      </c>
      <c r="BF449" s="17">
        <v>0.11009990330365897</v>
      </c>
      <c r="BK449" s="20">
        <v>0.92061160132874953</v>
      </c>
      <c r="BL449" s="20">
        <v>7.9277560814705064E-2</v>
      </c>
      <c r="BN449" s="21">
        <f t="shared" si="20"/>
        <v>0</v>
      </c>
    </row>
    <row r="450" spans="1:66">
      <c r="A450" s="14">
        <v>14.53</v>
      </c>
      <c r="B450" s="14">
        <v>19.34</v>
      </c>
      <c r="C450" s="14">
        <v>94.25</v>
      </c>
      <c r="D450" s="14">
        <v>659.7</v>
      </c>
      <c r="E450" s="14">
        <v>7.8E-2</v>
      </c>
      <c r="F450" s="14">
        <v>8.8169999999999998E-2</v>
      </c>
      <c r="G450" s="14">
        <v>2.9250000000000002E-2</v>
      </c>
      <c r="H450" s="14">
        <v>16.3</v>
      </c>
      <c r="I450" s="14">
        <v>830.5</v>
      </c>
      <c r="J450" s="14">
        <v>9.5939999999999998E-2</v>
      </c>
      <c r="M450" s="16">
        <v>0</v>
      </c>
      <c r="O450" s="12">
        <f t="shared" si="18"/>
        <v>1</v>
      </c>
      <c r="P450" s="12">
        <f t="shared" si="19"/>
        <v>0</v>
      </c>
      <c r="R450" s="17">
        <v>-0.86216493245391179</v>
      </c>
      <c r="S450" s="17">
        <v>0.86592397083683859</v>
      </c>
      <c r="T450" s="17">
        <v>1.1492407566427856</v>
      </c>
      <c r="U450" s="17">
        <v>0.30971288832147947</v>
      </c>
      <c r="V450" s="17">
        <v>1.322038261257461</v>
      </c>
      <c r="W450" s="17">
        <v>-0.54000870393571332</v>
      </c>
      <c r="X450" s="17">
        <v>-0.93446499101467595</v>
      </c>
      <c r="Y450" s="17">
        <v>1.3623707400649003</v>
      </c>
      <c r="Z450" s="17">
        <v>0.73556995189170193</v>
      </c>
      <c r="AA450" s="17">
        <v>1.6983871669386827</v>
      </c>
      <c r="AB450" s="17">
        <v>-1.2113068807979621</v>
      </c>
      <c r="AC450" s="17">
        <v>1.5906603286575782</v>
      </c>
      <c r="AD450" s="17">
        <v>-0.8593627097567913</v>
      </c>
      <c r="AE450" s="17">
        <v>1.3374666300864129</v>
      </c>
      <c r="AF450" s="17">
        <v>1.6049118769290147</v>
      </c>
      <c r="AG450" s="17">
        <v>1.3481853892245086</v>
      </c>
      <c r="AH450" s="17">
        <v>0.33128292594394448</v>
      </c>
      <c r="AI450" s="17">
        <v>-1.6572512841003593</v>
      </c>
      <c r="AJ450" s="17">
        <v>-0.4315878441673433</v>
      </c>
      <c r="AK450" s="17">
        <v>-1.2573310111970497</v>
      </c>
      <c r="AM450" s="17">
        <v>-0.7320210775064262</v>
      </c>
      <c r="AN450" s="17">
        <v>0.7074885704927748</v>
      </c>
      <c r="AO450" s="17">
        <v>0.76939490516975517</v>
      </c>
      <c r="AP450" s="17">
        <v>0.3176640119958889</v>
      </c>
      <c r="AQ450" s="17">
        <v>0.87098099611734359</v>
      </c>
      <c r="AR450" s="17">
        <v>-0.55624295949831148</v>
      </c>
      <c r="AS450" s="17">
        <v>-0.75990191660412809</v>
      </c>
      <c r="AT450" s="17">
        <v>0.85982954698351466</v>
      </c>
      <c r="AU450" s="17">
        <v>0.69571184261268348</v>
      </c>
      <c r="AV450" s="17">
        <v>0.92563748201523088</v>
      </c>
      <c r="AW450" s="17">
        <v>-0.79583572739991781</v>
      </c>
      <c r="AX450" s="17">
        <v>0.90772841618757538</v>
      </c>
      <c r="AY450" s="17">
        <v>-0.69033914075048897</v>
      </c>
      <c r="AZ450" s="17">
        <v>0.87955828155860005</v>
      </c>
      <c r="BA450" s="17">
        <v>0.89035865086034405</v>
      </c>
      <c r="BB450" s="17">
        <v>0.83550368589723623</v>
      </c>
      <c r="BC450" s="17">
        <v>0.34331144868627883</v>
      </c>
      <c r="BD450" s="17">
        <v>-0.92751973764354267</v>
      </c>
      <c r="BE450" s="17">
        <v>-0.41761782753968607</v>
      </c>
      <c r="BF450" s="17">
        <v>-3.9236672010645825E-2</v>
      </c>
      <c r="BK450" s="20">
        <v>-2.9322679634789149E-2</v>
      </c>
      <c r="BL450" s="20">
        <v>1.0293049141092399</v>
      </c>
      <c r="BN450" s="21">
        <f t="shared" si="20"/>
        <v>1</v>
      </c>
    </row>
    <row r="451" spans="1:66">
      <c r="A451" s="14">
        <v>21.1</v>
      </c>
      <c r="B451" s="14">
        <v>20.52</v>
      </c>
      <c r="C451" s="14">
        <v>138.1</v>
      </c>
      <c r="D451" s="14">
        <v>1384</v>
      </c>
      <c r="E451" s="14">
        <v>0.11749999999999999</v>
      </c>
      <c r="F451" s="14">
        <v>0.15720000000000001</v>
      </c>
      <c r="G451" s="14">
        <v>0.11550000000000001</v>
      </c>
      <c r="H451" s="14">
        <v>25.68</v>
      </c>
      <c r="I451" s="14">
        <v>2022</v>
      </c>
      <c r="J451" s="14">
        <v>0.22800000000000001</v>
      </c>
      <c r="M451" s="16">
        <v>1</v>
      </c>
      <c r="O451" s="12">
        <f t="shared" ref="O451:O456" si="21">IF(M451=0,1,0)</f>
        <v>0</v>
      </c>
      <c r="P451" s="12">
        <f t="shared" ref="P451:P456" si="22">IF(M451=1,1,0)</f>
        <v>1</v>
      </c>
      <c r="R451" s="17">
        <v>-1.4643074708783446</v>
      </c>
      <c r="S451" s="17">
        <v>1.0359333700219733</v>
      </c>
      <c r="T451" s="17">
        <v>-1.5496750869862126</v>
      </c>
      <c r="U451" s="17">
        <v>0.47751119115197871</v>
      </c>
      <c r="V451" s="17">
        <v>1.5052132201123889</v>
      </c>
      <c r="W451" s="17">
        <v>-1.2567352733816861</v>
      </c>
      <c r="X451" s="17">
        <v>-1.4659127711484521</v>
      </c>
      <c r="Y451" s="17">
        <v>0.877385815472147</v>
      </c>
      <c r="Z451" s="17">
        <v>1.7463530467411736</v>
      </c>
      <c r="AA451" s="17">
        <v>1.2163845753889837</v>
      </c>
      <c r="AB451" s="17">
        <v>-0.28839333793737798</v>
      </c>
      <c r="AC451" s="17">
        <v>1.0652147513376473</v>
      </c>
      <c r="AD451" s="17">
        <v>-0.81583654438301023</v>
      </c>
      <c r="AE451" s="17">
        <v>1.6894094608623824</v>
      </c>
      <c r="AF451" s="17">
        <v>0.2496334827590041</v>
      </c>
      <c r="AG451" s="17">
        <v>0.29010426800531797</v>
      </c>
      <c r="AH451" s="17">
        <v>0.55723475600471262</v>
      </c>
      <c r="AI451" s="17">
        <v>-1.603629768829455</v>
      </c>
      <c r="AJ451" s="17">
        <v>-0.55690825498325469</v>
      </c>
      <c r="AK451" s="17">
        <v>-1.5874379826198148</v>
      </c>
      <c r="AM451" s="17">
        <v>-0.77884493043101044</v>
      </c>
      <c r="AN451" s="17">
        <v>0.74580522167700425</v>
      </c>
      <c r="AO451" s="17">
        <v>0.79607028991347095</v>
      </c>
      <c r="AP451" s="17">
        <v>0.34974006268314334</v>
      </c>
      <c r="AQ451" s="17">
        <v>0.89691891479610086</v>
      </c>
      <c r="AR451" s="17">
        <v>-0.61577067536749308</v>
      </c>
      <c r="AS451" s="17">
        <v>-0.80284237829573046</v>
      </c>
      <c r="AT451" s="17">
        <v>0.87896608086501749</v>
      </c>
      <c r="AU451" s="17">
        <v>0.75516710407675169</v>
      </c>
      <c r="AV451" s="17">
        <v>0.93940417124712583</v>
      </c>
      <c r="AW451" s="17">
        <v>-0.80919070067779009</v>
      </c>
      <c r="AX451" s="17">
        <v>0.92298452290686928</v>
      </c>
      <c r="AY451" s="17">
        <v>-0.72369132452327556</v>
      </c>
      <c r="AZ451" s="17">
        <v>0.90609194856116593</v>
      </c>
      <c r="BA451" s="17">
        <v>0.89855823904355503</v>
      </c>
      <c r="BB451" s="17">
        <v>0.84711207965131186</v>
      </c>
      <c r="BC451" s="17">
        <v>0.37952695367810096</v>
      </c>
      <c r="BD451" s="17">
        <v>-0.94372447691301575</v>
      </c>
      <c r="BE451" s="17">
        <v>-0.45261734765225931</v>
      </c>
      <c r="BF451" s="17">
        <v>-2.0677273586098315E-2</v>
      </c>
      <c r="BK451" s="20">
        <v>-6.9815241258991356E-2</v>
      </c>
      <c r="BL451" s="20">
        <v>1.0698047303876059</v>
      </c>
      <c r="BN451" s="21">
        <f t="shared" si="20"/>
        <v>1</v>
      </c>
    </row>
    <row r="452" spans="1:66">
      <c r="A452" s="14">
        <v>11.87</v>
      </c>
      <c r="B452" s="14">
        <v>21.54</v>
      </c>
      <c r="C452" s="14">
        <v>76.83</v>
      </c>
      <c r="D452" s="14">
        <v>432</v>
      </c>
      <c r="E452" s="14">
        <v>0.10639999999999999</v>
      </c>
      <c r="F452" s="14">
        <v>8.7770000000000001E-2</v>
      </c>
      <c r="G452" s="14">
        <v>2.3859999999999999E-2</v>
      </c>
      <c r="H452" s="14">
        <v>12.79</v>
      </c>
      <c r="I452" s="14">
        <v>507.2</v>
      </c>
      <c r="J452" s="14">
        <v>8.7499999999999994E-2</v>
      </c>
      <c r="M452" s="16">
        <v>0</v>
      </c>
      <c r="O452" s="12">
        <f t="shared" si="21"/>
        <v>1</v>
      </c>
      <c r="P452" s="12">
        <f t="shared" si="22"/>
        <v>0</v>
      </c>
      <c r="R452" s="17">
        <v>-0.86216493245391179</v>
      </c>
      <c r="S452" s="17">
        <v>0.86592397083683859</v>
      </c>
      <c r="T452" s="17">
        <v>1.1492407566427856</v>
      </c>
      <c r="U452" s="17">
        <v>0.30971288832147947</v>
      </c>
      <c r="V452" s="17">
        <v>1.322038261257461</v>
      </c>
      <c r="W452" s="17">
        <v>-0.54000870393571332</v>
      </c>
      <c r="X452" s="17">
        <v>-0.93446499101467595</v>
      </c>
      <c r="Y452" s="17">
        <v>1.3623707400649003</v>
      </c>
      <c r="Z452" s="17">
        <v>0.73556995189170193</v>
      </c>
      <c r="AA452" s="17">
        <v>1.6983871669386827</v>
      </c>
      <c r="AB452" s="17">
        <v>-1.2113068807979621</v>
      </c>
      <c r="AC452" s="17">
        <v>1.5906603286575782</v>
      </c>
      <c r="AD452" s="17">
        <v>-0.8593627097567913</v>
      </c>
      <c r="AE452" s="17">
        <v>1.3374666300864129</v>
      </c>
      <c r="AF452" s="17">
        <v>1.6049118769290147</v>
      </c>
      <c r="AG452" s="17">
        <v>1.3481853892245086</v>
      </c>
      <c r="AH452" s="17">
        <v>0.33128292594394448</v>
      </c>
      <c r="AI452" s="17">
        <v>-1.6572512841003593</v>
      </c>
      <c r="AJ452" s="17">
        <v>-0.4315878441673433</v>
      </c>
      <c r="AK452" s="17">
        <v>0.36873422441298898</v>
      </c>
      <c r="AM452" s="17">
        <v>-0.73948890580116833</v>
      </c>
      <c r="AN452" s="17">
        <v>0.70407964270450019</v>
      </c>
      <c r="AO452" s="17">
        <v>0.77124815796192669</v>
      </c>
      <c r="AP452" s="17">
        <v>0.32059797631284526</v>
      </c>
      <c r="AQ452" s="17">
        <v>0.86745187127780843</v>
      </c>
      <c r="AR452" s="17">
        <v>-0.57546371635055726</v>
      </c>
      <c r="AS452" s="17">
        <v>-0.76459268518546541</v>
      </c>
      <c r="AT452" s="17">
        <v>0.84600889992742223</v>
      </c>
      <c r="AU452" s="17">
        <v>0.71595487801315805</v>
      </c>
      <c r="AV452" s="17">
        <v>0.91707245848987384</v>
      </c>
      <c r="AW452" s="17">
        <v>-0.76817173319551624</v>
      </c>
      <c r="AX452" s="17">
        <v>0.89714407072723479</v>
      </c>
      <c r="AY452" s="17">
        <v>-0.68077790558816453</v>
      </c>
      <c r="AZ452" s="17">
        <v>0.87825359890850729</v>
      </c>
      <c r="BA452" s="17">
        <v>0.86731389684248839</v>
      </c>
      <c r="BB452" s="17">
        <v>0.80933357197335387</v>
      </c>
      <c r="BC452" s="17">
        <v>0.34856524906201819</v>
      </c>
      <c r="BD452" s="17">
        <v>-0.92273928851885767</v>
      </c>
      <c r="BE452" s="17">
        <v>-0.41660616067933298</v>
      </c>
      <c r="BF452" s="17">
        <v>0.1115950752130381</v>
      </c>
      <c r="BK452" s="20">
        <v>0.87618746205389708</v>
      </c>
      <c r="BL452" s="20">
        <v>0.1239912067546772</v>
      </c>
      <c r="BN452" s="21">
        <f t="shared" si="20"/>
        <v>0</v>
      </c>
    </row>
    <row r="453" spans="1:66">
      <c r="A453" s="14">
        <v>19.59</v>
      </c>
      <c r="B453" s="14">
        <v>25</v>
      </c>
      <c r="C453" s="14">
        <v>127.7</v>
      </c>
      <c r="D453" s="14">
        <v>1191</v>
      </c>
      <c r="E453" s="14">
        <v>9.8710000000000006E-2</v>
      </c>
      <c r="F453" s="14">
        <v>0.16550000000000001</v>
      </c>
      <c r="G453" s="14">
        <v>9.0630000000000002E-2</v>
      </c>
      <c r="H453" s="14">
        <v>21.44</v>
      </c>
      <c r="I453" s="14">
        <v>1421</v>
      </c>
      <c r="J453" s="14">
        <v>0.14660000000000001</v>
      </c>
      <c r="M453" s="16">
        <v>1</v>
      </c>
      <c r="O453" s="12">
        <f t="shared" si="21"/>
        <v>0</v>
      </c>
      <c r="P453" s="12">
        <f t="shared" si="22"/>
        <v>1</v>
      </c>
      <c r="R453" s="17">
        <v>-0.86216493245391179</v>
      </c>
      <c r="S453" s="17">
        <v>0.86592397083683859</v>
      </c>
      <c r="T453" s="17">
        <v>1.1492407566427856</v>
      </c>
      <c r="U453" s="17">
        <v>0.30971288832147947</v>
      </c>
      <c r="V453" s="17">
        <v>1.322038261257461</v>
      </c>
      <c r="W453" s="17">
        <v>-0.54000870393571332</v>
      </c>
      <c r="X453" s="17">
        <v>-0.93446499101467595</v>
      </c>
      <c r="Y453" s="17">
        <v>1.3623707400649003</v>
      </c>
      <c r="Z453" s="17">
        <v>0.73556995189170193</v>
      </c>
      <c r="AA453" s="17">
        <v>1.6983871669386827</v>
      </c>
      <c r="AB453" s="17">
        <v>-1.2113068807979621</v>
      </c>
      <c r="AC453" s="17">
        <v>1.5906603286575782</v>
      </c>
      <c r="AD453" s="17">
        <v>-0.8593627097567913</v>
      </c>
      <c r="AE453" s="17">
        <v>1.3374666300864129</v>
      </c>
      <c r="AF453" s="17">
        <v>1.6049118769290147</v>
      </c>
      <c r="AG453" s="17">
        <v>1.3481853892245086</v>
      </c>
      <c r="AH453" s="17">
        <v>0.33128292594394448</v>
      </c>
      <c r="AI453" s="17">
        <v>-1.6572512841003593</v>
      </c>
      <c r="AJ453" s="17">
        <v>-0.4315878441673433</v>
      </c>
      <c r="AK453" s="17">
        <v>0.36873422274229262</v>
      </c>
      <c r="AM453" s="17">
        <v>-0.79833237607034613</v>
      </c>
      <c r="AN453" s="17">
        <v>0.73196016970766997</v>
      </c>
      <c r="AO453" s="17">
        <v>0.72224506987761872</v>
      </c>
      <c r="AP453" s="17">
        <v>0.35791367506452165</v>
      </c>
      <c r="AQ453" s="17">
        <v>0.88431268409100527</v>
      </c>
      <c r="AR453" s="17">
        <v>-0.67219724865458574</v>
      </c>
      <c r="AS453" s="17">
        <v>-0.81424998811640537</v>
      </c>
      <c r="AT453" s="17">
        <v>0.82770071501303377</v>
      </c>
      <c r="AU453" s="17">
        <v>0.80859375748709494</v>
      </c>
      <c r="AV453" s="17">
        <v>0.90848568775040528</v>
      </c>
      <c r="AW453" s="17">
        <v>-0.69744564732239389</v>
      </c>
      <c r="AX453" s="17">
        <v>0.88409548450701059</v>
      </c>
      <c r="AY453" s="17">
        <v>-0.68840102598328423</v>
      </c>
      <c r="AZ453" s="17">
        <v>0.90053716257061012</v>
      </c>
      <c r="BA453" s="17">
        <v>0.79760035286170272</v>
      </c>
      <c r="BB453" s="17">
        <v>0.73886414828166735</v>
      </c>
      <c r="BC453" s="17">
        <v>0.3954943656020985</v>
      </c>
      <c r="BD453" s="17">
        <v>-0.92760439377066195</v>
      </c>
      <c r="BE453" s="17">
        <v>-0.4466186890042273</v>
      </c>
      <c r="BF453" s="17">
        <v>0.36391804207864653</v>
      </c>
      <c r="BK453" s="20">
        <v>3.5970161157459681E-3</v>
      </c>
      <c r="BL453" s="20">
        <v>0.99643824618833288</v>
      </c>
      <c r="BN453" s="21">
        <f t="shared" si="20"/>
        <v>1</v>
      </c>
    </row>
    <row r="454" spans="1:66">
      <c r="A454" s="14">
        <v>12</v>
      </c>
      <c r="B454" s="14">
        <v>28.23</v>
      </c>
      <c r="C454" s="14">
        <v>76.77</v>
      </c>
      <c r="D454" s="14">
        <v>442.5</v>
      </c>
      <c r="E454" s="14">
        <v>6.4500000000000002E-2</v>
      </c>
      <c r="F454" s="14">
        <v>4.0550000000000003E-2</v>
      </c>
      <c r="G454" s="14">
        <v>1.9449999999999999E-2</v>
      </c>
      <c r="H454" s="14">
        <v>13.09</v>
      </c>
      <c r="I454" s="14">
        <v>523.70000000000005</v>
      </c>
      <c r="J454" s="14">
        <v>7.1160000000000001E-2</v>
      </c>
      <c r="M454" s="16">
        <v>0</v>
      </c>
      <c r="O454" s="12">
        <f t="shared" si="21"/>
        <v>1</v>
      </c>
      <c r="P454" s="12">
        <f t="shared" si="22"/>
        <v>0</v>
      </c>
      <c r="R454" s="17">
        <v>-0.86216493245391179</v>
      </c>
      <c r="S454" s="17">
        <v>0.86592397083683859</v>
      </c>
      <c r="T454" s="17">
        <v>1.1492407566427856</v>
      </c>
      <c r="U454" s="17">
        <v>0.30971288832147947</v>
      </c>
      <c r="V454" s="17">
        <v>1.322038261257461</v>
      </c>
      <c r="W454" s="17">
        <v>-0.54000870393571332</v>
      </c>
      <c r="X454" s="17">
        <v>-0.93446499101467595</v>
      </c>
      <c r="Y454" s="17">
        <v>1.3623707400649003</v>
      </c>
      <c r="Z454" s="17">
        <v>0.73556995189170193</v>
      </c>
      <c r="AA454" s="17">
        <v>1.6983871669386827</v>
      </c>
      <c r="AB454" s="17">
        <v>-1.2113068807979621</v>
      </c>
      <c r="AC454" s="17">
        <v>1.5906603286575782</v>
      </c>
      <c r="AD454" s="17">
        <v>-0.8593627097567913</v>
      </c>
      <c r="AE454" s="17">
        <v>1.3374666300864129</v>
      </c>
      <c r="AF454" s="17">
        <v>1.6049118769290147</v>
      </c>
      <c r="AG454" s="17">
        <v>1.3481853892245086</v>
      </c>
      <c r="AH454" s="17">
        <v>0.33128292594394448</v>
      </c>
      <c r="AI454" s="17">
        <v>-1.6572512841003593</v>
      </c>
      <c r="AJ454" s="17">
        <v>-0.4315878441673433</v>
      </c>
      <c r="AK454" s="17">
        <v>0.36873325868916151</v>
      </c>
      <c r="AM454" s="17">
        <v>-0.70165933031195704</v>
      </c>
      <c r="AN454" s="17">
        <v>0.67686120657686366</v>
      </c>
      <c r="AO454" s="17">
        <v>0.74625393676232998</v>
      </c>
      <c r="AP454" s="17">
        <v>0.29773494621923313</v>
      </c>
      <c r="AQ454" s="17">
        <v>0.84771895718142476</v>
      </c>
      <c r="AR454" s="17">
        <v>-0.52639751029225879</v>
      </c>
      <c r="AS454" s="17">
        <v>-0.73028279173042032</v>
      </c>
      <c r="AT454" s="17">
        <v>0.8357583744152367</v>
      </c>
      <c r="AU454" s="17">
        <v>0.66465607411253225</v>
      </c>
      <c r="AV454" s="17">
        <v>0.90852594471334625</v>
      </c>
      <c r="AW454" s="17">
        <v>-0.76797055708045592</v>
      </c>
      <c r="AX454" s="17">
        <v>0.8883349558974275</v>
      </c>
      <c r="AY454" s="17">
        <v>-0.65961602325400859</v>
      </c>
      <c r="AZ454" s="17">
        <v>0.85704957855672437</v>
      </c>
      <c r="BA454" s="17">
        <v>0.86918531877372329</v>
      </c>
      <c r="BB454" s="17">
        <v>0.80980831735158243</v>
      </c>
      <c r="BC454" s="17">
        <v>0.32199645556863243</v>
      </c>
      <c r="BD454" s="17">
        <v>-0.91062336710424874</v>
      </c>
      <c r="BE454" s="17">
        <v>-0.39280220436307439</v>
      </c>
      <c r="BF454" s="17">
        <v>-0.24438095798889009</v>
      </c>
      <c r="BK454" s="20">
        <v>1.0034797498389205</v>
      </c>
      <c r="BL454" s="20">
        <v>-3.5215163372953225E-3</v>
      </c>
      <c r="BN454" s="21">
        <f t="shared" si="20"/>
        <v>0</v>
      </c>
    </row>
    <row r="455" spans="1:66">
      <c r="A455" s="14">
        <v>14.53</v>
      </c>
      <c r="B455" s="14">
        <v>13.98</v>
      </c>
      <c r="C455" s="14">
        <v>93.86</v>
      </c>
      <c r="D455" s="14">
        <v>644.20000000000005</v>
      </c>
      <c r="E455" s="14">
        <v>9.2420000000000002E-2</v>
      </c>
      <c r="F455" s="14">
        <v>6.8949999999999997E-2</v>
      </c>
      <c r="G455" s="14">
        <v>6.4949999999999994E-2</v>
      </c>
      <c r="H455" s="14">
        <v>15.8</v>
      </c>
      <c r="I455" s="14">
        <v>749.9</v>
      </c>
      <c r="J455" s="14">
        <v>0.1069</v>
      </c>
      <c r="M455" s="16">
        <v>0</v>
      </c>
      <c r="O455" s="12">
        <f t="shared" si="21"/>
        <v>1</v>
      </c>
      <c r="P455" s="12">
        <f t="shared" si="22"/>
        <v>0</v>
      </c>
      <c r="R455" s="17">
        <v>-0.86216493245391179</v>
      </c>
      <c r="S455" s="17">
        <v>0.86592397083683859</v>
      </c>
      <c r="T455" s="17">
        <v>1.1492407566427856</v>
      </c>
      <c r="U455" s="17">
        <v>0.30971288832147947</v>
      </c>
      <c r="V455" s="17">
        <v>1.322038261257461</v>
      </c>
      <c r="W455" s="17">
        <v>-0.54000870393571332</v>
      </c>
      <c r="X455" s="17">
        <v>-0.93446499101467595</v>
      </c>
      <c r="Y455" s="17">
        <v>1.3623707400649003</v>
      </c>
      <c r="Z455" s="17">
        <v>0.73556995189170193</v>
      </c>
      <c r="AA455" s="17">
        <v>1.6983871669386827</v>
      </c>
      <c r="AB455" s="17">
        <v>-1.2113068807979621</v>
      </c>
      <c r="AC455" s="17">
        <v>1.5906603286575782</v>
      </c>
      <c r="AD455" s="17">
        <v>-0.8593627097567913</v>
      </c>
      <c r="AE455" s="17">
        <v>1.3374666300864129</v>
      </c>
      <c r="AF455" s="17">
        <v>1.6049118769290147</v>
      </c>
      <c r="AG455" s="17">
        <v>1.3481853892245086</v>
      </c>
      <c r="AH455" s="17">
        <v>0.33128292594394448</v>
      </c>
      <c r="AI455" s="17">
        <v>-1.6572512841003593</v>
      </c>
      <c r="AJ455" s="17">
        <v>-0.4315878441673433</v>
      </c>
      <c r="AK455" s="17">
        <v>0.36873422441298942</v>
      </c>
      <c r="AM455" s="17">
        <v>-0.68499392596272113</v>
      </c>
      <c r="AN455" s="17">
        <v>0.67444296503772461</v>
      </c>
      <c r="AO455" s="17">
        <v>0.76882203437000185</v>
      </c>
      <c r="AP455" s="17">
        <v>0.2900328750885543</v>
      </c>
      <c r="AQ455" s="17">
        <v>0.84718046823110948</v>
      </c>
      <c r="AR455" s="17">
        <v>-0.49551065102735159</v>
      </c>
      <c r="AS455" s="17">
        <v>-0.71741046391941199</v>
      </c>
      <c r="AT455" s="17">
        <v>0.84773130395983365</v>
      </c>
      <c r="AU455" s="17">
        <v>0.63032277915010815</v>
      </c>
      <c r="AV455" s="17">
        <v>0.91581028351543359</v>
      </c>
      <c r="AW455" s="17">
        <v>-0.79443093273399124</v>
      </c>
      <c r="AX455" s="17">
        <v>0.89752589691594853</v>
      </c>
      <c r="AY455" s="17">
        <v>-0.66475429053044288</v>
      </c>
      <c r="AZ455" s="17">
        <v>0.85367275156838696</v>
      </c>
      <c r="BA455" s="17">
        <v>0.89130956519024651</v>
      </c>
      <c r="BB455" s="17">
        <v>0.83489941557865521</v>
      </c>
      <c r="BC455" s="17">
        <v>0.3112107278188182</v>
      </c>
      <c r="BD455" s="17">
        <v>-0.91326793791859617</v>
      </c>
      <c r="BE455" s="17">
        <v>-0.38872511241431845</v>
      </c>
      <c r="BF455" s="17">
        <v>8.0526549195946498E-2</v>
      </c>
      <c r="BK455" s="20">
        <v>0.96793571196746697</v>
      </c>
      <c r="BL455" s="20">
        <v>3.2052534355420159E-2</v>
      </c>
      <c r="BN455" s="21">
        <f t="shared" si="20"/>
        <v>0</v>
      </c>
    </row>
    <row r="456" spans="1:66">
      <c r="A456" s="14">
        <v>12.62</v>
      </c>
      <c r="B456" s="14">
        <v>17.149999999999999</v>
      </c>
      <c r="C456" s="14">
        <v>80.62</v>
      </c>
      <c r="D456" s="14">
        <v>492.9</v>
      </c>
      <c r="E456" s="14">
        <v>5.4300000000000001E-2</v>
      </c>
      <c r="F456" s="14">
        <v>2.9659999999999999E-2</v>
      </c>
      <c r="G456" s="14">
        <v>2.2720000000000001E-2</v>
      </c>
      <c r="H456" s="14">
        <v>14.34</v>
      </c>
      <c r="I456" s="14">
        <v>633.5</v>
      </c>
      <c r="J456" s="14">
        <v>9.851E-2</v>
      </c>
      <c r="M456" s="16">
        <v>0</v>
      </c>
      <c r="O456" s="12">
        <f t="shared" si="21"/>
        <v>1</v>
      </c>
      <c r="P456" s="12">
        <f t="shared" si="22"/>
        <v>0</v>
      </c>
      <c r="R456" s="17">
        <v>-0.86216493245391179</v>
      </c>
      <c r="S456" s="17">
        <v>0.86592397083683859</v>
      </c>
      <c r="T456" s="17">
        <v>1.1492407566427856</v>
      </c>
      <c r="U456" s="17">
        <v>0.30971288832147947</v>
      </c>
      <c r="V456" s="17">
        <v>1.322038261257461</v>
      </c>
      <c r="W456" s="17">
        <v>-0.54000870393571332</v>
      </c>
      <c r="X456" s="17">
        <v>-0.93446499101467595</v>
      </c>
      <c r="Y456" s="17">
        <v>1.3623707400649003</v>
      </c>
      <c r="Z456" s="17">
        <v>0.73556995189170193</v>
      </c>
      <c r="AA456" s="17">
        <v>1.6983871669386827</v>
      </c>
      <c r="AB456" s="17">
        <v>-1.2113068807979621</v>
      </c>
      <c r="AC456" s="17">
        <v>1.5906603286575782</v>
      </c>
      <c r="AD456" s="17">
        <v>-0.8593627097567913</v>
      </c>
      <c r="AE456" s="17">
        <v>1.3374666300864129</v>
      </c>
      <c r="AF456" s="17">
        <v>1.6049118769290147</v>
      </c>
      <c r="AG456" s="17">
        <v>1.3481853892245086</v>
      </c>
      <c r="AH456" s="17">
        <v>0.33128292594394448</v>
      </c>
      <c r="AI456" s="17">
        <v>-1.6572512841003593</v>
      </c>
      <c r="AJ456" s="17">
        <v>-0.4315878441673433</v>
      </c>
      <c r="AK456" s="17">
        <v>0.36873421472125378</v>
      </c>
      <c r="AM456" s="17">
        <v>-0.72049463436265737</v>
      </c>
      <c r="AN456" s="17">
        <v>0.68462190561076686</v>
      </c>
      <c r="AO456" s="17">
        <v>0.7233514443764909</v>
      </c>
      <c r="AP456" s="17">
        <v>0.30775712597756677</v>
      </c>
      <c r="AQ456" s="17">
        <v>0.85267920542882114</v>
      </c>
      <c r="AR456" s="17">
        <v>-0.55641105648856215</v>
      </c>
      <c r="AS456" s="17">
        <v>-0.74605670832907522</v>
      </c>
      <c r="AT456" s="17">
        <v>0.83010587069746944</v>
      </c>
      <c r="AU456" s="17">
        <v>0.69669534004782852</v>
      </c>
      <c r="AV456" s="17">
        <v>0.90563811905539426</v>
      </c>
      <c r="AW456" s="17">
        <v>-0.74958850073075101</v>
      </c>
      <c r="AX456" s="17">
        <v>0.88419083907809248</v>
      </c>
      <c r="AY456" s="17">
        <v>-0.66115440433937467</v>
      </c>
      <c r="AZ456" s="17">
        <v>0.86411270908329929</v>
      </c>
      <c r="BA456" s="17">
        <v>0.85245049619861157</v>
      </c>
      <c r="BB456" s="17">
        <v>0.79191095297369496</v>
      </c>
      <c r="BC456" s="17">
        <v>0.33479616321713174</v>
      </c>
      <c r="BD456" s="17">
        <v>-0.91179794215431642</v>
      </c>
      <c r="BE456" s="17">
        <v>-0.40074914514464594</v>
      </c>
      <c r="BF456" s="17">
        <v>-0.24701902195636483</v>
      </c>
      <c r="BK456" s="20">
        <v>0.9479717261331857</v>
      </c>
      <c r="BL456" s="20">
        <v>5.2070445394380792E-2</v>
      </c>
      <c r="BN456" s="21">
        <f t="shared" si="20"/>
        <v>0</v>
      </c>
    </row>
    <row r="457" spans="1:66">
      <c r="A457" s="14">
        <v>21.1</v>
      </c>
      <c r="B457" s="14">
        <v>20.52</v>
      </c>
      <c r="C457" s="14">
        <v>138.1</v>
      </c>
      <c r="D457" s="14">
        <v>1384</v>
      </c>
      <c r="E457" s="14">
        <v>0.11749999999999999</v>
      </c>
      <c r="F457" s="14">
        <v>0.15720000000000001</v>
      </c>
      <c r="G457" s="14">
        <v>0.11550000000000001</v>
      </c>
      <c r="H457" s="14">
        <v>25.68</v>
      </c>
      <c r="I457" s="14">
        <v>2022</v>
      </c>
      <c r="J457" s="14">
        <v>0.22800000000000001</v>
      </c>
      <c r="R457" s="17">
        <v>-0.86216493245391179</v>
      </c>
      <c r="S457" s="17">
        <v>0.86592397083683859</v>
      </c>
      <c r="T457" s="17">
        <v>1.1492407566427856</v>
      </c>
      <c r="U457" s="17">
        <v>0.30971288832147947</v>
      </c>
      <c r="V457" s="17">
        <v>1.322038261257461</v>
      </c>
      <c r="W457" s="17">
        <v>-0.54000870393571332</v>
      </c>
      <c r="X457" s="17">
        <v>-0.93446499101467595</v>
      </c>
      <c r="Y457" s="17">
        <v>1.3623707400649003</v>
      </c>
      <c r="Z457" s="17">
        <v>0.73556995189170193</v>
      </c>
      <c r="AA457" s="17">
        <v>1.6983871669386827</v>
      </c>
      <c r="AB457" s="17">
        <v>-1.2113068807979621</v>
      </c>
      <c r="AC457" s="17">
        <v>1.5906603286575782</v>
      </c>
      <c r="AD457" s="17">
        <v>-0.8593627097567913</v>
      </c>
      <c r="AE457" s="17">
        <v>1.3374666300864129</v>
      </c>
      <c r="AF457" s="17">
        <v>1.6049118769290147</v>
      </c>
      <c r="AG457" s="17">
        <v>1.3481853892245086</v>
      </c>
      <c r="AH457" s="17">
        <v>0.33128292594394448</v>
      </c>
      <c r="AI457" s="17">
        <v>-1.6572512841003593</v>
      </c>
      <c r="AJ457" s="17">
        <v>-0.4315878441673433</v>
      </c>
      <c r="AK457" s="17">
        <v>0.36873422441298942</v>
      </c>
      <c r="AM457" s="17">
        <v>-0.77015171139714733</v>
      </c>
      <c r="AN457" s="17">
        <v>0.70155425222751278</v>
      </c>
      <c r="AO457" s="17">
        <v>0.66712021258877752</v>
      </c>
      <c r="AP457" s="17">
        <v>0.33583622442965883</v>
      </c>
      <c r="AQ457" s="17">
        <v>0.86213598161369009</v>
      </c>
      <c r="AR457" s="17">
        <v>-0.64120291977012356</v>
      </c>
      <c r="AS457" s="17">
        <v>-0.7868647653421792</v>
      </c>
      <c r="AT457" s="17">
        <v>0.80101075925890264</v>
      </c>
      <c r="AU457" s="17">
        <v>0.78095122338241896</v>
      </c>
      <c r="AV457" s="17">
        <v>0.88891577263357002</v>
      </c>
      <c r="AW457" s="17">
        <v>-0.66639194567674231</v>
      </c>
      <c r="AX457" s="17">
        <v>0.8618568148101069</v>
      </c>
      <c r="AY457" s="17">
        <v>-0.65738182333944628</v>
      </c>
      <c r="AZ457" s="17">
        <v>0.88008049916954145</v>
      </c>
      <c r="BA457" s="17">
        <v>0.76920786307496136</v>
      </c>
      <c r="BB457" s="17">
        <v>0.70847160237031015</v>
      </c>
      <c r="BC457" s="17">
        <v>0.37159312072626832</v>
      </c>
      <c r="BD457" s="17">
        <v>-0.91055960152423632</v>
      </c>
      <c r="BE457" s="17">
        <v>-0.42045667343487819</v>
      </c>
      <c r="BF457" s="17">
        <v>-5.2249506815718244E-2</v>
      </c>
      <c r="BK457" s="20">
        <v>1.0295622349900451</v>
      </c>
      <c r="BL457" s="20">
        <v>-2.9610001415930776E-2</v>
      </c>
      <c r="BN457" s="21">
        <f t="shared" si="20"/>
        <v>0</v>
      </c>
    </row>
    <row r="458" spans="1:66">
      <c r="R458" s="17">
        <v>-0.86216493245391179</v>
      </c>
      <c r="S458" s="17">
        <v>0.86592397083683859</v>
      </c>
      <c r="T458" s="17">
        <v>1.1492407566427856</v>
      </c>
      <c r="U458" s="17">
        <v>0.30971288832147947</v>
      </c>
      <c r="V458" s="17">
        <v>1.322038261257461</v>
      </c>
      <c r="W458" s="17">
        <v>-0.54000870393571332</v>
      </c>
      <c r="X458" s="17">
        <v>-0.93446499101467595</v>
      </c>
      <c r="Y458" s="17">
        <v>1.3623707400649003</v>
      </c>
      <c r="Z458" s="17">
        <v>0.73556995189170193</v>
      </c>
      <c r="AA458" s="17">
        <v>1.6983871669386827</v>
      </c>
      <c r="AB458" s="17">
        <v>-1.2113068807979621</v>
      </c>
      <c r="AC458" s="17">
        <v>1.5906603286575782</v>
      </c>
      <c r="AD458" s="17">
        <v>-0.8593627097567913</v>
      </c>
      <c r="AE458" s="17">
        <v>1.3374666300864129</v>
      </c>
      <c r="AF458" s="17">
        <v>1.6049118769290147</v>
      </c>
      <c r="AG458" s="17">
        <v>1.3481853892245086</v>
      </c>
      <c r="AH458" s="17">
        <v>0.33128292594394448</v>
      </c>
      <c r="AI458" s="17">
        <v>-1.6572512841003593</v>
      </c>
      <c r="AJ458" s="17">
        <v>-0.4315878441673433</v>
      </c>
      <c r="AK458" s="17">
        <v>-1.5004268990032541</v>
      </c>
      <c r="AM458" s="17">
        <v>-0.65878862191822807</v>
      </c>
      <c r="AN458" s="17">
        <v>0.67595736176466525</v>
      </c>
      <c r="AO458" s="17">
        <v>0.81688725444346</v>
      </c>
      <c r="AP458" s="17">
        <v>0.27946349194709347</v>
      </c>
      <c r="AQ458" s="17">
        <v>0.85085743307935302</v>
      </c>
      <c r="AR458" s="17">
        <v>-0.4412143030459787</v>
      </c>
      <c r="AS458" s="17">
        <v>-0.69864302589397265</v>
      </c>
      <c r="AT458" s="17">
        <v>0.87174608065725812</v>
      </c>
      <c r="AU458" s="17">
        <v>0.56701739677705254</v>
      </c>
      <c r="AV458" s="17">
        <v>0.93063664745945918</v>
      </c>
      <c r="AW458" s="17">
        <v>-0.84048075526323962</v>
      </c>
      <c r="AX458" s="17">
        <v>0.91579509154987282</v>
      </c>
      <c r="AY458" s="17">
        <v>-0.67985225953039019</v>
      </c>
      <c r="AZ458" s="17">
        <v>0.85199898355415216</v>
      </c>
      <c r="BA458" s="17">
        <v>0.92585265978012921</v>
      </c>
      <c r="BB458" s="17">
        <v>0.87707346989764357</v>
      </c>
      <c r="BC458" s="17">
        <v>0.29510983571443633</v>
      </c>
      <c r="BD458" s="17">
        <v>-0.92113534065480351</v>
      </c>
      <c r="BE458" s="17">
        <v>-0.38587460270665092</v>
      </c>
      <c r="BF458" s="17">
        <v>0.36763377564378186</v>
      </c>
      <c r="BK458" s="20">
        <v>0.81406682928141738</v>
      </c>
      <c r="BL458" s="20">
        <v>0.1859768027925604</v>
      </c>
      <c r="BN458" s="21">
        <f t="shared" si="20"/>
        <v>0</v>
      </c>
    </row>
    <row r="459" spans="1:66">
      <c r="R459" s="17">
        <v>-0.86216493245391179</v>
      </c>
      <c r="S459" s="17">
        <v>0.86592397083683859</v>
      </c>
      <c r="T459" s="17">
        <v>1.1492407566427856</v>
      </c>
      <c r="U459" s="17">
        <v>0.30971288832147947</v>
      </c>
      <c r="V459" s="17">
        <v>1.322038261257461</v>
      </c>
      <c r="W459" s="17">
        <v>-0.54000870393571332</v>
      </c>
      <c r="X459" s="17">
        <v>-0.93446499101467595</v>
      </c>
      <c r="Y459" s="17">
        <v>1.3623707400649003</v>
      </c>
      <c r="Z459" s="17">
        <v>0.73556995189170193</v>
      </c>
      <c r="AA459" s="17">
        <v>1.6983871669386827</v>
      </c>
      <c r="AB459" s="17">
        <v>-1.2113068807979621</v>
      </c>
      <c r="AC459" s="17">
        <v>1.5906603286575782</v>
      </c>
      <c r="AD459" s="17">
        <v>-0.8593627097567913</v>
      </c>
      <c r="AE459" s="17">
        <v>1.3374666300864129</v>
      </c>
      <c r="AF459" s="17">
        <v>1.6049118769290147</v>
      </c>
      <c r="AG459" s="17">
        <v>1.3481853892245086</v>
      </c>
      <c r="AH459" s="17">
        <v>0.33128292594394448</v>
      </c>
      <c r="AI459" s="17">
        <v>-1.6572512841003593</v>
      </c>
      <c r="AJ459" s="17">
        <v>-0.4315878441673433</v>
      </c>
      <c r="AK459" s="17">
        <v>0.36862645786357129</v>
      </c>
      <c r="AM459" s="17">
        <v>-0.71446878695045446</v>
      </c>
      <c r="AN459" s="17">
        <v>0.70963179385832387</v>
      </c>
      <c r="AO459" s="17">
        <v>0.81963212351551284</v>
      </c>
      <c r="AP459" s="17">
        <v>0.30989362091625311</v>
      </c>
      <c r="AQ459" s="17">
        <v>0.87427805607127773</v>
      </c>
      <c r="AR459" s="17">
        <v>-0.51688215019206596</v>
      </c>
      <c r="AS459" s="17">
        <v>-0.74764242001349734</v>
      </c>
      <c r="AT459" s="17">
        <v>0.87889860920570717</v>
      </c>
      <c r="AU459" s="17">
        <v>0.65290104451562347</v>
      </c>
      <c r="AV459" s="17">
        <v>0.93700201276607142</v>
      </c>
      <c r="AW459" s="17">
        <v>-0.83468253987629892</v>
      </c>
      <c r="AX459" s="17">
        <v>0.92195616917239731</v>
      </c>
      <c r="AY459" s="17">
        <v>-0.70290891550478807</v>
      </c>
      <c r="AZ459" s="17">
        <v>0.87914200962629974</v>
      </c>
      <c r="BA459" s="17">
        <v>0.92018432703700859</v>
      </c>
      <c r="BB459" s="17">
        <v>0.8712844907889854</v>
      </c>
      <c r="BC459" s="17">
        <v>0.33123102123378412</v>
      </c>
      <c r="BD459" s="17">
        <v>-0.93345072791850825</v>
      </c>
      <c r="BE459" s="17">
        <v>-0.416206526190249</v>
      </c>
      <c r="BF459" s="17">
        <v>0.33822577761835981</v>
      </c>
      <c r="BK459" s="20">
        <v>-7.8265557926073828E-2</v>
      </c>
      <c r="BL459" s="20">
        <v>1.0782306510406408</v>
      </c>
      <c r="BN459" s="21">
        <f t="shared" si="20"/>
        <v>1</v>
      </c>
    </row>
    <row r="460" spans="1:66">
      <c r="R460" s="17">
        <v>-0.86216493245391179</v>
      </c>
      <c r="S460" s="17">
        <v>0.86592397083683859</v>
      </c>
      <c r="T460" s="17">
        <v>1.1492407566427856</v>
      </c>
      <c r="U460" s="17">
        <v>0.30971288832147947</v>
      </c>
      <c r="V460" s="17">
        <v>1.322038261257461</v>
      </c>
      <c r="W460" s="17">
        <v>-0.54000870393571332</v>
      </c>
      <c r="X460" s="17">
        <v>-0.93446499101467595</v>
      </c>
      <c r="Y460" s="17">
        <v>1.3623707400649003</v>
      </c>
      <c r="Z460" s="17">
        <v>0.73556995189170193</v>
      </c>
      <c r="AA460" s="17">
        <v>1.6983871669386827</v>
      </c>
      <c r="AB460" s="17">
        <v>-1.2113068807979621</v>
      </c>
      <c r="AC460" s="17">
        <v>1.5906603286575782</v>
      </c>
      <c r="AD460" s="17">
        <v>-0.8593627097567913</v>
      </c>
      <c r="AE460" s="17">
        <v>1.3374666300864129</v>
      </c>
      <c r="AF460" s="17">
        <v>1.6049118769290147</v>
      </c>
      <c r="AG460" s="17">
        <v>1.3481853892245086</v>
      </c>
      <c r="AH460" s="17">
        <v>0.33128292594394448</v>
      </c>
      <c r="AI460" s="17">
        <v>-1.6572512841003593</v>
      </c>
      <c r="AJ460" s="17">
        <v>-0.4315878441673433</v>
      </c>
      <c r="AK460" s="17">
        <v>-1.6218912064140247</v>
      </c>
      <c r="AM460" s="17">
        <v>-0.8638392385982343</v>
      </c>
      <c r="AN460" s="17">
        <v>0.7591906717290966</v>
      </c>
      <c r="AO460" s="17">
        <v>0.60275726057745838</v>
      </c>
      <c r="AP460" s="17">
        <v>0.40890949442760505</v>
      </c>
      <c r="AQ460" s="17">
        <v>0.89801543378425031</v>
      </c>
      <c r="AR460" s="17">
        <v>-0.78913083221044911</v>
      </c>
      <c r="AS460" s="17">
        <v>-0.86897477361089637</v>
      </c>
      <c r="AT460" s="17">
        <v>0.76619925843225167</v>
      </c>
      <c r="AU460" s="17">
        <v>0.90177994617693935</v>
      </c>
      <c r="AV460" s="17">
        <v>0.87418883693138982</v>
      </c>
      <c r="AW460" s="17">
        <v>-0.49101310647754792</v>
      </c>
      <c r="AX460" s="17">
        <v>0.8368248254727495</v>
      </c>
      <c r="AY460" s="17">
        <v>-0.68085214423264817</v>
      </c>
      <c r="AZ460" s="17">
        <v>0.92188741520224815</v>
      </c>
      <c r="BA460" s="17">
        <v>0.54736386853611152</v>
      </c>
      <c r="BB460" s="17">
        <v>0.5193255251733665</v>
      </c>
      <c r="BC460" s="17">
        <v>0.46110653843958066</v>
      </c>
      <c r="BD460" s="17">
        <v>-0.92524127200450867</v>
      </c>
      <c r="BE460" s="17">
        <v>-0.4818691626678579</v>
      </c>
      <c r="BF460" s="17">
        <v>0.39825349587407521</v>
      </c>
      <c r="BK460" s="20">
        <v>0.95198043595384108</v>
      </c>
      <c r="BL460" s="20">
        <v>4.8024616981160881E-2</v>
      </c>
      <c r="BN460" s="21">
        <f t="shared" si="20"/>
        <v>0</v>
      </c>
    </row>
    <row r="461" spans="1:66">
      <c r="R461" s="17">
        <v>-0.86216493245391179</v>
      </c>
      <c r="S461" s="17">
        <v>0.86592397083683859</v>
      </c>
      <c r="T461" s="17">
        <v>1.1492407566427856</v>
      </c>
      <c r="U461" s="17">
        <v>0.30971288832147947</v>
      </c>
      <c r="V461" s="17">
        <v>1.322038261257461</v>
      </c>
      <c r="W461" s="17">
        <v>-0.54000870393571332</v>
      </c>
      <c r="X461" s="17">
        <v>-0.93446499101467595</v>
      </c>
      <c r="Y461" s="17">
        <v>1.3623707400649003</v>
      </c>
      <c r="Z461" s="17">
        <v>0.73556995189170193</v>
      </c>
      <c r="AA461" s="17">
        <v>1.6983871669386827</v>
      </c>
      <c r="AB461" s="17">
        <v>-1.2113068807979621</v>
      </c>
      <c r="AC461" s="17">
        <v>1.5906603286575782</v>
      </c>
      <c r="AD461" s="17">
        <v>-0.8593627097567913</v>
      </c>
      <c r="AE461" s="17">
        <v>1.3374666300864129</v>
      </c>
      <c r="AF461" s="17">
        <v>1.6049118769290147</v>
      </c>
      <c r="AG461" s="17">
        <v>1.3481853892245086</v>
      </c>
      <c r="AH461" s="17">
        <v>0.33128292594394448</v>
      </c>
      <c r="AI461" s="17">
        <v>-1.6572512841003593</v>
      </c>
      <c r="AJ461" s="17">
        <v>-0.4315878441673433</v>
      </c>
      <c r="AK461" s="17">
        <v>0.35032068781264991</v>
      </c>
      <c r="AM461" s="17">
        <v>-0.68156637219538685</v>
      </c>
      <c r="AN461" s="17">
        <v>0.70774047251701011</v>
      </c>
      <c r="AO461" s="17">
        <v>0.85747653188844786</v>
      </c>
      <c r="AP461" s="17">
        <v>0.29508819176022971</v>
      </c>
      <c r="AQ461" s="17">
        <v>0.87541926285811711</v>
      </c>
      <c r="AR461" s="17">
        <v>-0.44979267235771137</v>
      </c>
      <c r="AS461" s="17">
        <v>-0.72347711802768833</v>
      </c>
      <c r="AT461" s="17">
        <v>0.89957487412978576</v>
      </c>
      <c r="AU461" s="17">
        <v>0.57579547213426374</v>
      </c>
      <c r="AV461" s="17">
        <v>0.94876828154740245</v>
      </c>
      <c r="AW461" s="17">
        <v>-0.87642196830626817</v>
      </c>
      <c r="AX461" s="17">
        <v>0.93688015521658652</v>
      </c>
      <c r="AY461" s="17">
        <v>-0.71575700838841072</v>
      </c>
      <c r="AZ461" s="17">
        <v>0.87490804627433194</v>
      </c>
      <c r="BA461" s="17">
        <v>0.9484784486877168</v>
      </c>
      <c r="BB461" s="17">
        <v>0.90820081728646096</v>
      </c>
      <c r="BC461" s="17">
        <v>0.30976966350375573</v>
      </c>
      <c r="BD461" s="17">
        <v>-0.9390798398910245</v>
      </c>
      <c r="BE461" s="17">
        <v>-0.40993627374404079</v>
      </c>
      <c r="BF461" s="17">
        <v>0.22640127102348764</v>
      </c>
      <c r="BK461" s="20">
        <v>0.98985142437990548</v>
      </c>
      <c r="BL461" s="20">
        <v>1.0208333597075703E-2</v>
      </c>
      <c r="BN461" s="21">
        <f t="shared" si="20"/>
        <v>0</v>
      </c>
    </row>
    <row r="462" spans="1:66">
      <c r="R462" s="17">
        <v>-0.86216493245391179</v>
      </c>
      <c r="S462" s="17">
        <v>0.86592397083683859</v>
      </c>
      <c r="T462" s="17">
        <v>1.1492407566427856</v>
      </c>
      <c r="U462" s="17">
        <v>0.30971288832147947</v>
      </c>
      <c r="V462" s="17">
        <v>1.322038261257461</v>
      </c>
      <c r="W462" s="17">
        <v>-0.54000870393571332</v>
      </c>
      <c r="X462" s="17">
        <v>-0.93446499101467595</v>
      </c>
      <c r="Y462" s="17">
        <v>1.3623707400649003</v>
      </c>
      <c r="Z462" s="17">
        <v>0.73556995189170193</v>
      </c>
      <c r="AA462" s="17">
        <v>1.6983871669386827</v>
      </c>
      <c r="AB462" s="17">
        <v>-1.2113068807979621</v>
      </c>
      <c r="AC462" s="17">
        <v>1.5906603286575782</v>
      </c>
      <c r="AD462" s="17">
        <v>-0.8593627097567913</v>
      </c>
      <c r="AE462" s="17">
        <v>1.3374666300864129</v>
      </c>
      <c r="AF462" s="17">
        <v>1.6049118769290147</v>
      </c>
      <c r="AG462" s="17">
        <v>1.3481853892245086</v>
      </c>
      <c r="AH462" s="17">
        <v>0.33128292594394448</v>
      </c>
      <c r="AI462" s="17">
        <v>-1.6572512841003593</v>
      </c>
      <c r="AJ462" s="17">
        <v>-0.4315878441673433</v>
      </c>
      <c r="AK462" s="17">
        <v>0.36873422440085091</v>
      </c>
      <c r="AM462" s="17">
        <v>-0.89327483396187368</v>
      </c>
      <c r="AN462" s="17">
        <v>0.77150905988831397</v>
      </c>
      <c r="AO462" s="17">
        <v>0.61266128922436125</v>
      </c>
      <c r="AP462" s="17">
        <v>0.43792336304356783</v>
      </c>
      <c r="AQ462" s="17">
        <v>0.9032573394082043</v>
      </c>
      <c r="AR462" s="17">
        <v>-0.84222189316999518</v>
      </c>
      <c r="AS462" s="17">
        <v>-0.89397372609814885</v>
      </c>
      <c r="AT462" s="17">
        <v>0.70842020345204615</v>
      </c>
      <c r="AU462" s="17">
        <v>0.936290518733499</v>
      </c>
      <c r="AV462" s="17">
        <v>0.83980478267300185</v>
      </c>
      <c r="AW462" s="17">
        <v>-0.30118892534520486</v>
      </c>
      <c r="AX462" s="17">
        <v>0.79005204683283414</v>
      </c>
      <c r="AY462" s="17">
        <v>-0.67024147992408034</v>
      </c>
      <c r="AZ462" s="17">
        <v>0.93129214131730331</v>
      </c>
      <c r="BA462" s="17">
        <v>0.27643176449646195</v>
      </c>
      <c r="BB462" s="17">
        <v>0.30598687132828534</v>
      </c>
      <c r="BC462" s="17">
        <v>0.4984723770682809</v>
      </c>
      <c r="BD462" s="17">
        <v>-0.92070439091504608</v>
      </c>
      <c r="BE462" s="17">
        <v>-0.50023325306231203</v>
      </c>
      <c r="BF462" s="17">
        <v>0.74726830151471824</v>
      </c>
      <c r="BK462" s="20">
        <v>0.36167524260311179</v>
      </c>
      <c r="BL462" s="20">
        <v>0.63844402773093301</v>
      </c>
      <c r="BN462" s="21">
        <f t="shared" si="20"/>
        <v>1</v>
      </c>
    </row>
    <row r="463" spans="1:66">
      <c r="R463" s="17">
        <v>-0.86216493245391179</v>
      </c>
      <c r="S463" s="17">
        <v>0.86592397083683859</v>
      </c>
      <c r="T463" s="17">
        <v>1.1492407566427856</v>
      </c>
      <c r="U463" s="17">
        <v>0.30971288832147947</v>
      </c>
      <c r="V463" s="17">
        <v>1.322038261257461</v>
      </c>
      <c r="W463" s="17">
        <v>-0.54000870393571332</v>
      </c>
      <c r="X463" s="17">
        <v>-0.93446499101467595</v>
      </c>
      <c r="Y463" s="17">
        <v>1.3623707400649003</v>
      </c>
      <c r="Z463" s="17">
        <v>0.73556995189170193</v>
      </c>
      <c r="AA463" s="17">
        <v>1.6983871669386827</v>
      </c>
      <c r="AB463" s="17">
        <v>-1.2113068807979621</v>
      </c>
      <c r="AC463" s="17">
        <v>1.5906603286575782</v>
      </c>
      <c r="AD463" s="17">
        <v>-0.8593627097567913</v>
      </c>
      <c r="AE463" s="17">
        <v>1.3374666300864129</v>
      </c>
      <c r="AF463" s="17">
        <v>1.6049118769290147</v>
      </c>
      <c r="AG463" s="17">
        <v>1.3481853892245086</v>
      </c>
      <c r="AH463" s="17">
        <v>0.33128292594394448</v>
      </c>
      <c r="AI463" s="17">
        <v>-1.6572512841003593</v>
      </c>
      <c r="AJ463" s="17">
        <v>-0.4315878441673433</v>
      </c>
      <c r="AK463" s="17">
        <v>0.36873422441298942</v>
      </c>
      <c r="AM463" s="17">
        <v>-0.88371502960310622</v>
      </c>
      <c r="AN463" s="17">
        <v>0.77923771600248348</v>
      </c>
      <c r="AO463" s="17">
        <v>0.43105823648203401</v>
      </c>
      <c r="AP463" s="17">
        <v>0.43056786093591659</v>
      </c>
      <c r="AQ463" s="17">
        <v>0.9105349758002087</v>
      </c>
      <c r="AR463" s="17">
        <v>-0.81760310702097316</v>
      </c>
      <c r="AS463" s="17">
        <v>-0.8875491291950508</v>
      </c>
      <c r="AT463" s="17">
        <v>0.77270458419777766</v>
      </c>
      <c r="AU463" s="17">
        <v>0.92076412545529007</v>
      </c>
      <c r="AV463" s="17">
        <v>0.88105197234942401</v>
      </c>
      <c r="AW463" s="17">
        <v>-0.47110479397942856</v>
      </c>
      <c r="AX463" s="17">
        <v>0.84328308174941624</v>
      </c>
      <c r="AY463" s="17">
        <v>-0.6973642837258982</v>
      </c>
      <c r="AZ463" s="17">
        <v>0.93345805916786639</v>
      </c>
      <c r="BA463" s="17">
        <v>0.51498300660791008</v>
      </c>
      <c r="BB463" s="17">
        <v>0.49605973822351457</v>
      </c>
      <c r="BC463" s="17">
        <v>0.48586054997826023</v>
      </c>
      <c r="BD463" s="17">
        <v>-0.93381427508351555</v>
      </c>
      <c r="BE463" s="17">
        <v>-0.50292143567539482</v>
      </c>
      <c r="BF463" s="17">
        <v>8.38625037625991E-2</v>
      </c>
      <c r="BK463" s="20">
        <v>0.66518460589009543</v>
      </c>
      <c r="BL463" s="20">
        <v>0.33473339487606507</v>
      </c>
      <c r="BN463" s="21">
        <f t="shared" si="20"/>
        <v>0</v>
      </c>
    </row>
    <row r="464" spans="1:66">
      <c r="R464" s="17">
        <v>-1.4643074708783446</v>
      </c>
      <c r="S464" s="17">
        <v>1.0359333700219733</v>
      </c>
      <c r="T464" s="17">
        <v>0.4503249130137873</v>
      </c>
      <c r="U464" s="17">
        <v>0.47751119115197871</v>
      </c>
      <c r="V464" s="17">
        <v>1.5052132201123889</v>
      </c>
      <c r="W464" s="17">
        <v>-1.2567352733816861</v>
      </c>
      <c r="X464" s="17">
        <v>-1.4659127711484521</v>
      </c>
      <c r="Y464" s="17">
        <v>0.877385815472147</v>
      </c>
      <c r="Z464" s="17">
        <v>1.7463530467411736</v>
      </c>
      <c r="AA464" s="17">
        <v>1.2163845753889837</v>
      </c>
      <c r="AB464" s="17">
        <v>-0.28839333793737798</v>
      </c>
      <c r="AC464" s="17">
        <v>1.0652147513376473</v>
      </c>
      <c r="AD464" s="17">
        <v>-0.81583654438301023</v>
      </c>
      <c r="AE464" s="17">
        <v>1.6894094608623824</v>
      </c>
      <c r="AF464" s="17">
        <v>0.2496334827590041</v>
      </c>
      <c r="AG464" s="17">
        <v>0.29010426800531797</v>
      </c>
      <c r="AH464" s="17">
        <v>0.55723475600471262</v>
      </c>
      <c r="AI464" s="17">
        <v>-1.603629768829455</v>
      </c>
      <c r="AJ464" s="17">
        <v>-0.55690825498325469</v>
      </c>
      <c r="AK464" s="17">
        <v>0.41256201738018505</v>
      </c>
      <c r="AM464" s="17">
        <v>-0.77965596587178199</v>
      </c>
      <c r="AN464" s="17">
        <v>0.74539425009828797</v>
      </c>
      <c r="AO464" s="17">
        <v>0.83310008267754332</v>
      </c>
      <c r="AP464" s="17">
        <v>0.35009733827486311</v>
      </c>
      <c r="AQ464" s="17">
        <v>0.89653893678266705</v>
      </c>
      <c r="AR464" s="17">
        <v>-0.61802299915164505</v>
      </c>
      <c r="AS464" s="17">
        <v>-0.80334015163107308</v>
      </c>
      <c r="AT464" s="17">
        <v>0.87744552190938863</v>
      </c>
      <c r="AU464" s="17">
        <v>0.75738900833812561</v>
      </c>
      <c r="AV464" s="17">
        <v>0.93852358288971527</v>
      </c>
      <c r="AW464" s="17">
        <v>-0.80595516159444014</v>
      </c>
      <c r="AX464" s="17">
        <v>0.92186912814847266</v>
      </c>
      <c r="AY464" s="17">
        <v>-0.72255455131410951</v>
      </c>
      <c r="AZ464" s="17">
        <v>0.90594632544817333</v>
      </c>
      <c r="BA464" s="17">
        <v>0.89597795050918816</v>
      </c>
      <c r="BB464" s="17">
        <v>0.84410122882331839</v>
      </c>
      <c r="BC464" s="17">
        <v>0.38017391866491007</v>
      </c>
      <c r="BD464" s="17">
        <v>-0.94324274741749681</v>
      </c>
      <c r="BE464" s="17">
        <v>-0.45247321197115281</v>
      </c>
      <c r="BF464" s="17">
        <v>0.30189459893567794</v>
      </c>
      <c r="BK464" s="20">
        <v>8.3858304020611295E-3</v>
      </c>
      <c r="BL464" s="20">
        <v>0.99165622755447791</v>
      </c>
      <c r="BN464" s="21">
        <f t="shared" si="20"/>
        <v>1</v>
      </c>
    </row>
    <row r="465" spans="18:66">
      <c r="R465" s="17">
        <v>-0.86216493245391179</v>
      </c>
      <c r="S465" s="17">
        <v>0.86592397083683859</v>
      </c>
      <c r="T465" s="17">
        <v>1.1492407566427856</v>
      </c>
      <c r="U465" s="17">
        <v>0.30971288832147947</v>
      </c>
      <c r="V465" s="17">
        <v>1.322038261257461</v>
      </c>
      <c r="W465" s="17">
        <v>-0.54000870393571332</v>
      </c>
      <c r="X465" s="17">
        <v>-0.93446499101467595</v>
      </c>
      <c r="Y465" s="17">
        <v>1.3623707400649003</v>
      </c>
      <c r="Z465" s="17">
        <v>0.73556995189170193</v>
      </c>
      <c r="AA465" s="17">
        <v>1.6983871669386827</v>
      </c>
      <c r="AB465" s="17">
        <v>-1.2113068807979621</v>
      </c>
      <c r="AC465" s="17">
        <v>1.5906603286575782</v>
      </c>
      <c r="AD465" s="17">
        <v>-0.8593627097567913</v>
      </c>
      <c r="AE465" s="17">
        <v>1.3374666300864129</v>
      </c>
      <c r="AF465" s="17">
        <v>1.6049118769290147</v>
      </c>
      <c r="AG465" s="17">
        <v>1.3481853892245086</v>
      </c>
      <c r="AH465" s="17">
        <v>0.33128292594394448</v>
      </c>
      <c r="AI465" s="17">
        <v>-1.6572512841003593</v>
      </c>
      <c r="AJ465" s="17">
        <v>-0.4315878441673433</v>
      </c>
      <c r="AK465" s="17">
        <v>0.3687342244129892</v>
      </c>
      <c r="AM465" s="17">
        <v>-0.86840938870960072</v>
      </c>
      <c r="AN465" s="17">
        <v>0.75634199343132713</v>
      </c>
      <c r="AO465" s="17">
        <v>0.47465807957833422</v>
      </c>
      <c r="AP465" s="17">
        <v>0.41204875812950281</v>
      </c>
      <c r="AQ465" s="17">
        <v>0.89514836908641826</v>
      </c>
      <c r="AR465" s="17">
        <v>-0.80055653322053666</v>
      </c>
      <c r="AS465" s="17">
        <v>-0.8720847008971333</v>
      </c>
      <c r="AT465" s="17">
        <v>0.74300310820999282</v>
      </c>
      <c r="AU465" s="17">
        <v>0.90972597048352632</v>
      </c>
      <c r="AV465" s="17">
        <v>0.85924156528027484</v>
      </c>
      <c r="AW465" s="17">
        <v>-0.43099350200715203</v>
      </c>
      <c r="AX465" s="17">
        <v>0.81771981986187359</v>
      </c>
      <c r="AY465" s="17">
        <v>-0.67059552331889904</v>
      </c>
      <c r="AZ465" s="17">
        <v>0.92110571833925514</v>
      </c>
      <c r="BA465" s="17">
        <v>0.46675092078531377</v>
      </c>
      <c r="BB465" s="17">
        <v>0.45321410953420488</v>
      </c>
      <c r="BC465" s="17">
        <v>0.46637919269777406</v>
      </c>
      <c r="BD465" s="17">
        <v>-0.92009040883905235</v>
      </c>
      <c r="BE465" s="17">
        <v>-0.48110504584383906</v>
      </c>
      <c r="BF465" s="17">
        <v>1.0662651827580673E-2</v>
      </c>
      <c r="BK465" s="20">
        <v>0.96490409445462932</v>
      </c>
      <c r="BL465" s="20">
        <v>3.5161794903123531E-2</v>
      </c>
      <c r="BN465" s="21">
        <f t="shared" si="20"/>
        <v>0</v>
      </c>
    </row>
    <row r="466" spans="18:66">
      <c r="R466" s="17">
        <v>-1.4643074708783446</v>
      </c>
      <c r="S466" s="17">
        <v>1.0359333700219733</v>
      </c>
      <c r="T466" s="17">
        <v>0.4503249130137873</v>
      </c>
      <c r="U466" s="17">
        <v>0.47751119115197871</v>
      </c>
      <c r="V466" s="17">
        <v>1.5052132201123889</v>
      </c>
      <c r="W466" s="17">
        <v>-1.2567352733816861</v>
      </c>
      <c r="X466" s="17">
        <v>-1.4659127711484521</v>
      </c>
      <c r="Y466" s="17">
        <v>0.877385815472147</v>
      </c>
      <c r="Z466" s="17">
        <v>1.7463530467411736</v>
      </c>
      <c r="AA466" s="17">
        <v>1.2163845753889837</v>
      </c>
      <c r="AB466" s="17">
        <v>-0.28839333793737798</v>
      </c>
      <c r="AC466" s="17">
        <v>1.0652147513376473</v>
      </c>
      <c r="AD466" s="17">
        <v>-0.81583654438301023</v>
      </c>
      <c r="AE466" s="17">
        <v>1.6894094608623824</v>
      </c>
      <c r="AF466" s="17">
        <v>0.2496334827590041</v>
      </c>
      <c r="AG466" s="17">
        <v>0.29010426800531797</v>
      </c>
      <c r="AH466" s="17">
        <v>0.55723475600471262</v>
      </c>
      <c r="AI466" s="17">
        <v>-1.603629768829455</v>
      </c>
      <c r="AJ466" s="17">
        <v>-0.55690825498325469</v>
      </c>
      <c r="AK466" s="17">
        <v>0.41256201738018505</v>
      </c>
      <c r="AM466" s="17">
        <v>-0.75559169876282706</v>
      </c>
      <c r="AN466" s="17">
        <v>0.72328216262044043</v>
      </c>
      <c r="AO466" s="17">
        <v>0.79067676402107112</v>
      </c>
      <c r="AP466" s="17">
        <v>0.33256144065884014</v>
      </c>
      <c r="AQ466" s="17">
        <v>0.88159848371850469</v>
      </c>
      <c r="AR466" s="17">
        <v>-0.58929452064731347</v>
      </c>
      <c r="AS466" s="17">
        <v>-0.78080978088702502</v>
      </c>
      <c r="AT466" s="17">
        <v>0.8637248636803555</v>
      </c>
      <c r="AU466" s="17">
        <v>0.72947765912971663</v>
      </c>
      <c r="AV466" s="17">
        <v>0.92909455148680697</v>
      </c>
      <c r="AW466" s="17">
        <v>-0.79217193172818845</v>
      </c>
      <c r="AX466" s="17">
        <v>0.91112025863989476</v>
      </c>
      <c r="AY466" s="17">
        <v>-0.70169161704843064</v>
      </c>
      <c r="AZ466" s="17">
        <v>0.89126351597487197</v>
      </c>
      <c r="BA466" s="17">
        <v>0.88626057505961975</v>
      </c>
      <c r="BB466" s="17">
        <v>0.83168916417534244</v>
      </c>
      <c r="BC466" s="17">
        <v>0.36085566864170043</v>
      </c>
      <c r="BD466" s="17">
        <v>-0.93341049307821977</v>
      </c>
      <c r="BE466" s="17">
        <v>-0.43241163978808733</v>
      </c>
      <c r="BF466" s="17">
        <v>0.18299611646869321</v>
      </c>
      <c r="BK466" s="20">
        <v>0.81894862330213813</v>
      </c>
      <c r="BL466" s="20">
        <v>0.18108571908859597</v>
      </c>
      <c r="BN466" s="21">
        <f t="shared" si="20"/>
        <v>0</v>
      </c>
    </row>
    <row r="467" spans="18:66">
      <c r="R467" s="17">
        <v>-1.4643074708783446</v>
      </c>
      <c r="S467" s="17">
        <v>1.0359333700219733</v>
      </c>
      <c r="T467" s="17">
        <v>0.4503249130137873</v>
      </c>
      <c r="U467" s="17">
        <v>0.47751119115197871</v>
      </c>
      <c r="V467" s="17">
        <v>1.5052132201123889</v>
      </c>
      <c r="W467" s="17">
        <v>-1.2567352733816861</v>
      </c>
      <c r="X467" s="17">
        <v>-1.4659127711484521</v>
      </c>
      <c r="Y467" s="17">
        <v>0.877385815472147</v>
      </c>
      <c r="Z467" s="17">
        <v>1.7463530467411736</v>
      </c>
      <c r="AA467" s="17">
        <v>1.2163845753889837</v>
      </c>
      <c r="AB467" s="17">
        <v>-0.28839333793737798</v>
      </c>
      <c r="AC467" s="17">
        <v>1.0652147513376473</v>
      </c>
      <c r="AD467" s="17">
        <v>-0.81583654438301023</v>
      </c>
      <c r="AE467" s="17">
        <v>1.6894094608623824</v>
      </c>
      <c r="AF467" s="17">
        <v>0.2496334827590041</v>
      </c>
      <c r="AG467" s="17">
        <v>0.29010426800531797</v>
      </c>
      <c r="AH467" s="17">
        <v>0.55723475600471262</v>
      </c>
      <c r="AI467" s="17">
        <v>-1.603629768829455</v>
      </c>
      <c r="AJ467" s="17">
        <v>-0.55690825498325469</v>
      </c>
      <c r="AK467" s="17">
        <v>0.41256201738018505</v>
      </c>
      <c r="AM467" s="17">
        <v>-0.76351192171532511</v>
      </c>
      <c r="AN467" s="17">
        <v>0.72792098373300196</v>
      </c>
      <c r="AO467" s="17">
        <v>0.78506455385789486</v>
      </c>
      <c r="AP467" s="17">
        <v>0.33763956200680562</v>
      </c>
      <c r="AQ467" s="17">
        <v>0.8845433453762902</v>
      </c>
      <c r="AR467" s="17">
        <v>-0.60140509528970265</v>
      </c>
      <c r="AS467" s="17">
        <v>-0.78765469676862432</v>
      </c>
      <c r="AT467" s="17">
        <v>0.86368061892633885</v>
      </c>
      <c r="AU467" s="17">
        <v>0.74153449460443799</v>
      </c>
      <c r="AV467" s="17">
        <v>0.92941156315394602</v>
      </c>
      <c r="AW467" s="17">
        <v>-0.78828860941530443</v>
      </c>
      <c r="AX467" s="17">
        <v>0.91122924390062887</v>
      </c>
      <c r="AY467" s="17">
        <v>-0.70438510137162358</v>
      </c>
      <c r="AZ467" s="17">
        <v>0.89470367688587837</v>
      </c>
      <c r="BA467" s="17">
        <v>0.8826804632548696</v>
      </c>
      <c r="BB467" s="17">
        <v>0.82790560199000673</v>
      </c>
      <c r="BC467" s="17">
        <v>0.36699925986355608</v>
      </c>
      <c r="BD467" s="17">
        <v>-0.9347994779536638</v>
      </c>
      <c r="BE467" s="17">
        <v>-0.43705361238042956</v>
      </c>
      <c r="BF467" s="17">
        <v>0.31587135021029006</v>
      </c>
      <c r="BK467" s="20">
        <v>-4.1466502225440072E-2</v>
      </c>
      <c r="BL467" s="20">
        <v>1.0413075798673943</v>
      </c>
      <c r="BN467" s="21">
        <f t="shared" ref="BN467:BN472" si="23">IF(BK467&gt;BL467,0,1)</f>
        <v>1</v>
      </c>
    </row>
    <row r="468" spans="18:66">
      <c r="R468" s="17">
        <v>-0.86216493245391179</v>
      </c>
      <c r="S468" s="17">
        <v>0.86592397083683859</v>
      </c>
      <c r="T468" s="17">
        <v>1.1492407566427856</v>
      </c>
      <c r="U468" s="17">
        <v>0.30971288832147947</v>
      </c>
      <c r="V468" s="17">
        <v>1.322038261257461</v>
      </c>
      <c r="W468" s="17">
        <v>-0.54000870393571332</v>
      </c>
      <c r="X468" s="17">
        <v>-0.93446499101467595</v>
      </c>
      <c r="Y468" s="17">
        <v>1.3623707400649003</v>
      </c>
      <c r="Z468" s="17">
        <v>0.73556995189170193</v>
      </c>
      <c r="AA468" s="17">
        <v>1.6983871669386827</v>
      </c>
      <c r="AB468" s="17">
        <v>-1.2113068807979621</v>
      </c>
      <c r="AC468" s="17">
        <v>1.5906603286575782</v>
      </c>
      <c r="AD468" s="17">
        <v>-0.8593627097567913</v>
      </c>
      <c r="AE468" s="17">
        <v>1.3374666300864129</v>
      </c>
      <c r="AF468" s="17">
        <v>1.6049118769290147</v>
      </c>
      <c r="AG468" s="17">
        <v>1.3481853892245086</v>
      </c>
      <c r="AH468" s="17">
        <v>0.33128292594394448</v>
      </c>
      <c r="AI468" s="17">
        <v>-1.6572512841003593</v>
      </c>
      <c r="AJ468" s="17">
        <v>-0.4315878441673433</v>
      </c>
      <c r="AK468" s="17">
        <v>0.36873422441298942</v>
      </c>
      <c r="AM468" s="17">
        <v>-0.76876042025472147</v>
      </c>
      <c r="AN468" s="17">
        <v>0.73324439279468667</v>
      </c>
      <c r="AO468" s="17">
        <v>0.7842255707281276</v>
      </c>
      <c r="AP468" s="17">
        <v>0.34154525360354965</v>
      </c>
      <c r="AQ468" s="17">
        <v>0.88822842686586234</v>
      </c>
      <c r="AR468" s="17">
        <v>-0.60712511941393332</v>
      </c>
      <c r="AS468" s="17">
        <v>-0.79268727713127973</v>
      </c>
      <c r="AT468" s="17">
        <v>0.86759971462357321</v>
      </c>
      <c r="AU468" s="17">
        <v>0.74705592515754604</v>
      </c>
      <c r="AV468" s="17">
        <v>0.93206851555559977</v>
      </c>
      <c r="AW468" s="17">
        <v>-0.79293037810367861</v>
      </c>
      <c r="AX468" s="17">
        <v>0.91429623880219391</v>
      </c>
      <c r="AY468" s="17">
        <v>-0.70972308318929678</v>
      </c>
      <c r="AZ468" s="17">
        <v>0.89822047130687588</v>
      </c>
      <c r="BA468" s="17">
        <v>0.88616360613293921</v>
      </c>
      <c r="BB468" s="17">
        <v>0.83216174905171192</v>
      </c>
      <c r="BC468" s="17">
        <v>0.37120239251540033</v>
      </c>
      <c r="BD468" s="17">
        <v>-0.93735835856717886</v>
      </c>
      <c r="BE468" s="17">
        <v>-0.44174698696280096</v>
      </c>
      <c r="BF468" s="17">
        <v>0.27428437864916055</v>
      </c>
      <c r="BK468" s="20">
        <v>1.0486968550938598</v>
      </c>
      <c r="BL468" s="20">
        <v>-4.8726065861699822E-2</v>
      </c>
      <c r="BN468" s="21">
        <f t="shared" si="23"/>
        <v>0</v>
      </c>
    </row>
    <row r="469" spans="18:66">
      <c r="R469" s="17">
        <v>-1.4643074708783446</v>
      </c>
      <c r="S469" s="17">
        <v>1.0359333700219733</v>
      </c>
      <c r="T469" s="17">
        <v>0.4503249130137873</v>
      </c>
      <c r="U469" s="17">
        <v>0.47751119115197871</v>
      </c>
      <c r="V469" s="17">
        <v>1.5052132201123889</v>
      </c>
      <c r="W469" s="17">
        <v>-1.2567352733816861</v>
      </c>
      <c r="X469" s="17">
        <v>-1.4659127711484521</v>
      </c>
      <c r="Y469" s="17">
        <v>0.877385815472147</v>
      </c>
      <c r="Z469" s="17">
        <v>1.7463530467411736</v>
      </c>
      <c r="AA469" s="17">
        <v>1.2163845753889837</v>
      </c>
      <c r="AB469" s="17">
        <v>-0.28839333793737798</v>
      </c>
      <c r="AC469" s="17">
        <v>1.0652147513376473</v>
      </c>
      <c r="AD469" s="17">
        <v>-0.81583654438301023</v>
      </c>
      <c r="AE469" s="17">
        <v>1.6894094608623824</v>
      </c>
      <c r="AF469" s="17">
        <v>0.2496334827590041</v>
      </c>
      <c r="AG469" s="17">
        <v>0.29010426800531797</v>
      </c>
      <c r="AH469" s="17">
        <v>0.55723475600471262</v>
      </c>
      <c r="AI469" s="17">
        <v>-1.603629768829455</v>
      </c>
      <c r="AJ469" s="17">
        <v>-0.55690825498325469</v>
      </c>
      <c r="AK469" s="17">
        <v>0.41256043562339417</v>
      </c>
      <c r="AM469" s="17">
        <v>-0.73365161270756152</v>
      </c>
      <c r="AN469" s="17">
        <v>0.71704731437928459</v>
      </c>
      <c r="AO469" s="17">
        <v>0.82690424414215047</v>
      </c>
      <c r="AP469" s="17">
        <v>0.320390496946793</v>
      </c>
      <c r="AQ469" s="17">
        <v>0.87858742826991687</v>
      </c>
      <c r="AR469" s="17">
        <v>-0.54916840011173917</v>
      </c>
      <c r="AS469" s="17">
        <v>-0.76336199837744101</v>
      </c>
      <c r="AT469" s="17">
        <v>0.87421321208068958</v>
      </c>
      <c r="AU469" s="17">
        <v>0.68782022640041807</v>
      </c>
      <c r="AV469" s="17">
        <v>0.93476161230184485</v>
      </c>
      <c r="AW469" s="17">
        <v>-0.8199458354322432</v>
      </c>
      <c r="AX469" s="17">
        <v>0.9187082221275753</v>
      </c>
      <c r="AY469" s="17">
        <v>-0.70421085713486764</v>
      </c>
      <c r="AZ469" s="17">
        <v>0.8854643476324231</v>
      </c>
      <c r="BA469" s="17">
        <v>0.90879759418670214</v>
      </c>
      <c r="BB469" s="17">
        <v>0.85769916946718783</v>
      </c>
      <c r="BC469" s="17">
        <v>0.34467898589064622</v>
      </c>
      <c r="BD469" s="17">
        <v>-0.93431302256101667</v>
      </c>
      <c r="BE469" s="17">
        <v>-0.42435604402182231</v>
      </c>
      <c r="BF469" s="17">
        <v>0.54881303130326275</v>
      </c>
      <c r="BK469" s="20">
        <v>-0.10220103945843632</v>
      </c>
      <c r="BL469" s="20">
        <v>1.1021281967710577</v>
      </c>
      <c r="BN469" s="21">
        <f t="shared" si="23"/>
        <v>1</v>
      </c>
    </row>
    <row r="470" spans="18:66">
      <c r="R470" s="17">
        <v>-0.86216493245391179</v>
      </c>
      <c r="S470" s="17">
        <v>0.86592397083683859</v>
      </c>
      <c r="T470" s="17">
        <v>1.1492407566427856</v>
      </c>
      <c r="U470" s="17">
        <v>0.30971288832147947</v>
      </c>
      <c r="V470" s="17">
        <v>1.322038261257461</v>
      </c>
      <c r="W470" s="17">
        <v>-0.54000870393571332</v>
      </c>
      <c r="X470" s="17">
        <v>-0.93446499101467595</v>
      </c>
      <c r="Y470" s="17">
        <v>1.3623707400649003</v>
      </c>
      <c r="Z470" s="17">
        <v>0.73556995189170193</v>
      </c>
      <c r="AA470" s="17">
        <v>1.6983871669386827</v>
      </c>
      <c r="AB470" s="17">
        <v>-1.2113068807979621</v>
      </c>
      <c r="AC470" s="17">
        <v>1.5906603286575782</v>
      </c>
      <c r="AD470" s="17">
        <v>-0.8593627097567913</v>
      </c>
      <c r="AE470" s="17">
        <v>1.3374666300864129</v>
      </c>
      <c r="AF470" s="17">
        <v>1.6049118769290147</v>
      </c>
      <c r="AG470" s="17">
        <v>1.3481853892245086</v>
      </c>
      <c r="AH470" s="17">
        <v>0.33128292594394448</v>
      </c>
      <c r="AI470" s="17">
        <v>-1.6572512841003593</v>
      </c>
      <c r="AJ470" s="17">
        <v>-0.4315878441673433</v>
      </c>
      <c r="AK470" s="17">
        <v>0.36873422441298831</v>
      </c>
      <c r="AM470" s="17">
        <v>-0.76111002119081261</v>
      </c>
      <c r="AN470" s="17">
        <v>0.68669768089720584</v>
      </c>
      <c r="AO470" s="17">
        <v>0.64588729972417935</v>
      </c>
      <c r="AP470" s="17">
        <v>0.32818379691835686</v>
      </c>
      <c r="AQ470" s="17">
        <v>0.85013644519358722</v>
      </c>
      <c r="AR470" s="17">
        <v>-0.63621058800388819</v>
      </c>
      <c r="AS470" s="17">
        <v>-0.77693277658567872</v>
      </c>
      <c r="AT470" s="17">
        <v>0.7797247265799796</v>
      </c>
      <c r="AU470" s="17">
        <v>0.77664189846992715</v>
      </c>
      <c r="AV470" s="17">
        <v>0.87355070889715247</v>
      </c>
      <c r="AW470" s="17">
        <v>-0.63284723673544674</v>
      </c>
      <c r="AX470" s="17">
        <v>0.84398950163568043</v>
      </c>
      <c r="AY470" s="17">
        <v>-0.63897934204628071</v>
      </c>
      <c r="AZ470" s="17">
        <v>0.87003343681473222</v>
      </c>
      <c r="BA470" s="17">
        <v>0.73494239966879316</v>
      </c>
      <c r="BB470" s="17">
        <v>0.67452251870132007</v>
      </c>
      <c r="BC470" s="17">
        <v>0.36426069763180452</v>
      </c>
      <c r="BD470" s="17">
        <v>-0.89958609203422668</v>
      </c>
      <c r="BE470" s="17">
        <v>-0.40914398596738832</v>
      </c>
      <c r="BF470" s="17">
        <v>0.16042191706817904</v>
      </c>
      <c r="BK470" s="20">
        <v>0.86553163219743157</v>
      </c>
      <c r="BL470" s="20">
        <v>0.13444463964428446</v>
      </c>
      <c r="BN470" s="21">
        <f t="shared" si="23"/>
        <v>0</v>
      </c>
    </row>
    <row r="471" spans="18:66">
      <c r="R471" s="17">
        <v>-0.86216493245391179</v>
      </c>
      <c r="S471" s="17">
        <v>0.86592397083683859</v>
      </c>
      <c r="T471" s="17">
        <v>1.1492407566427856</v>
      </c>
      <c r="U471" s="17">
        <v>0.30971288832147947</v>
      </c>
      <c r="V471" s="17">
        <v>1.322038261257461</v>
      </c>
      <c r="W471" s="17">
        <v>-0.54000870393571332</v>
      </c>
      <c r="X471" s="17">
        <v>-0.93446499101467595</v>
      </c>
      <c r="Y471" s="17">
        <v>1.3623707400649003</v>
      </c>
      <c r="Z471" s="17">
        <v>0.73556995189170193</v>
      </c>
      <c r="AA471" s="17">
        <v>1.6983871669386827</v>
      </c>
      <c r="AB471" s="17">
        <v>-1.2113068807979621</v>
      </c>
      <c r="AC471" s="17">
        <v>1.5906603286575782</v>
      </c>
      <c r="AD471" s="17">
        <v>-0.8593627097567913</v>
      </c>
      <c r="AE471" s="17">
        <v>1.3374666300864129</v>
      </c>
      <c r="AF471" s="17">
        <v>1.6049118769290147</v>
      </c>
      <c r="AG471" s="17">
        <v>1.3481853892245086</v>
      </c>
      <c r="AH471" s="17">
        <v>0.33128292594394448</v>
      </c>
      <c r="AI471" s="17">
        <v>-1.6572512841003593</v>
      </c>
      <c r="AJ471" s="17">
        <v>-0.4315878441673433</v>
      </c>
      <c r="AK471" s="17">
        <v>0.36873422441298942</v>
      </c>
      <c r="AM471" s="17">
        <v>-0.88019590972184369</v>
      </c>
      <c r="AN471" s="17">
        <v>0.77950853106797635</v>
      </c>
      <c r="AO471" s="17">
        <v>0.55703316351627674</v>
      </c>
      <c r="AP471" s="17">
        <v>0.42743569685261645</v>
      </c>
      <c r="AQ471" s="17">
        <v>0.91121108524346695</v>
      </c>
      <c r="AR471" s="17">
        <v>-0.80987147085751188</v>
      </c>
      <c r="AS471" s="17">
        <v>-0.88485698066641461</v>
      </c>
      <c r="AT471" s="17">
        <v>0.78444489728809874</v>
      </c>
      <c r="AU471" s="17">
        <v>0.91566783886940994</v>
      </c>
      <c r="AV471" s="17">
        <v>0.88811688050648963</v>
      </c>
      <c r="AW471" s="17">
        <v>-0.50558136493283923</v>
      </c>
      <c r="AX471" s="17">
        <v>0.85262438167336763</v>
      </c>
      <c r="AY471" s="17">
        <v>-0.70185147405447545</v>
      </c>
      <c r="AZ471" s="17">
        <v>0.9331555165580665</v>
      </c>
      <c r="BA471" s="17">
        <v>0.56117604417387956</v>
      </c>
      <c r="BB471" s="17">
        <v>0.53394640769180202</v>
      </c>
      <c r="BC471" s="17">
        <v>0.48135554063555247</v>
      </c>
      <c r="BD471" s="17">
        <v>-0.9358059493826173</v>
      </c>
      <c r="BE471" s="17">
        <v>-0.50201999934022445</v>
      </c>
      <c r="BF471" s="17">
        <v>0.22199182404289639</v>
      </c>
      <c r="BK471" s="20">
        <v>0.83238065591731625</v>
      </c>
      <c r="BL471" s="20">
        <v>0.16767687917924809</v>
      </c>
      <c r="BN471" s="21">
        <f t="shared" si="23"/>
        <v>0</v>
      </c>
    </row>
    <row r="472" spans="18:66">
      <c r="R472" s="17">
        <v>-0.86216493245391179</v>
      </c>
      <c r="S472" s="17">
        <v>0.86592397083683859</v>
      </c>
      <c r="T472" s="17">
        <v>1.1492407566427856</v>
      </c>
      <c r="U472" s="17">
        <v>0.30971288832147947</v>
      </c>
      <c r="V472" s="17">
        <v>1.322038261257461</v>
      </c>
      <c r="W472" s="17">
        <v>-0.54000870393571332</v>
      </c>
      <c r="X472" s="17">
        <v>-0.93446499101467595</v>
      </c>
      <c r="Y472" s="17">
        <v>1.3623707400649003</v>
      </c>
      <c r="Z472" s="17">
        <v>0.73556995189170193</v>
      </c>
      <c r="AA472" s="17">
        <v>1.6983871669386827</v>
      </c>
      <c r="AB472" s="17">
        <v>-1.2113068807979621</v>
      </c>
      <c r="AC472" s="17">
        <v>1.5906603286575782</v>
      </c>
      <c r="AD472" s="17">
        <v>-0.8593627097567913</v>
      </c>
      <c r="AE472" s="17">
        <v>1.3374666300864129</v>
      </c>
      <c r="AF472" s="17">
        <v>1.6049118769290147</v>
      </c>
      <c r="AG472" s="17">
        <v>1.3481853892245086</v>
      </c>
      <c r="AH472" s="17">
        <v>0.33128292594394448</v>
      </c>
      <c r="AI472" s="17">
        <v>-1.6572512841003593</v>
      </c>
      <c r="AJ472" s="17">
        <v>-0.4315878441673433</v>
      </c>
      <c r="AK472" s="17">
        <v>0.36873422441298942</v>
      </c>
      <c r="AM472" s="17">
        <v>-0.71361318150115793</v>
      </c>
      <c r="AN472" s="17">
        <v>0.71999543961722567</v>
      </c>
      <c r="AO472" s="17">
        <v>0.84112738054481218</v>
      </c>
      <c r="AP472" s="17">
        <v>0.311640122629116</v>
      </c>
      <c r="AQ472" s="17">
        <v>0.88258473839807394</v>
      </c>
      <c r="AR472" s="17">
        <v>-0.50280942608404422</v>
      </c>
      <c r="AS472" s="17">
        <v>-0.74962236651983505</v>
      </c>
      <c r="AT472" s="17">
        <v>0.89449340880168471</v>
      </c>
      <c r="AU472" s="17">
        <v>0.63670600203221672</v>
      </c>
      <c r="AV472" s="17">
        <v>0.94654711611257403</v>
      </c>
      <c r="AW472" s="17">
        <v>-0.86024630733073659</v>
      </c>
      <c r="AX472" s="17">
        <v>0.93351548134221241</v>
      </c>
      <c r="AY472" s="17">
        <v>-0.71885087353251131</v>
      </c>
      <c r="AZ472" s="17">
        <v>0.88535076041597427</v>
      </c>
      <c r="BA472" s="17">
        <v>0.93758223037247879</v>
      </c>
      <c r="BB472" s="17">
        <v>0.89393953372483848</v>
      </c>
      <c r="BC472" s="17">
        <v>0.33088844747796659</v>
      </c>
      <c r="BD472" s="17">
        <v>-0.94081814705277844</v>
      </c>
      <c r="BE472" s="17">
        <v>-0.42314437998675242</v>
      </c>
      <c r="BF472" s="17">
        <v>0.23283537861270373</v>
      </c>
      <c r="BK472" s="20">
        <v>0.86776614507064909</v>
      </c>
      <c r="BL472" s="20">
        <v>0.13208351270429297</v>
      </c>
      <c r="BN472" s="21">
        <f t="shared" si="23"/>
        <v>0</v>
      </c>
    </row>
    <row r="473" spans="18:66">
      <c r="R473" s="17">
        <v>-0.86216493245391179</v>
      </c>
      <c r="S473" s="17">
        <v>0.86592397083683859</v>
      </c>
      <c r="T473" s="17">
        <v>1.1492407566427856</v>
      </c>
      <c r="U473" s="17">
        <v>0.30971288832147947</v>
      </c>
      <c r="V473" s="17">
        <v>1.322038261257461</v>
      </c>
      <c r="W473" s="17">
        <v>-0.54000870393571332</v>
      </c>
      <c r="X473" s="17">
        <v>-0.93446499101467595</v>
      </c>
      <c r="Y473" s="17">
        <v>1.3623707400649003</v>
      </c>
      <c r="Z473" s="17">
        <v>0.73556995189170193</v>
      </c>
      <c r="AA473" s="17">
        <v>1.6983871669386827</v>
      </c>
      <c r="AB473" s="17">
        <v>-1.2113068807979621</v>
      </c>
      <c r="AC473" s="17">
        <v>1.5906603286575782</v>
      </c>
      <c r="AD473" s="17">
        <v>-0.8593627097567913</v>
      </c>
      <c r="AE473" s="17">
        <v>1.3374666300864129</v>
      </c>
      <c r="AF473" s="17">
        <v>1.6049118769290147</v>
      </c>
      <c r="AG473" s="17">
        <v>1.3481853892245086</v>
      </c>
      <c r="AH473" s="17">
        <v>0.33128292594394448</v>
      </c>
      <c r="AI473" s="17">
        <v>-1.6572512841003593</v>
      </c>
      <c r="AJ473" s="17">
        <v>-0.4315878441673433</v>
      </c>
      <c r="AK473" s="17">
        <v>0.36873422441298942</v>
      </c>
      <c r="AM473" s="17">
        <v>-0.63686058152200953</v>
      </c>
      <c r="AN473" s="17">
        <v>0.67411168454462034</v>
      </c>
      <c r="AO473" s="17">
        <v>0.83601475606344566</v>
      </c>
      <c r="AP473" s="17">
        <v>0.27047825972920703</v>
      </c>
      <c r="AQ473" s="17">
        <v>0.8511048524944187</v>
      </c>
      <c r="AR473" s="17">
        <v>-0.39950726180550039</v>
      </c>
      <c r="AS473" s="17">
        <v>-0.68225231872069869</v>
      </c>
      <c r="AT473" s="17">
        <v>0.88422363905004131</v>
      </c>
      <c r="AU473" s="17">
        <v>0.51634701232369529</v>
      </c>
      <c r="AV473" s="17">
        <v>0.9380210521404303</v>
      </c>
      <c r="AW473" s="17">
        <v>-0.8643669870069044</v>
      </c>
      <c r="AX473" s="17">
        <v>0.9250153024810891</v>
      </c>
      <c r="AY473" s="17">
        <v>-0.68705240949258517</v>
      </c>
      <c r="AZ473" s="17">
        <v>0.84858022537062894</v>
      </c>
      <c r="BA473" s="17">
        <v>0.94194998968762622</v>
      </c>
      <c r="BB473" s="17">
        <v>0.89820340895304029</v>
      </c>
      <c r="BC473" s="17">
        <v>0.2821921523610349</v>
      </c>
      <c r="BD473" s="17">
        <v>-0.92464101703075718</v>
      </c>
      <c r="BE473" s="17">
        <v>-0.38168166754224536</v>
      </c>
      <c r="BF473" s="17">
        <v>0.23225230256500731</v>
      </c>
    </row>
    <row r="474" spans="18:66">
      <c r="R474" s="17">
        <v>-0.86216493245391179</v>
      </c>
      <c r="S474" s="17">
        <v>0.86592397083683859</v>
      </c>
      <c r="T474" s="17">
        <v>1.1492407566427856</v>
      </c>
      <c r="U474" s="17">
        <v>0.30971288832147947</v>
      </c>
      <c r="V474" s="17">
        <v>1.322038261257461</v>
      </c>
      <c r="W474" s="17">
        <v>-0.54000870393571332</v>
      </c>
      <c r="X474" s="17">
        <v>-0.93446499101467595</v>
      </c>
      <c r="Y474" s="17">
        <v>1.3623707400649003</v>
      </c>
      <c r="Z474" s="17">
        <v>0.73556995189170193</v>
      </c>
      <c r="AA474" s="17">
        <v>1.6983871669386827</v>
      </c>
      <c r="AB474" s="17">
        <v>-1.2113068807979621</v>
      </c>
      <c r="AC474" s="17">
        <v>1.5906603286575782</v>
      </c>
      <c r="AD474" s="17">
        <v>-0.8593627097567913</v>
      </c>
      <c r="AE474" s="17">
        <v>1.3374666300864129</v>
      </c>
      <c r="AF474" s="17">
        <v>1.6049118769290147</v>
      </c>
      <c r="AG474" s="17">
        <v>1.3481853892245086</v>
      </c>
      <c r="AH474" s="17">
        <v>0.33128292594394448</v>
      </c>
      <c r="AI474" s="17">
        <v>-1.6572512841003593</v>
      </c>
      <c r="AJ474" s="17">
        <v>-0.4315878441673433</v>
      </c>
      <c r="AK474" s="17">
        <v>0.32792027644881738</v>
      </c>
      <c r="AM474" s="17">
        <v>-0.83219172697889587</v>
      </c>
      <c r="AN474" s="17">
        <v>0.76515543763694449</v>
      </c>
      <c r="AO474" s="17">
        <v>0.72265093777625766</v>
      </c>
      <c r="AP474" s="17">
        <v>0.38672682131166841</v>
      </c>
      <c r="AQ474" s="17">
        <v>0.90623597424284152</v>
      </c>
      <c r="AR474" s="17">
        <v>-0.71556899581213063</v>
      </c>
      <c r="AS474" s="17">
        <v>-0.84601387872238909</v>
      </c>
      <c r="AT474" s="17">
        <v>0.84957166148389729</v>
      </c>
      <c r="AU474" s="17">
        <v>0.84520454857290495</v>
      </c>
      <c r="AV474" s="17">
        <v>0.9243574600471347</v>
      </c>
      <c r="AW474" s="17">
        <v>-0.71554773016696571</v>
      </c>
      <c r="AX474" s="17">
        <v>0.90200167079143401</v>
      </c>
      <c r="AY474" s="17">
        <v>-0.71978988571267422</v>
      </c>
      <c r="AZ474" s="17">
        <v>0.9212425798176419</v>
      </c>
      <c r="BA474" s="17">
        <v>0.8116813239838202</v>
      </c>
      <c r="BB474" s="17">
        <v>0.75580535139713179</v>
      </c>
      <c r="BC474" s="17">
        <v>0.42752746960500981</v>
      </c>
      <c r="BD474" s="17">
        <v>-0.9428263159692456</v>
      </c>
      <c r="BE474" s="17">
        <v>-0.47814848026573703</v>
      </c>
      <c r="BF474" s="17">
        <v>0.36897571705933829</v>
      </c>
    </row>
    <row r="475" spans="18:66">
      <c r="R475" s="17">
        <v>-1.4643074708783446</v>
      </c>
      <c r="S475" s="17">
        <v>1.0359333700219733</v>
      </c>
      <c r="T475" s="17">
        <v>0.4503249130137873</v>
      </c>
      <c r="U475" s="17">
        <v>0.47751119115197871</v>
      </c>
      <c r="V475" s="17">
        <v>1.5052132201123889</v>
      </c>
      <c r="W475" s="17">
        <v>-1.2567352733816861</v>
      </c>
      <c r="X475" s="17">
        <v>-1.4659127711484521</v>
      </c>
      <c r="Y475" s="17">
        <v>0.877385815472147</v>
      </c>
      <c r="Z475" s="17">
        <v>1.7463530467411736</v>
      </c>
      <c r="AA475" s="17">
        <v>1.2163845753889837</v>
      </c>
      <c r="AB475" s="17">
        <v>-0.28839333793737798</v>
      </c>
      <c r="AC475" s="17">
        <v>1.0652147513376473</v>
      </c>
      <c r="AD475" s="17">
        <v>-0.81583654438301023</v>
      </c>
      <c r="AE475" s="17">
        <v>1.6894094608623824</v>
      </c>
      <c r="AF475" s="17">
        <v>0.2496334827590041</v>
      </c>
      <c r="AG475" s="17">
        <v>0.29010426800531797</v>
      </c>
      <c r="AH475" s="17">
        <v>0.55723475600471262</v>
      </c>
      <c r="AI475" s="17">
        <v>-1.603629768829455</v>
      </c>
      <c r="AJ475" s="17">
        <v>-0.55690825498325469</v>
      </c>
      <c r="AK475" s="17">
        <v>0.41256201738018505</v>
      </c>
      <c r="AM475" s="17">
        <v>-0.79208667461431581</v>
      </c>
      <c r="AN475" s="17">
        <v>0.72193959902022709</v>
      </c>
      <c r="AO475" s="17">
        <v>0.72997256826325385</v>
      </c>
      <c r="AP475" s="17">
        <v>0.3521714216027369</v>
      </c>
      <c r="AQ475" s="17">
        <v>0.87686319286920622</v>
      </c>
      <c r="AR475" s="17">
        <v>-0.66813757934545071</v>
      </c>
      <c r="AS475" s="17">
        <v>-0.80754482091815183</v>
      </c>
      <c r="AT475" s="17">
        <v>0.81444897671464733</v>
      </c>
      <c r="AU475" s="17">
        <v>0.80520729025111126</v>
      </c>
      <c r="AV475" s="17">
        <v>0.89943318902419489</v>
      </c>
      <c r="AW475" s="17">
        <v>-0.6758292691752692</v>
      </c>
      <c r="AX475" s="17">
        <v>0.87336863960124422</v>
      </c>
      <c r="AY475" s="17">
        <v>-0.67603402528674139</v>
      </c>
      <c r="AZ475" s="17">
        <v>0.89431783319632641</v>
      </c>
      <c r="BA475" s="17">
        <v>0.77650150036437915</v>
      </c>
      <c r="BB475" s="17">
        <v>0.71733813676151792</v>
      </c>
      <c r="BC475" s="17">
        <v>0.38992880989638845</v>
      </c>
      <c r="BD475" s="17">
        <v>-0.92115786365907082</v>
      </c>
      <c r="BE475" s="17">
        <v>-0.43841492797724374</v>
      </c>
      <c r="BF475" s="17">
        <v>0.39911153967542223</v>
      </c>
    </row>
    <row r="476" spans="18:66">
      <c r="R476" s="17">
        <v>-0.86216493245391179</v>
      </c>
      <c r="S476" s="17">
        <v>0.86592397083683859</v>
      </c>
      <c r="T476" s="17">
        <v>1.1492407566427856</v>
      </c>
      <c r="U476" s="17">
        <v>0.30971288832147947</v>
      </c>
      <c r="V476" s="17">
        <v>1.322038261257461</v>
      </c>
      <c r="W476" s="17">
        <v>-0.54000870393571332</v>
      </c>
      <c r="X476" s="17">
        <v>-0.93446499101467595</v>
      </c>
      <c r="Y476" s="17">
        <v>1.3623707400649003</v>
      </c>
      <c r="Z476" s="17">
        <v>0.73556995189170193</v>
      </c>
      <c r="AA476" s="17">
        <v>1.6983871669386827</v>
      </c>
      <c r="AB476" s="17">
        <v>-1.2113068807979621</v>
      </c>
      <c r="AC476" s="17">
        <v>1.5906603286575782</v>
      </c>
      <c r="AD476" s="17">
        <v>-0.8593627097567913</v>
      </c>
      <c r="AE476" s="17">
        <v>1.3374666300864129</v>
      </c>
      <c r="AF476" s="17">
        <v>1.6049118769290147</v>
      </c>
      <c r="AG476" s="17">
        <v>1.3481853892245086</v>
      </c>
      <c r="AH476" s="17">
        <v>0.33128292594394448</v>
      </c>
      <c r="AI476" s="17">
        <v>-1.6572512841003593</v>
      </c>
      <c r="AJ476" s="17">
        <v>-0.4315878441673433</v>
      </c>
      <c r="AK476" s="17">
        <v>0.36873422441298942</v>
      </c>
      <c r="AM476" s="17">
        <v>-0.90459681044406792</v>
      </c>
      <c r="AN476" s="17">
        <v>0.78640373245632034</v>
      </c>
      <c r="AO476" s="17">
        <v>0.31582577139528095</v>
      </c>
      <c r="AP476" s="17">
        <v>0.45301097689181868</v>
      </c>
      <c r="AQ476" s="17">
        <v>0.91274330368283474</v>
      </c>
      <c r="AR476" s="17">
        <v>-0.85714628211487698</v>
      </c>
      <c r="AS476" s="17">
        <v>-0.9050411449751482</v>
      </c>
      <c r="AT476" s="17">
        <v>0.71947038740675606</v>
      </c>
      <c r="AU476" s="17">
        <v>0.94490665055854317</v>
      </c>
      <c r="AV476" s="17">
        <v>0.84958285590767946</v>
      </c>
      <c r="AW476" s="17">
        <v>-0.29737918476563252</v>
      </c>
      <c r="AX476" s="17">
        <v>0.80046261660580653</v>
      </c>
      <c r="AY476" s="17">
        <v>-0.68492237866562988</v>
      </c>
      <c r="AZ476" s="17">
        <v>0.93917014720170122</v>
      </c>
      <c r="BA476" s="17">
        <v>0.26524631926893028</v>
      </c>
      <c r="BB476" s="17">
        <v>0.30037609195649922</v>
      </c>
      <c r="BC476" s="17">
        <v>0.51513561428716714</v>
      </c>
      <c r="BD476" s="17">
        <v>-0.92851058587551916</v>
      </c>
      <c r="BE476" s="17">
        <v>-0.51572793351016133</v>
      </c>
      <c r="BF476" s="17">
        <v>0.26704347133489226</v>
      </c>
    </row>
    <row r="477" spans="18:66">
      <c r="R477" s="17">
        <v>-0.86216493245391179</v>
      </c>
      <c r="S477" s="17">
        <v>0.86592397083683859</v>
      </c>
      <c r="T477" s="17">
        <v>1.1492407566427856</v>
      </c>
      <c r="U477" s="17">
        <v>0.30971288832147947</v>
      </c>
      <c r="V477" s="17">
        <v>1.322038261257461</v>
      </c>
      <c r="W477" s="17">
        <v>-0.54000870393571332</v>
      </c>
      <c r="X477" s="17">
        <v>-0.93446499101467595</v>
      </c>
      <c r="Y477" s="17">
        <v>1.3623707400649003</v>
      </c>
      <c r="Z477" s="17">
        <v>0.73556995189170193</v>
      </c>
      <c r="AA477" s="17">
        <v>1.6983871669386827</v>
      </c>
      <c r="AB477" s="17">
        <v>-1.2113068807979621</v>
      </c>
      <c r="AC477" s="17">
        <v>1.5906603286575782</v>
      </c>
      <c r="AD477" s="17">
        <v>-0.8593627097567913</v>
      </c>
      <c r="AE477" s="17">
        <v>1.3374666300864129</v>
      </c>
      <c r="AF477" s="17">
        <v>1.6049118769290147</v>
      </c>
      <c r="AG477" s="17">
        <v>1.3481853892245086</v>
      </c>
      <c r="AH477" s="17">
        <v>0.33128292594394448</v>
      </c>
      <c r="AI477" s="17">
        <v>-1.6572512841003593</v>
      </c>
      <c r="AJ477" s="17">
        <v>-0.4315878441673433</v>
      </c>
      <c r="AK477" s="17">
        <v>0.36873422425539892</v>
      </c>
      <c r="AM477" s="17">
        <v>-0.76276905379366999</v>
      </c>
      <c r="AN477" s="17">
        <v>0.73371448233419412</v>
      </c>
      <c r="AO477" s="17">
        <v>0.80492941532071005</v>
      </c>
      <c r="AP477" s="17">
        <v>0.33847903184096245</v>
      </c>
      <c r="AQ477" s="17">
        <v>0.88913007537147415</v>
      </c>
      <c r="AR477" s="17">
        <v>-0.59354589185682416</v>
      </c>
      <c r="AS477" s="17">
        <v>-0.78842647036175517</v>
      </c>
      <c r="AT477" s="17">
        <v>0.87448536187860226</v>
      </c>
      <c r="AU477" s="17">
        <v>0.73342636616010171</v>
      </c>
      <c r="AV477" s="17">
        <v>0.93604574541439678</v>
      </c>
      <c r="AW477" s="17">
        <v>-0.80835381843624832</v>
      </c>
      <c r="AX477" s="17">
        <v>0.91937451672549164</v>
      </c>
      <c r="AY477" s="17">
        <v>-0.7139699026213997</v>
      </c>
      <c r="AZ477" s="17">
        <v>0.89790550722767082</v>
      </c>
      <c r="BA477" s="17">
        <v>0.89870877346993028</v>
      </c>
      <c r="BB477" s="17">
        <v>0.84661335103559499</v>
      </c>
      <c r="BC477" s="17">
        <v>0.3665611148739592</v>
      </c>
      <c r="BD477" s="17">
        <v>-0.9392144321959992</v>
      </c>
      <c r="BE477" s="17">
        <v>-0.44098520305864619</v>
      </c>
      <c r="BF477" s="17">
        <v>0.37492340355774517</v>
      </c>
    </row>
    <row r="478" spans="18:66">
      <c r="R478" s="17">
        <v>-1.4643074708783446</v>
      </c>
      <c r="S478" s="17">
        <v>1.0359333700219733</v>
      </c>
      <c r="T478" s="17">
        <v>0.4503249130137873</v>
      </c>
      <c r="U478" s="17">
        <v>0.47751119115197871</v>
      </c>
      <c r="V478" s="17">
        <v>1.5052132201123889</v>
      </c>
      <c r="W478" s="17">
        <v>-1.2567352733816861</v>
      </c>
      <c r="X478" s="17">
        <v>-1.4659127711484521</v>
      </c>
      <c r="Y478" s="17">
        <v>0.877385815472147</v>
      </c>
      <c r="Z478" s="17">
        <v>1.7463530467411736</v>
      </c>
      <c r="AA478" s="17">
        <v>1.2163845753889837</v>
      </c>
      <c r="AB478" s="17">
        <v>-0.28839333793737798</v>
      </c>
      <c r="AC478" s="17">
        <v>1.0652147513376473</v>
      </c>
      <c r="AD478" s="17">
        <v>-0.81583654438301023</v>
      </c>
      <c r="AE478" s="17">
        <v>1.6894094608623824</v>
      </c>
      <c r="AF478" s="17">
        <v>0.2496334827590041</v>
      </c>
      <c r="AG478" s="17">
        <v>0.29010426800531797</v>
      </c>
      <c r="AH478" s="17">
        <v>0.55723475600471262</v>
      </c>
      <c r="AI478" s="17">
        <v>-1.603629768829455</v>
      </c>
      <c r="AJ478" s="17">
        <v>-0.55690825498325469</v>
      </c>
      <c r="AK478" s="17">
        <v>0.41256201738018505</v>
      </c>
      <c r="AM478" s="17">
        <v>-0.78706468748939762</v>
      </c>
      <c r="AN478" s="17">
        <v>0.73662890248791957</v>
      </c>
      <c r="AO478" s="17">
        <v>0.74918286436434722</v>
      </c>
      <c r="AP478" s="17">
        <v>0.35235122708609823</v>
      </c>
      <c r="AQ478" s="17">
        <v>0.88914195946248697</v>
      </c>
      <c r="AR478" s="17">
        <v>-0.64345155158194367</v>
      </c>
      <c r="AS478" s="17">
        <v>-0.80685744623391464</v>
      </c>
      <c r="AT478" s="17">
        <v>0.8529779307348393</v>
      </c>
      <c r="AU478" s="17">
        <v>0.78206796861188077</v>
      </c>
      <c r="AV478" s="17">
        <v>0.92386478030684394</v>
      </c>
      <c r="AW478" s="17">
        <v>-0.75515866269123477</v>
      </c>
      <c r="AX478" s="17">
        <v>0.9035167094922818</v>
      </c>
      <c r="AY478" s="17">
        <v>-0.70379519072600139</v>
      </c>
      <c r="AZ478" s="17">
        <v>0.90190931453165291</v>
      </c>
      <c r="BA478" s="17">
        <v>0.85290391933673548</v>
      </c>
      <c r="BB478" s="17">
        <v>0.79587082815353427</v>
      </c>
      <c r="BC478" s="17">
        <v>0.38604978424176728</v>
      </c>
      <c r="BD478" s="17">
        <v>-0.93487171365340349</v>
      </c>
      <c r="BE478" s="17">
        <v>-0.44762728509984151</v>
      </c>
      <c r="BF478" s="17">
        <v>0.33540928080425558</v>
      </c>
    </row>
    <row r="479" spans="18:66">
      <c r="R479" s="17">
        <v>-0.86216493245391179</v>
      </c>
      <c r="S479" s="17">
        <v>0.86592397083683859</v>
      </c>
      <c r="T479" s="17">
        <v>1.1492407566427856</v>
      </c>
      <c r="U479" s="17">
        <v>0.30971288832147947</v>
      </c>
      <c r="V479" s="17">
        <v>1.322038261257461</v>
      </c>
      <c r="W479" s="17">
        <v>-0.54000870393571332</v>
      </c>
      <c r="X479" s="17">
        <v>-0.93446499101467595</v>
      </c>
      <c r="Y479" s="17">
        <v>1.3623707400649003</v>
      </c>
      <c r="Z479" s="17">
        <v>0.73556995189170193</v>
      </c>
      <c r="AA479" s="17">
        <v>1.6983871669386827</v>
      </c>
      <c r="AB479" s="17">
        <v>-1.2113068807979621</v>
      </c>
      <c r="AC479" s="17">
        <v>1.5906603286575782</v>
      </c>
      <c r="AD479" s="17">
        <v>-0.8593627097567913</v>
      </c>
      <c r="AE479" s="17">
        <v>1.3374666300864129</v>
      </c>
      <c r="AF479" s="17">
        <v>1.6049118769290147</v>
      </c>
      <c r="AG479" s="17">
        <v>1.3481853892245086</v>
      </c>
      <c r="AH479" s="17">
        <v>0.33128292594394448</v>
      </c>
      <c r="AI479" s="17">
        <v>-1.6572512841003593</v>
      </c>
      <c r="AJ479" s="17">
        <v>-0.4315878441673433</v>
      </c>
      <c r="AK479" s="17">
        <v>0.36873422441298909</v>
      </c>
      <c r="AM479" s="17">
        <v>-0.9104095861829048</v>
      </c>
      <c r="AN479" s="17">
        <v>0.77250448354506585</v>
      </c>
      <c r="AO479" s="17">
        <v>9.1391119521036124E-2</v>
      </c>
      <c r="AP479" s="17">
        <v>0.45633700085665801</v>
      </c>
      <c r="AQ479" s="17">
        <v>0.90101593530336499</v>
      </c>
      <c r="AR479" s="17">
        <v>-0.87561455290569401</v>
      </c>
      <c r="AS479" s="17">
        <v>-0.90800242098132189</v>
      </c>
      <c r="AT479" s="17">
        <v>0.62441312051885201</v>
      </c>
      <c r="AU479" s="17">
        <v>0.95523608737357513</v>
      </c>
      <c r="AV479" s="17">
        <v>0.7843729221232858</v>
      </c>
      <c r="AW479" s="17">
        <v>-7.3995784567768758E-2</v>
      </c>
      <c r="AX479" s="17">
        <v>0.71764721265478271</v>
      </c>
      <c r="AY479" s="17">
        <v>-0.6467637966702966</v>
      </c>
      <c r="AZ479" s="17">
        <v>0.93418953544744621</v>
      </c>
      <c r="BA479" s="17">
        <v>-5.7137650797788202E-2</v>
      </c>
      <c r="BB479" s="17">
        <v>4.6248354462278388E-2</v>
      </c>
      <c r="BC479" s="17">
        <v>0.5237580077892553</v>
      </c>
      <c r="BD479" s="17">
        <v>-0.90868690078127234</v>
      </c>
      <c r="BE479" s="17">
        <v>-0.50741473258062886</v>
      </c>
      <c r="BF479" s="17">
        <v>0.40159665237202335</v>
      </c>
    </row>
    <row r="480" spans="18:66">
      <c r="R480" s="17">
        <v>-1.4643074708783446</v>
      </c>
      <c r="S480" s="17">
        <v>1.0359333700219733</v>
      </c>
      <c r="T480" s="17">
        <v>0.4503249130137873</v>
      </c>
      <c r="U480" s="17">
        <v>0.47751119115197871</v>
      </c>
      <c r="V480" s="17">
        <v>1.5052132201123889</v>
      </c>
      <c r="W480" s="17">
        <v>-1.2567352733816861</v>
      </c>
      <c r="X480" s="17">
        <v>-1.4659127711484521</v>
      </c>
      <c r="Y480" s="17">
        <v>0.877385815472147</v>
      </c>
      <c r="Z480" s="17">
        <v>1.7463530467411736</v>
      </c>
      <c r="AA480" s="17">
        <v>1.2163845753889837</v>
      </c>
      <c r="AB480" s="17">
        <v>-0.28839333793737798</v>
      </c>
      <c r="AC480" s="17">
        <v>1.0652147513376473</v>
      </c>
      <c r="AD480" s="17">
        <v>-0.81583654438301023</v>
      </c>
      <c r="AE480" s="17">
        <v>1.6894094608623824</v>
      </c>
      <c r="AF480" s="17">
        <v>0.2496334827590041</v>
      </c>
      <c r="AG480" s="17">
        <v>0.29010426800531797</v>
      </c>
      <c r="AH480" s="17">
        <v>0.55723475600471262</v>
      </c>
      <c r="AI480" s="17">
        <v>-1.603629768829455</v>
      </c>
      <c r="AJ480" s="17">
        <v>-0.55690825498325469</v>
      </c>
      <c r="AK480" s="17">
        <v>0.41256201738018505</v>
      </c>
      <c r="AM480" s="17">
        <v>-0.73575696609411978</v>
      </c>
      <c r="AN480" s="17">
        <v>0.71881932191367492</v>
      </c>
      <c r="AO480" s="17">
        <v>0.80905152198308183</v>
      </c>
      <c r="AP480" s="17">
        <v>0.32177060952523212</v>
      </c>
      <c r="AQ480" s="17">
        <v>0.87981738686799971</v>
      </c>
      <c r="AR480" s="17">
        <v>-0.55167627895279736</v>
      </c>
      <c r="AS480" s="17">
        <v>-0.76531493600601097</v>
      </c>
      <c r="AT480" s="17">
        <v>0.87518339374172505</v>
      </c>
      <c r="AU480" s="17">
        <v>0.69043277748628629</v>
      </c>
      <c r="AV480" s="17">
        <v>0.93544143639646327</v>
      </c>
      <c r="AW480" s="17">
        <v>-0.82079975532865646</v>
      </c>
      <c r="AX480" s="17">
        <v>0.91947065716856025</v>
      </c>
      <c r="AY480" s="17">
        <v>-0.70580589482823641</v>
      </c>
      <c r="AZ480" s="17">
        <v>0.88671921994982561</v>
      </c>
      <c r="BA480" s="17">
        <v>0.90934860342367951</v>
      </c>
      <c r="BB480" s="17">
        <v>0.85844809272810485</v>
      </c>
      <c r="BC480" s="17">
        <v>0.34621676282324088</v>
      </c>
      <c r="BD480" s="17">
        <v>-0.93509387116071707</v>
      </c>
      <c r="BE480" s="17">
        <v>-0.42592097271829615</v>
      </c>
      <c r="BF480" s="17">
        <v>2.1245697558398873E-2</v>
      </c>
    </row>
    <row r="481" spans="18:58">
      <c r="R481" s="17">
        <v>-0.86216493245391179</v>
      </c>
      <c r="S481" s="17">
        <v>0.86592397083683859</v>
      </c>
      <c r="T481" s="17">
        <v>1.1492407566427856</v>
      </c>
      <c r="U481" s="17">
        <v>0.30971288832147947</v>
      </c>
      <c r="V481" s="17">
        <v>1.322038261257461</v>
      </c>
      <c r="W481" s="17">
        <v>-0.54000870393571332</v>
      </c>
      <c r="X481" s="17">
        <v>-0.93446499101467595</v>
      </c>
      <c r="Y481" s="17">
        <v>1.3623707400649003</v>
      </c>
      <c r="Z481" s="17">
        <v>0.73556995189170193</v>
      </c>
      <c r="AA481" s="17">
        <v>1.6983871669386827</v>
      </c>
      <c r="AB481" s="17">
        <v>-1.2113068807979621</v>
      </c>
      <c r="AC481" s="17">
        <v>1.5906603286575782</v>
      </c>
      <c r="AD481" s="17">
        <v>-0.8593627097567913</v>
      </c>
      <c r="AE481" s="17">
        <v>1.3374666300864129</v>
      </c>
      <c r="AF481" s="17">
        <v>1.6049118769290147</v>
      </c>
      <c r="AG481" s="17">
        <v>1.3481853892245086</v>
      </c>
      <c r="AH481" s="17">
        <v>0.33128292594394448</v>
      </c>
      <c r="AI481" s="17">
        <v>-1.6572512841003593</v>
      </c>
      <c r="AJ481" s="17">
        <v>-0.4315878441673433</v>
      </c>
      <c r="AK481" s="17">
        <v>0.36873422441298942</v>
      </c>
      <c r="AM481" s="17">
        <v>-0.88039587939499753</v>
      </c>
      <c r="AN481" s="17">
        <v>0.78126025847980696</v>
      </c>
      <c r="AO481" s="17">
        <v>0.7096487933004525</v>
      </c>
      <c r="AP481" s="17">
        <v>0.42802352846810265</v>
      </c>
      <c r="AQ481" s="17">
        <v>0.91247016868552233</v>
      </c>
      <c r="AR481" s="17">
        <v>-0.80909722960693931</v>
      </c>
      <c r="AS481" s="17">
        <v>-0.88528228009262244</v>
      </c>
      <c r="AT481" s="17">
        <v>0.78949188012229832</v>
      </c>
      <c r="AU481" s="17">
        <v>0.9151259602514592</v>
      </c>
      <c r="AV481" s="17">
        <v>0.89134993325342105</v>
      </c>
      <c r="AW481" s="17">
        <v>-0.51728220026956107</v>
      </c>
      <c r="AX481" s="17">
        <v>0.8567059570829928</v>
      </c>
      <c r="AY481" s="17">
        <v>-0.7049825828984736</v>
      </c>
      <c r="AZ481" s="17">
        <v>0.93394982233029644</v>
      </c>
      <c r="BA481" s="17">
        <v>0.57612060912223528</v>
      </c>
      <c r="BB481" s="17">
        <v>0.54661462866810884</v>
      </c>
      <c r="BC481" s="17">
        <v>0.48165212270399366</v>
      </c>
      <c r="BD481" s="17">
        <v>-0.93724430343285192</v>
      </c>
      <c r="BE481" s="17">
        <v>-0.5034383273044597</v>
      </c>
      <c r="BF481" s="17">
        <v>0.61673467952991434</v>
      </c>
    </row>
    <row r="482" spans="18:58">
      <c r="R482" s="17">
        <v>-0.86216493245391179</v>
      </c>
      <c r="S482" s="17">
        <v>0.86592397083683859</v>
      </c>
      <c r="T482" s="17">
        <v>1.1492407566427856</v>
      </c>
      <c r="U482" s="17">
        <v>0.30971288832147947</v>
      </c>
      <c r="V482" s="17">
        <v>1.322038261257461</v>
      </c>
      <c r="W482" s="17">
        <v>-0.54000870393571332</v>
      </c>
      <c r="X482" s="17">
        <v>-0.93446499101467595</v>
      </c>
      <c r="Y482" s="17">
        <v>1.3623707400649003</v>
      </c>
      <c r="Z482" s="17">
        <v>0.73556995189170193</v>
      </c>
      <c r="AA482" s="17">
        <v>1.6983871669386827</v>
      </c>
      <c r="AB482" s="17">
        <v>-1.2113068807979621</v>
      </c>
      <c r="AC482" s="17">
        <v>1.5906603286575782</v>
      </c>
      <c r="AD482" s="17">
        <v>-0.8593627097567913</v>
      </c>
      <c r="AE482" s="17">
        <v>1.3374666300864129</v>
      </c>
      <c r="AF482" s="17">
        <v>1.6049118769290147</v>
      </c>
      <c r="AG482" s="17">
        <v>1.3481853892245086</v>
      </c>
      <c r="AH482" s="17">
        <v>0.33128292594394448</v>
      </c>
      <c r="AI482" s="17">
        <v>-1.6572512841003593</v>
      </c>
      <c r="AJ482" s="17">
        <v>-0.4315878441673433</v>
      </c>
      <c r="AK482" s="17">
        <v>0.36873422441298942</v>
      </c>
      <c r="AM482" s="17">
        <v>-0.77935056782606071</v>
      </c>
      <c r="AN482" s="17">
        <v>0.73001181247424629</v>
      </c>
      <c r="AO482" s="17">
        <v>0.77437336990269146</v>
      </c>
      <c r="AP482" s="17">
        <v>0.34661898084789278</v>
      </c>
      <c r="AQ482" s="17">
        <v>0.88469353307885967</v>
      </c>
      <c r="AR482" s="17">
        <v>-0.63339697576122167</v>
      </c>
      <c r="AS482" s="17">
        <v>-0.79975229710043572</v>
      </c>
      <c r="AT482" s="17">
        <v>0.84950532150677438</v>
      </c>
      <c r="AU482" s="17">
        <v>0.77274221757637718</v>
      </c>
      <c r="AV482" s="17">
        <v>0.92128447196317276</v>
      </c>
      <c r="AW482" s="17">
        <v>-0.75311682967216065</v>
      </c>
      <c r="AX482" s="17">
        <v>0.90067492584645825</v>
      </c>
      <c r="AY482" s="17">
        <v>-0.69798987666943924</v>
      </c>
      <c r="AZ482" s="17">
        <v>0.89747217062172435</v>
      </c>
      <c r="BA482" s="17">
        <v>0.85166510732033551</v>
      </c>
      <c r="BB482" s="17">
        <v>0.79408132675469545</v>
      </c>
      <c r="BC482" s="17">
        <v>0.37956631746550457</v>
      </c>
      <c r="BD482" s="17">
        <v>-0.93198836128591067</v>
      </c>
      <c r="BE482" s="17">
        <v>-0.44147320486951608</v>
      </c>
      <c r="BF482" s="17">
        <v>0.2731670972787299</v>
      </c>
    </row>
    <row r="483" spans="18:58">
      <c r="R483" s="17">
        <v>-1.4643074708783446</v>
      </c>
      <c r="S483" s="17">
        <v>1.0359333700219733</v>
      </c>
      <c r="T483" s="17">
        <v>0.4503249130137873</v>
      </c>
      <c r="U483" s="17">
        <v>0.47751119115197871</v>
      </c>
      <c r="V483" s="17">
        <v>1.5052132201123889</v>
      </c>
      <c r="W483" s="17">
        <v>-1.2567352733816861</v>
      </c>
      <c r="X483" s="17">
        <v>-1.4659127711484521</v>
      </c>
      <c r="Y483" s="17">
        <v>0.877385815472147</v>
      </c>
      <c r="Z483" s="17">
        <v>1.7463530467411736</v>
      </c>
      <c r="AA483" s="17">
        <v>1.2163845753889837</v>
      </c>
      <c r="AB483" s="17">
        <v>-0.28839333793737798</v>
      </c>
      <c r="AC483" s="17">
        <v>1.0652147513376473</v>
      </c>
      <c r="AD483" s="17">
        <v>-0.81583654438301023</v>
      </c>
      <c r="AE483" s="17">
        <v>1.6894094608623824</v>
      </c>
      <c r="AF483" s="17">
        <v>0.2496334827590041</v>
      </c>
      <c r="AG483" s="17">
        <v>0.29010426800531797</v>
      </c>
      <c r="AH483" s="17">
        <v>0.55723475600471262</v>
      </c>
      <c r="AI483" s="17">
        <v>-1.603629768829455</v>
      </c>
      <c r="AJ483" s="17">
        <v>-0.55690825498325469</v>
      </c>
      <c r="AK483" s="17">
        <v>0.41256201738018505</v>
      </c>
      <c r="AM483" s="17">
        <v>-0.78623092996913879</v>
      </c>
      <c r="AN483" s="17">
        <v>0.73835413205886047</v>
      </c>
      <c r="AO483" s="17">
        <v>0.78931774854186154</v>
      </c>
      <c r="AP483" s="17">
        <v>0.35224735307947774</v>
      </c>
      <c r="AQ483" s="17">
        <v>0.89056274867829777</v>
      </c>
      <c r="AR483" s="17">
        <v>-0.63989833962281117</v>
      </c>
      <c r="AS483" s="17">
        <v>-0.80661164174749322</v>
      </c>
      <c r="AT483" s="17">
        <v>0.85735722209665421</v>
      </c>
      <c r="AU483" s="17">
        <v>0.77866520879668433</v>
      </c>
      <c r="AV483" s="17">
        <v>0.9265476787191117</v>
      </c>
      <c r="AW483" s="17">
        <v>-0.76414709914887768</v>
      </c>
      <c r="AX483" s="17">
        <v>0.9068528189622721</v>
      </c>
      <c r="AY483" s="17">
        <v>-0.70714705751846518</v>
      </c>
      <c r="AZ483" s="17">
        <v>0.90276641831796256</v>
      </c>
      <c r="BA483" s="17">
        <v>0.86087001144927999</v>
      </c>
      <c r="BB483" s="17">
        <v>0.80453123311457164</v>
      </c>
      <c r="BC483" s="17">
        <v>0.38539781370395487</v>
      </c>
      <c r="BD483" s="17">
        <v>-0.9364226678209755</v>
      </c>
      <c r="BE483" s="17">
        <v>-0.44868782644686622</v>
      </c>
      <c r="BF483" s="17">
        <v>0.40158479994437823</v>
      </c>
    </row>
    <row r="484" spans="18:58">
      <c r="R484" s="17">
        <v>-0.86216493245391179</v>
      </c>
      <c r="S484" s="17">
        <v>0.86592397083683859</v>
      </c>
      <c r="T484" s="17">
        <v>1.1492407566427856</v>
      </c>
      <c r="U484" s="17">
        <v>0.30971288832147947</v>
      </c>
      <c r="V484" s="17">
        <v>1.322038261257461</v>
      </c>
      <c r="W484" s="17">
        <v>-0.54000870393571332</v>
      </c>
      <c r="X484" s="17">
        <v>-0.93446499101467595</v>
      </c>
      <c r="Y484" s="17">
        <v>1.3623707400649003</v>
      </c>
      <c r="Z484" s="17">
        <v>0.73556995189170193</v>
      </c>
      <c r="AA484" s="17">
        <v>1.6983871669386827</v>
      </c>
      <c r="AB484" s="17">
        <v>-1.2113068807979621</v>
      </c>
      <c r="AC484" s="17">
        <v>1.5906603286575782</v>
      </c>
      <c r="AD484" s="17">
        <v>-0.8593627097567913</v>
      </c>
      <c r="AE484" s="17">
        <v>1.3374666300864129</v>
      </c>
      <c r="AF484" s="17">
        <v>1.6049118769290147</v>
      </c>
      <c r="AG484" s="17">
        <v>1.3481853892245086</v>
      </c>
      <c r="AH484" s="17">
        <v>0.33128292594394448</v>
      </c>
      <c r="AI484" s="17">
        <v>-1.6572512841003593</v>
      </c>
      <c r="AJ484" s="17">
        <v>-0.4315878441673433</v>
      </c>
      <c r="AK484" s="17">
        <v>0.36873422441280679</v>
      </c>
      <c r="AM484" s="17">
        <v>-0.76525272361399754</v>
      </c>
      <c r="AN484" s="17">
        <v>0.70955946519622159</v>
      </c>
      <c r="AO484" s="17">
        <v>0.71254122465592784</v>
      </c>
      <c r="AP484" s="17">
        <v>0.33479756899012081</v>
      </c>
      <c r="AQ484" s="17">
        <v>0.86945701778699869</v>
      </c>
      <c r="AR484" s="17">
        <v>-0.62363410901141381</v>
      </c>
      <c r="AS484" s="17">
        <v>-0.78489649643049708</v>
      </c>
      <c r="AT484" s="17">
        <v>0.82581673008381851</v>
      </c>
      <c r="AU484" s="17">
        <v>0.76397758311473951</v>
      </c>
      <c r="AV484" s="17">
        <v>0.90521645384191218</v>
      </c>
      <c r="AW484" s="17">
        <v>-0.7168221051765199</v>
      </c>
      <c r="AX484" s="17">
        <v>0.88175724612635498</v>
      </c>
      <c r="AY484" s="17">
        <v>-0.67378444152195227</v>
      </c>
      <c r="AZ484" s="17">
        <v>0.88426781336511795</v>
      </c>
      <c r="BA484" s="17">
        <v>0.81947527088089578</v>
      </c>
      <c r="BB484" s="17">
        <v>0.75901574807702088</v>
      </c>
      <c r="BC484" s="17">
        <v>0.36793605343021352</v>
      </c>
      <c r="BD484" s="17">
        <v>-0.91947839903524797</v>
      </c>
      <c r="BE484" s="17">
        <v>-0.42484165952487357</v>
      </c>
      <c r="BF484" s="17">
        <v>0.31532764822047099</v>
      </c>
    </row>
    <row r="485" spans="18:58">
      <c r="R485" s="17">
        <v>-1.4643074708783446</v>
      </c>
      <c r="S485" s="17">
        <v>1.0359333700219733</v>
      </c>
      <c r="T485" s="17">
        <v>0.4503249130137873</v>
      </c>
      <c r="U485" s="17">
        <v>0.47751119115197871</v>
      </c>
      <c r="V485" s="17">
        <v>1.5052132201123889</v>
      </c>
      <c r="W485" s="17">
        <v>-1.2567352733816861</v>
      </c>
      <c r="X485" s="17">
        <v>-1.4659127711484521</v>
      </c>
      <c r="Y485" s="17">
        <v>0.877385815472147</v>
      </c>
      <c r="Z485" s="17">
        <v>1.7463530467411736</v>
      </c>
      <c r="AA485" s="17">
        <v>1.2163845753889837</v>
      </c>
      <c r="AB485" s="17">
        <v>-0.28839333793737798</v>
      </c>
      <c r="AC485" s="17">
        <v>1.0652147513376473</v>
      </c>
      <c r="AD485" s="17">
        <v>-0.81583654438301023</v>
      </c>
      <c r="AE485" s="17">
        <v>1.6894094608623824</v>
      </c>
      <c r="AF485" s="17">
        <v>0.2496334827590041</v>
      </c>
      <c r="AG485" s="17">
        <v>0.29010426800531797</v>
      </c>
      <c r="AH485" s="17">
        <v>0.55723475600471262</v>
      </c>
      <c r="AI485" s="17">
        <v>-1.603629768829455</v>
      </c>
      <c r="AJ485" s="17">
        <v>-0.55690825498325469</v>
      </c>
      <c r="AK485" s="17">
        <v>0.41256201738018505</v>
      </c>
    </row>
    <row r="486" spans="18:58">
      <c r="R486" s="17">
        <v>-0.86216493245391179</v>
      </c>
      <c r="S486" s="17">
        <v>0.86592397083683859</v>
      </c>
      <c r="T486" s="17">
        <v>1.1492407566427856</v>
      </c>
      <c r="U486" s="17">
        <v>0.30971288832147947</v>
      </c>
      <c r="V486" s="17">
        <v>1.322038261257461</v>
      </c>
      <c r="W486" s="17">
        <v>-0.54000870393571332</v>
      </c>
      <c r="X486" s="17">
        <v>-0.93446499101467595</v>
      </c>
      <c r="Y486" s="17">
        <v>1.3623707400649003</v>
      </c>
      <c r="Z486" s="17">
        <v>0.73556995189170193</v>
      </c>
      <c r="AA486" s="17">
        <v>1.6983871669386827</v>
      </c>
      <c r="AB486" s="17">
        <v>-1.2113068807979621</v>
      </c>
      <c r="AC486" s="17">
        <v>1.5906603286575782</v>
      </c>
      <c r="AD486" s="17">
        <v>-0.8593627097567913</v>
      </c>
      <c r="AE486" s="17">
        <v>1.3374666300864129</v>
      </c>
      <c r="AF486" s="17">
        <v>1.6049118769290147</v>
      </c>
      <c r="AG486" s="17">
        <v>1.3481853892245086</v>
      </c>
      <c r="AH486" s="17">
        <v>0.33128292594394448</v>
      </c>
      <c r="AI486" s="17">
        <v>-1.6572512841003593</v>
      </c>
      <c r="AJ486" s="17">
        <v>-0.4315878441673433</v>
      </c>
      <c r="AK486" s="17">
        <v>0.36873422441298942</v>
      </c>
    </row>
    <row r="487" spans="18:58">
      <c r="R487" s="17">
        <v>-0.86216493245391179</v>
      </c>
      <c r="S487" s="17">
        <v>0.86592397083683859</v>
      </c>
      <c r="T487" s="17">
        <v>1.1492407566427856</v>
      </c>
      <c r="U487" s="17">
        <v>0.30971288832147947</v>
      </c>
      <c r="V487" s="17">
        <v>1.322038261257461</v>
      </c>
      <c r="W487" s="17">
        <v>-0.54000870393571332</v>
      </c>
      <c r="X487" s="17">
        <v>-0.93446499101467595</v>
      </c>
      <c r="Y487" s="17">
        <v>1.3623707400649003</v>
      </c>
      <c r="Z487" s="17">
        <v>0.73556995189170193</v>
      </c>
      <c r="AA487" s="17">
        <v>1.6983871669386827</v>
      </c>
      <c r="AB487" s="17">
        <v>-1.2113068807979621</v>
      </c>
      <c r="AC487" s="17">
        <v>1.5906603286575782</v>
      </c>
      <c r="AD487" s="17">
        <v>-0.8593627097567913</v>
      </c>
      <c r="AE487" s="17">
        <v>1.3374666300864129</v>
      </c>
      <c r="AF487" s="17">
        <v>1.6049118769290147</v>
      </c>
      <c r="AG487" s="17">
        <v>1.3481853892245086</v>
      </c>
      <c r="AH487" s="17">
        <v>0.33128292594394448</v>
      </c>
      <c r="AI487" s="17">
        <v>-1.6572512841003593</v>
      </c>
      <c r="AJ487" s="17">
        <v>-0.4315878441673433</v>
      </c>
      <c r="AK487" s="17">
        <v>0.36873422441298942</v>
      </c>
    </row>
    <row r="488" spans="18:58">
      <c r="R488" s="17">
        <v>-0.86216493245391179</v>
      </c>
      <c r="S488" s="17">
        <v>0.86592397083683859</v>
      </c>
      <c r="T488" s="17">
        <v>1.1492407566427856</v>
      </c>
      <c r="U488" s="17">
        <v>0.30971288832147947</v>
      </c>
      <c r="V488" s="17">
        <v>1.322038261257461</v>
      </c>
      <c r="W488" s="17">
        <v>-0.54000870393571332</v>
      </c>
      <c r="X488" s="17">
        <v>-0.93446499101467595</v>
      </c>
      <c r="Y488" s="17">
        <v>1.3623707400649003</v>
      </c>
      <c r="Z488" s="17">
        <v>0.73556995189170193</v>
      </c>
      <c r="AA488" s="17">
        <v>1.6983871669386827</v>
      </c>
      <c r="AB488" s="17">
        <v>-1.2113068807979621</v>
      </c>
      <c r="AC488" s="17">
        <v>1.5906603286575782</v>
      </c>
      <c r="AD488" s="17">
        <v>-0.8593627097567913</v>
      </c>
      <c r="AE488" s="17">
        <v>1.3374666300864129</v>
      </c>
      <c r="AF488" s="17">
        <v>1.6049118769290147</v>
      </c>
      <c r="AG488" s="17">
        <v>1.3481853892245086</v>
      </c>
      <c r="AH488" s="17">
        <v>0.33128292594394448</v>
      </c>
      <c r="AI488" s="17">
        <v>-1.6572512841003593</v>
      </c>
      <c r="AJ488" s="17">
        <v>-0.4315878441673433</v>
      </c>
      <c r="AK488" s="17">
        <v>0.36873422432350123</v>
      </c>
    </row>
  </sheetData>
  <mergeCells count="12">
    <mergeCell ref="O1:P1"/>
    <mergeCell ref="R17:AK17"/>
    <mergeCell ref="R29:AK29"/>
    <mergeCell ref="R33:AK33"/>
    <mergeCell ref="AM17:BF17"/>
    <mergeCell ref="AM29:BF29"/>
    <mergeCell ref="AT4:AU4"/>
    <mergeCell ref="BH17:BI17"/>
    <mergeCell ref="BK17:BL17"/>
    <mergeCell ref="AN7:AO7"/>
    <mergeCell ref="AN6:AO6"/>
    <mergeCell ref="AN5:AO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0AC4-FFFB-394D-AD78-A973F56F23BE}">
  <dimension ref="A1:AP142"/>
  <sheetViews>
    <sheetView tabSelected="1" topLeftCell="B1" zoomScale="47" workbookViewId="0">
      <selection activeCell="Z48" sqref="Z48"/>
    </sheetView>
  </sheetViews>
  <sheetFormatPr baseColWidth="10" defaultRowHeight="16"/>
  <cols>
    <col min="1" max="1" width="11.5" style="3" bestFit="1" customWidth="1"/>
    <col min="2" max="2" width="12.33203125" style="3" bestFit="1" customWidth="1"/>
    <col min="3" max="3" width="14.5" style="3" bestFit="1" customWidth="1"/>
    <col min="4" max="4" width="10.1640625" style="3" bestFit="1" customWidth="1"/>
    <col min="5" max="5" width="17.5" style="3" bestFit="1" customWidth="1"/>
    <col min="6" max="6" width="14.33203125" style="3" bestFit="1" customWidth="1"/>
    <col min="7" max="7" width="19.33203125" style="3" bestFit="1" customWidth="1"/>
    <col min="8" max="8" width="11.5" style="3" bestFit="1" customWidth="1"/>
    <col min="9" max="9" width="10.1640625" style="3" bestFit="1" customWidth="1"/>
    <col min="10" max="10" width="19.33203125" style="3" bestFit="1" customWidth="1"/>
    <col min="13" max="13" width="15" style="3" customWidth="1"/>
    <col min="15" max="16" width="10.83203125" style="2"/>
    <col min="19" max="19" width="20.1640625" customWidth="1"/>
    <col min="20" max="20" width="13.5" customWidth="1"/>
    <col min="42" max="42" width="14.83203125" customWidth="1"/>
  </cols>
  <sheetData>
    <row r="1" spans="1:40">
      <c r="A1" s="13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M1" s="13" t="s">
        <v>0</v>
      </c>
      <c r="N1" s="4"/>
      <c r="O1" s="15" t="s">
        <v>18</v>
      </c>
      <c r="P1" s="10"/>
      <c r="W1" s="10" t="s">
        <v>27</v>
      </c>
      <c r="X1" s="10"/>
    </row>
    <row r="2" spans="1:40">
      <c r="A2" s="14">
        <v>13.38</v>
      </c>
      <c r="B2" s="14">
        <v>30.72</v>
      </c>
      <c r="C2" s="14">
        <v>86.34</v>
      </c>
      <c r="D2" s="14">
        <v>557.20000000000005</v>
      </c>
      <c r="E2" s="14">
        <v>7.4260000000000007E-2</v>
      </c>
      <c r="F2" s="14">
        <v>2.819E-2</v>
      </c>
      <c r="G2" s="14">
        <v>3.2640000000000002E-2</v>
      </c>
      <c r="H2" s="14">
        <v>15.05</v>
      </c>
      <c r="I2" s="14">
        <v>705.6</v>
      </c>
      <c r="J2" s="14">
        <v>7.7630000000000005E-2</v>
      </c>
      <c r="M2" s="16">
        <v>0</v>
      </c>
      <c r="O2" s="12">
        <f>IF(M2=0,1,0)</f>
        <v>1</v>
      </c>
      <c r="P2" s="12">
        <f>IF(M2=1,1,0)</f>
        <v>0</v>
      </c>
      <c r="S2" s="7" t="s">
        <v>17</v>
      </c>
      <c r="T2" s="7" cm="1">
        <f t="array" ref="T2">SUMPRODUCT(--(AP29:AP142=M2:M115))/114*100</f>
        <v>95.614035087719301</v>
      </c>
      <c r="W2" s="12" cm="1">
        <f t="array" ref="W2">SUMPRODUCT(--(M2:M115=1),--(AP29:AP142=1))</f>
        <v>24</v>
      </c>
      <c r="X2" s="12" cm="1">
        <f t="array" ref="X2">SUMPRODUCT(--(M2:M115=1),--(AP29:AP142=0))</f>
        <v>2</v>
      </c>
      <c r="Z2" s="7" t="s">
        <v>28</v>
      </c>
      <c r="AA2" s="7">
        <f>W2/(W2+W3)*100</f>
        <v>88.888888888888886</v>
      </c>
      <c r="AC2" s="7" t="s">
        <v>31</v>
      </c>
      <c r="AD2" s="8">
        <f>2*((AA2*AA3)/(AA2+AA3))</f>
        <v>90.566037735849065</v>
      </c>
    </row>
    <row r="3" spans="1:40">
      <c r="A3" s="14">
        <v>11.63</v>
      </c>
      <c r="B3" s="14">
        <v>29.29</v>
      </c>
      <c r="C3" s="14">
        <v>74.87</v>
      </c>
      <c r="D3" s="14">
        <v>415.1</v>
      </c>
      <c r="E3" s="14">
        <v>8.5739999999999997E-2</v>
      </c>
      <c r="F3" s="14">
        <v>7.1599999999999997E-2</v>
      </c>
      <c r="G3" s="14">
        <v>2.017E-2</v>
      </c>
      <c r="H3" s="14">
        <v>13.12</v>
      </c>
      <c r="I3" s="14">
        <v>527.79999999999995</v>
      </c>
      <c r="J3" s="14">
        <v>6.8349999999999994E-2</v>
      </c>
      <c r="M3" s="16">
        <v>0</v>
      </c>
      <c r="O3" s="12">
        <f t="shared" ref="O3:O66" si="0">IF(M3=0,1,0)</f>
        <v>1</v>
      </c>
      <c r="P3" s="12">
        <f t="shared" ref="P3:P66" si="1">IF(M3=1,1,0)</f>
        <v>0</v>
      </c>
      <c r="S3" s="7" t="s">
        <v>26</v>
      </c>
      <c r="T3" s="7" cm="1">
        <f t="array" ref="T3">SUMPRODUCT(--(AP29:AP142=M2:M115))</f>
        <v>109</v>
      </c>
      <c r="U3" s="4">
        <v>114</v>
      </c>
      <c r="W3" s="12" cm="1">
        <f t="array" ref="W3">SUMPRODUCT(--(M2:M115=0),--(AP29:AP142=1))</f>
        <v>3</v>
      </c>
      <c r="X3" s="12" cm="1">
        <f t="array" ref="X3">SUMPRODUCT(--(M2:M115=0),--(AP29:AP142=0))</f>
        <v>85</v>
      </c>
      <c r="Z3" s="7" t="s">
        <v>29</v>
      </c>
      <c r="AA3" s="7">
        <f>W2/(W2+X2)*100</f>
        <v>92.307692307692307</v>
      </c>
    </row>
    <row r="4" spans="1:40">
      <c r="A4" s="14">
        <v>13.21</v>
      </c>
      <c r="B4" s="14">
        <v>25.25</v>
      </c>
      <c r="C4" s="14">
        <v>84.1</v>
      </c>
      <c r="D4" s="14">
        <v>537.9</v>
      </c>
      <c r="E4" s="14">
        <v>5.2049999999999999E-2</v>
      </c>
      <c r="F4" s="14">
        <v>2.7720000000000002E-2</v>
      </c>
      <c r="G4" s="14">
        <v>2.068E-2</v>
      </c>
      <c r="H4" s="14">
        <v>14.35</v>
      </c>
      <c r="I4" s="14">
        <v>632.9</v>
      </c>
      <c r="J4" s="14">
        <v>6.0049999999999999E-2</v>
      </c>
      <c r="M4" s="16">
        <v>0</v>
      </c>
      <c r="O4" s="12">
        <f t="shared" si="0"/>
        <v>1</v>
      </c>
      <c r="P4" s="12">
        <f t="shared" si="1"/>
        <v>0</v>
      </c>
    </row>
    <row r="5" spans="1:40">
      <c r="A5" s="14">
        <v>13</v>
      </c>
      <c r="B5" s="14">
        <v>25.13</v>
      </c>
      <c r="C5" s="14">
        <v>82.61</v>
      </c>
      <c r="D5" s="14">
        <v>520.20000000000005</v>
      </c>
      <c r="E5" s="14">
        <v>5.0729999999999997E-2</v>
      </c>
      <c r="F5" s="14">
        <v>1.206E-2</v>
      </c>
      <c r="G5" s="14">
        <v>1.762E-2</v>
      </c>
      <c r="H5" s="14">
        <v>14.34</v>
      </c>
      <c r="I5" s="14">
        <v>628.5</v>
      </c>
      <c r="J5" s="14">
        <v>5.9209999999999999E-2</v>
      </c>
      <c r="M5" s="16">
        <v>0</v>
      </c>
      <c r="O5" s="12">
        <f t="shared" si="0"/>
        <v>1</v>
      </c>
      <c r="P5" s="12">
        <f t="shared" si="1"/>
        <v>0</v>
      </c>
      <c r="R5" s="15" t="s">
        <v>19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M5" s="15" t="s">
        <v>14</v>
      </c>
      <c r="AN5" s="15"/>
    </row>
    <row r="6" spans="1:40">
      <c r="A6" s="14">
        <v>9.7550000000000008</v>
      </c>
      <c r="B6" s="14">
        <v>28.2</v>
      </c>
      <c r="C6" s="14">
        <v>61.68</v>
      </c>
      <c r="D6" s="14">
        <v>290.89999999999998</v>
      </c>
      <c r="E6" s="14">
        <v>4.6260000000000003E-2</v>
      </c>
      <c r="F6" s="14">
        <v>1.541E-2</v>
      </c>
      <c r="G6" s="14">
        <v>1.043E-2</v>
      </c>
      <c r="H6" s="14">
        <v>10.67</v>
      </c>
      <c r="I6" s="14">
        <v>349.9</v>
      </c>
      <c r="J6" s="14">
        <v>4.8660000000000002E-2</v>
      </c>
      <c r="M6" s="16">
        <v>0</v>
      </c>
      <c r="O6" s="12">
        <f t="shared" si="0"/>
        <v>1</v>
      </c>
      <c r="P6" s="12">
        <f t="shared" si="1"/>
        <v>0</v>
      </c>
      <c r="R6" s="17">
        <v>5.17354318034004E-2</v>
      </c>
      <c r="S6" s="17">
        <v>0.20162221210823936</v>
      </c>
      <c r="T6" s="17">
        <v>0.72990153369037669</v>
      </c>
      <c r="U6" s="17">
        <v>9.7084078186281779E-3</v>
      </c>
      <c r="V6" s="17">
        <v>0.35237730420622415</v>
      </c>
      <c r="W6" s="17">
        <v>0.23047231708290247</v>
      </c>
      <c r="X6" s="17">
        <v>-1.4612853170787232E-2</v>
      </c>
      <c r="Y6" s="17">
        <v>0.75610717156445972</v>
      </c>
      <c r="Z6" s="17">
        <v>-0.33405831932638963</v>
      </c>
      <c r="AA6" s="17">
        <v>0.87108511105317021</v>
      </c>
      <c r="AB6" s="17">
        <v>-0.95906644205403624</v>
      </c>
      <c r="AC6" s="17">
        <v>0.85900465776934165</v>
      </c>
      <c r="AD6" s="17">
        <v>-0.32389280620303579</v>
      </c>
      <c r="AE6" s="17">
        <v>0.25929857682285479</v>
      </c>
      <c r="AF6" s="17">
        <v>1.3479747256189285</v>
      </c>
      <c r="AG6" s="17">
        <v>1.0854517685534664</v>
      </c>
      <c r="AH6" s="17">
        <v>-1.6718527656268821E-2</v>
      </c>
      <c r="AI6" s="17">
        <v>-0.60693286088610399</v>
      </c>
      <c r="AJ6" s="17">
        <v>-7.6818693111383618E-2</v>
      </c>
      <c r="AK6" s="17">
        <v>-1.1188237739478066</v>
      </c>
      <c r="AM6" s="17">
        <v>12296.714872992472</v>
      </c>
      <c r="AN6" s="17">
        <v>-12348.626812119226</v>
      </c>
    </row>
    <row r="7" spans="1:40">
      <c r="A7" s="14">
        <v>17.079999999999998</v>
      </c>
      <c r="B7" s="14">
        <v>27.15</v>
      </c>
      <c r="C7" s="14">
        <v>111.2</v>
      </c>
      <c r="D7" s="14">
        <v>930.9</v>
      </c>
      <c r="E7" s="14">
        <v>0.111</v>
      </c>
      <c r="F7" s="14">
        <v>0.1007</v>
      </c>
      <c r="G7" s="14">
        <v>6.4310000000000006E-2</v>
      </c>
      <c r="H7" s="14">
        <v>22.96</v>
      </c>
      <c r="I7" s="14">
        <v>1648</v>
      </c>
      <c r="J7" s="14">
        <v>0.1555</v>
      </c>
      <c r="M7" s="16">
        <v>1</v>
      </c>
      <c r="O7" s="12">
        <f t="shared" si="0"/>
        <v>0</v>
      </c>
      <c r="P7" s="12">
        <f t="shared" si="1"/>
        <v>1</v>
      </c>
      <c r="R7" s="17">
        <v>-1.2589530907535102E-2</v>
      </c>
      <c r="S7" s="17">
        <v>5.3027801752034221E-3</v>
      </c>
      <c r="T7" s="17">
        <v>-3.9461936251441003E-3</v>
      </c>
      <c r="U7" s="17">
        <v>3.7033662348971699E-3</v>
      </c>
      <c r="V7" s="17">
        <v>6.8060648818079389E-3</v>
      </c>
      <c r="W7" s="17">
        <v>-1.3619727550780301E-2</v>
      </c>
      <c r="X7" s="17">
        <v>-1.1598778032674216E-2</v>
      </c>
      <c r="Y7" s="17">
        <v>-4.3636877350393078E-3</v>
      </c>
      <c r="Z7" s="17">
        <v>1.9134593928461705E-2</v>
      </c>
      <c r="AA7" s="17">
        <v>-3.3696497981378372E-3</v>
      </c>
      <c r="AB7" s="17">
        <v>1.2183113180518162E-2</v>
      </c>
      <c r="AC7" s="17">
        <v>-4.4058014614482589E-3</v>
      </c>
      <c r="AD7" s="17">
        <v>-1.6784398832203717E-3</v>
      </c>
      <c r="AE7" s="17">
        <v>9.6993286447363981E-3</v>
      </c>
      <c r="AF7" s="17">
        <v>-1.8378924555962545E-2</v>
      </c>
      <c r="AG7" s="17">
        <v>-1.4081236394433807E-2</v>
      </c>
      <c r="AH7" s="17">
        <v>4.745965860411718E-3</v>
      </c>
      <c r="AI7" s="17">
        <v>-3.7487709530426971E-3</v>
      </c>
      <c r="AJ7" s="17">
        <v>-3.3283307071157761E-3</v>
      </c>
      <c r="AK7" s="17">
        <v>2.6751968875506197E-3</v>
      </c>
      <c r="AM7" s="17">
        <v>-1157.0742044464007</v>
      </c>
      <c r="AN7" s="17">
        <v>1198.1741977951328</v>
      </c>
    </row>
    <row r="8" spans="1:40">
      <c r="A8" s="14">
        <v>27.42</v>
      </c>
      <c r="B8" s="14">
        <v>26.27</v>
      </c>
      <c r="C8" s="14">
        <v>186.9</v>
      </c>
      <c r="D8" s="14">
        <v>2501</v>
      </c>
      <c r="E8" s="14">
        <v>0.1988</v>
      </c>
      <c r="F8" s="14">
        <v>0.36349999999999999</v>
      </c>
      <c r="G8" s="14">
        <v>0.16889999999999999</v>
      </c>
      <c r="H8" s="14">
        <v>36.04</v>
      </c>
      <c r="I8" s="14">
        <v>4254</v>
      </c>
      <c r="J8" s="14">
        <v>0.26250000000000001</v>
      </c>
      <c r="M8" s="16">
        <v>1</v>
      </c>
      <c r="O8" s="12">
        <f t="shared" si="0"/>
        <v>0</v>
      </c>
      <c r="P8" s="12">
        <f t="shared" si="1"/>
        <v>1</v>
      </c>
      <c r="R8" s="17">
        <v>8.893720285154668E-3</v>
      </c>
      <c r="S8" s="17">
        <v>-2.2955235991130044E-2</v>
      </c>
      <c r="T8" s="17">
        <v>-6.8269163411022543E-2</v>
      </c>
      <c r="U8" s="17">
        <v>-4.7594303771731272E-3</v>
      </c>
      <c r="V8" s="17">
        <v>-3.7510329650646199E-2</v>
      </c>
      <c r="W8" s="17">
        <v>-5.3823602983527246E-3</v>
      </c>
      <c r="X8" s="17">
        <v>1.3548398853804223E-2</v>
      </c>
      <c r="Y8" s="17">
        <v>-6.0385820614945164E-2</v>
      </c>
      <c r="Z8" s="17">
        <v>8.4442499800120811E-3</v>
      </c>
      <c r="AA8" s="17">
        <v>-7.1325102710873473E-2</v>
      </c>
      <c r="AB8" s="17">
        <v>6.9549560000662716E-2</v>
      </c>
      <c r="AC8" s="17">
        <v>-6.9188344467944127E-2</v>
      </c>
      <c r="AD8" s="17">
        <v>2.9627145894914008E-2</v>
      </c>
      <c r="AE8" s="17">
        <v>-3.2573575089316201E-2</v>
      </c>
      <c r="AF8" s="17">
        <v>-9.6421897046868293E-2</v>
      </c>
      <c r="AG8" s="17">
        <v>-7.8404640581074894E-2</v>
      </c>
      <c r="AH8" s="17">
        <v>-3.5921459382994509E-3</v>
      </c>
      <c r="AI8" s="17">
        <v>5.6157073492086353E-2</v>
      </c>
      <c r="AJ8" s="17">
        <v>1.0132141781319678E-2</v>
      </c>
      <c r="AK8" s="17">
        <v>0.23483408793381236</v>
      </c>
      <c r="AM8" s="17">
        <v>7.2988535668143076E-2</v>
      </c>
      <c r="AN8" s="17">
        <v>-7.2961124383050829E-2</v>
      </c>
    </row>
    <row r="9" spans="1:40">
      <c r="A9" s="14">
        <v>14.4</v>
      </c>
      <c r="B9" s="14">
        <v>26.99</v>
      </c>
      <c r="C9" s="14">
        <v>92.25</v>
      </c>
      <c r="D9" s="14">
        <v>646.1</v>
      </c>
      <c r="E9" s="14">
        <v>5.2229999999999999E-2</v>
      </c>
      <c r="F9" s="14">
        <v>3.4759999999999999E-2</v>
      </c>
      <c r="G9" s="14">
        <v>1.737E-2</v>
      </c>
      <c r="H9" s="14">
        <v>15.4</v>
      </c>
      <c r="I9" s="14">
        <v>734.6</v>
      </c>
      <c r="J9" s="14">
        <v>5.5629999999999999E-2</v>
      </c>
      <c r="M9" s="16">
        <v>0</v>
      </c>
      <c r="O9" s="12">
        <f t="shared" si="0"/>
        <v>1</v>
      </c>
      <c r="P9" s="12">
        <f t="shared" si="1"/>
        <v>0</v>
      </c>
      <c r="R9" s="17">
        <v>-6.1388470620260223E-4</v>
      </c>
      <c r="S9" s="17">
        <v>-5.809725012677605E-4</v>
      </c>
      <c r="T9" s="17">
        <v>-4.1944458113462414E-4</v>
      </c>
      <c r="U9" s="17">
        <v>8.6910889840445516E-5</v>
      </c>
      <c r="V9" s="17">
        <v>-1.0973924426400472E-3</v>
      </c>
      <c r="W9" s="17">
        <v>-1.319868323595092E-3</v>
      </c>
      <c r="X9" s="17">
        <v>-3.3154972440532164E-4</v>
      </c>
      <c r="Y9" s="17">
        <v>-2.9866975905102205E-3</v>
      </c>
      <c r="Z9" s="17">
        <v>1.8928752007412563E-3</v>
      </c>
      <c r="AA9" s="17">
        <v>-3.3856416761921197E-3</v>
      </c>
      <c r="AB9" s="17">
        <v>4.0099158515082894E-3</v>
      </c>
      <c r="AC9" s="17">
        <v>-3.3747694345949383E-3</v>
      </c>
      <c r="AD9" s="17">
        <v>1.1612016126141028E-3</v>
      </c>
      <c r="AE9" s="17">
        <v>-6.512195457156339E-4</v>
      </c>
      <c r="AF9" s="17">
        <v>-5.6777966547694701E-3</v>
      </c>
      <c r="AG9" s="17">
        <v>-4.5480911561980343E-3</v>
      </c>
      <c r="AH9" s="17">
        <v>2.2095673235637486E-4</v>
      </c>
      <c r="AI9" s="17">
        <v>2.1558290673391648E-3</v>
      </c>
      <c r="AJ9" s="17">
        <v>1.7777233262009459E-4</v>
      </c>
      <c r="AK9" s="17">
        <v>-5.0603700552483285E-4</v>
      </c>
      <c r="AM9" s="17">
        <v>-5759.5473521405293</v>
      </c>
      <c r="AN9" s="17">
        <v>5781.6931805679005</v>
      </c>
    </row>
    <row r="10" spans="1:40">
      <c r="A10" s="14">
        <v>11.6</v>
      </c>
      <c r="B10" s="14">
        <v>18.36</v>
      </c>
      <c r="C10" s="14">
        <v>73.88</v>
      </c>
      <c r="D10" s="14">
        <v>412.7</v>
      </c>
      <c r="E10" s="14">
        <v>5.8549999999999998E-2</v>
      </c>
      <c r="F10" s="14">
        <v>3.3669999999999999E-2</v>
      </c>
      <c r="G10" s="14">
        <v>1.7770000000000001E-2</v>
      </c>
      <c r="H10" s="14">
        <v>12.77</v>
      </c>
      <c r="I10" s="14">
        <v>495.1</v>
      </c>
      <c r="J10" s="14">
        <v>8.2879999999999995E-2</v>
      </c>
      <c r="M10" s="16">
        <v>0</v>
      </c>
      <c r="O10" s="12">
        <f t="shared" si="0"/>
        <v>1</v>
      </c>
      <c r="P10" s="12">
        <f t="shared" si="1"/>
        <v>0</v>
      </c>
      <c r="R10" s="17">
        <v>0.49594328814740507</v>
      </c>
      <c r="S10" s="17">
        <v>0.61265909014339925</v>
      </c>
      <c r="T10" s="17">
        <v>3.4980898450152069</v>
      </c>
      <c r="U10" s="17">
        <v>-5.4224280871328551E-2</v>
      </c>
      <c r="V10" s="17">
        <v>1.1305246830505125</v>
      </c>
      <c r="W10" s="17">
        <v>1.178223432334367</v>
      </c>
      <c r="X10" s="17">
        <v>0.22790491031822041</v>
      </c>
      <c r="Y10" s="17">
        <v>2.8863740351165892</v>
      </c>
      <c r="Z10" s="17">
        <v>-1.6930492958847514</v>
      </c>
      <c r="AA10" s="17">
        <v>3.2850426147350271</v>
      </c>
      <c r="AB10" s="17">
        <v>-3.8225819985850213</v>
      </c>
      <c r="AC10" s="17">
        <v>3.2657791791082293</v>
      </c>
      <c r="AD10" s="17">
        <v>-1.1502877972394931</v>
      </c>
      <c r="AE10" s="17">
        <v>0.71799448144388633</v>
      </c>
      <c r="AF10" s="17">
        <v>5.4031515192720088</v>
      </c>
      <c r="AG10" s="17">
        <v>4.3334258781563673</v>
      </c>
      <c r="AH10" s="17">
        <v>-0.17671974274915331</v>
      </c>
      <c r="AI10" s="17">
        <v>-2.140832853378388</v>
      </c>
      <c r="AJ10" s="17">
        <v>-0.20166539345478068</v>
      </c>
      <c r="AK10" s="17">
        <v>-9.1794951040590824</v>
      </c>
      <c r="AM10" s="17">
        <v>-4869.3773662008552</v>
      </c>
      <c r="AN10" s="17">
        <v>4818.7692620628077</v>
      </c>
    </row>
    <row r="11" spans="1:40">
      <c r="A11" s="14">
        <v>13.17</v>
      </c>
      <c r="B11" s="14">
        <v>18.22</v>
      </c>
      <c r="C11" s="14">
        <v>84.28</v>
      </c>
      <c r="D11" s="14">
        <v>537.29999999999995</v>
      </c>
      <c r="E11" s="14">
        <v>5.994E-2</v>
      </c>
      <c r="F11" s="14">
        <v>4.8590000000000001E-2</v>
      </c>
      <c r="G11" s="14">
        <v>2.87E-2</v>
      </c>
      <c r="H11" s="14">
        <v>14.9</v>
      </c>
      <c r="I11" s="14">
        <v>687.6</v>
      </c>
      <c r="J11" s="14">
        <v>0.1045</v>
      </c>
      <c r="M11" s="16">
        <v>0</v>
      </c>
      <c r="O11" s="12">
        <f t="shared" si="0"/>
        <v>1</v>
      </c>
      <c r="P11" s="12">
        <f t="shared" si="1"/>
        <v>0</v>
      </c>
      <c r="R11" s="17">
        <v>-0.18559059007459122</v>
      </c>
      <c r="S11" s="17">
        <v>0.33400804915992899</v>
      </c>
      <c r="T11" s="17">
        <v>0.22713137064735994</v>
      </c>
      <c r="U11" s="17">
        <v>8.3138318509405826E-2</v>
      </c>
      <c r="V11" s="17">
        <v>0.53587645650843041</v>
      </c>
      <c r="W11" s="17">
        <v>-9.4926028460436043E-4</v>
      </c>
      <c r="X11" s="17">
        <v>-0.24230004293505031</v>
      </c>
      <c r="Y11" s="17">
        <v>0.78097442173238918</v>
      </c>
      <c r="Z11" s="17">
        <v>-1.0419608606878853E-2</v>
      </c>
      <c r="AA11" s="17">
        <v>0.93196998510341011</v>
      </c>
      <c r="AB11" s="17">
        <v>-0.86132030295121442</v>
      </c>
      <c r="AC11" s="17">
        <v>0.8979858660636314</v>
      </c>
      <c r="AD11" s="17">
        <v>-0.40353899169997398</v>
      </c>
      <c r="AE11" s="17">
        <v>0.48555627555461506</v>
      </c>
      <c r="AF11" s="17">
        <v>1.1861761158374149</v>
      </c>
      <c r="AG11" s="17">
        <v>0.96913362480414711</v>
      </c>
      <c r="AH11" s="17">
        <v>7.3152073627958447E-2</v>
      </c>
      <c r="AI11" s="17">
        <v>-0.76791776956080371</v>
      </c>
      <c r="AJ11" s="17">
        <v>-0.15269448100822339</v>
      </c>
      <c r="AK11" s="17">
        <v>-3.6340400147268346</v>
      </c>
      <c r="AM11" s="17">
        <v>-691.35579212075959</v>
      </c>
      <c r="AN11" s="17">
        <v>691.89243834917386</v>
      </c>
    </row>
    <row r="12" spans="1:40">
      <c r="A12" s="14">
        <v>13.24</v>
      </c>
      <c r="B12" s="14">
        <v>20.13</v>
      </c>
      <c r="C12" s="14">
        <v>86.87</v>
      </c>
      <c r="D12" s="14">
        <v>542.9</v>
      </c>
      <c r="E12" s="14">
        <v>0.12230000000000001</v>
      </c>
      <c r="F12" s="14">
        <v>0.10100000000000001</v>
      </c>
      <c r="G12" s="14">
        <v>2.8330000000000001E-2</v>
      </c>
      <c r="H12" s="14">
        <v>15.44</v>
      </c>
      <c r="I12" s="14">
        <v>733.5</v>
      </c>
      <c r="J12" s="14">
        <v>0.13569999999999999</v>
      </c>
      <c r="M12" s="16">
        <v>0</v>
      </c>
      <c r="O12" s="12">
        <f t="shared" si="0"/>
        <v>1</v>
      </c>
      <c r="P12" s="12">
        <f t="shared" si="1"/>
        <v>0</v>
      </c>
      <c r="R12" s="17">
        <v>-2.1489528324807834</v>
      </c>
      <c r="S12" s="17">
        <v>0.49709744327710143</v>
      </c>
      <c r="T12" s="17">
        <v>-2.5762109629975587</v>
      </c>
      <c r="U12" s="17">
        <v>0.58661310463694905</v>
      </c>
      <c r="V12" s="17">
        <v>0.46706894955314382</v>
      </c>
      <c r="W12" s="17">
        <v>-2.6435224742999202</v>
      </c>
      <c r="X12" s="17">
        <v>-1.8660920389615996</v>
      </c>
      <c r="Y12" s="17">
        <v>-2.093093112672475</v>
      </c>
      <c r="Z12" s="17">
        <v>3.7326772224547207</v>
      </c>
      <c r="AA12" s="17">
        <v>-2.1408794200099286</v>
      </c>
      <c r="AB12" s="17">
        <v>3.7398245545358351</v>
      </c>
      <c r="AC12" s="17">
        <v>-2.2879026259832855</v>
      </c>
      <c r="AD12" s="17">
        <v>0.31767254979860304</v>
      </c>
      <c r="AE12" s="17">
        <v>1.1092185388995575</v>
      </c>
      <c r="AF12" s="17">
        <v>-5.4612280967342484</v>
      </c>
      <c r="AG12" s="17">
        <v>-4.280411943106901</v>
      </c>
      <c r="AH12" s="17">
        <v>0.80502033999431077</v>
      </c>
      <c r="AI12" s="17">
        <v>0.49677766523641703</v>
      </c>
      <c r="AJ12" s="17">
        <v>-0.40283825372569287</v>
      </c>
      <c r="AK12" s="17">
        <v>1.8884437825825604</v>
      </c>
      <c r="AM12" s="17">
        <v>-13538.07557657174</v>
      </c>
      <c r="AN12" s="17">
        <v>13610.190225161656</v>
      </c>
    </row>
    <row r="13" spans="1:40">
      <c r="A13" s="14">
        <v>13.14</v>
      </c>
      <c r="B13" s="14">
        <v>20.74</v>
      </c>
      <c r="C13" s="14">
        <v>85.98</v>
      </c>
      <c r="D13" s="14">
        <v>536.9</v>
      </c>
      <c r="E13" s="14">
        <v>0.1089</v>
      </c>
      <c r="F13" s="14">
        <v>0.1085</v>
      </c>
      <c r="G13" s="14">
        <v>3.5099999999999999E-2</v>
      </c>
      <c r="H13" s="14">
        <v>14.8</v>
      </c>
      <c r="I13" s="14">
        <v>689.1</v>
      </c>
      <c r="J13" s="14">
        <v>0.1181</v>
      </c>
      <c r="M13" s="16">
        <v>0</v>
      </c>
      <c r="O13" s="12">
        <f t="shared" si="0"/>
        <v>1</v>
      </c>
      <c r="P13" s="12">
        <f t="shared" si="1"/>
        <v>0</v>
      </c>
      <c r="R13" s="17">
        <v>-0.16097611947025228</v>
      </c>
      <c r="S13" s="17">
        <v>3.1159152947214188E-2</v>
      </c>
      <c r="T13" s="17">
        <v>-0.14846187254639689</v>
      </c>
      <c r="U13" s="17">
        <v>4.3264518565078777E-2</v>
      </c>
      <c r="V13" s="17">
        <v>2.4640388044616268E-2</v>
      </c>
      <c r="W13" s="17">
        <v>-0.20277125436736029</v>
      </c>
      <c r="X13" s="17">
        <v>-0.13809302834851675</v>
      </c>
      <c r="Y13" s="17">
        <v>-0.17687378691587427</v>
      </c>
      <c r="Z13" s="17">
        <v>0.28656037236011112</v>
      </c>
      <c r="AA13" s="17">
        <v>-0.18369252343441583</v>
      </c>
      <c r="AB13" s="17">
        <v>0.30487628316044707</v>
      </c>
      <c r="AC13" s="17">
        <v>-0.19426141227152163</v>
      </c>
      <c r="AD13" s="17">
        <v>3.2795719062342688E-2</v>
      </c>
      <c r="AE13" s="17">
        <v>7.4951987502630699E-2</v>
      </c>
      <c r="AF13" s="17">
        <v>-0.4437126604509446</v>
      </c>
      <c r="AG13" s="17">
        <v>-0.34859730959383256</v>
      </c>
      <c r="AH13" s="17">
        <v>6.0227594234933325E-2</v>
      </c>
      <c r="AI13" s="17">
        <v>5.4143888486714802E-2</v>
      </c>
      <c r="AJ13" s="17">
        <v>-2.7714300892396355E-2</v>
      </c>
      <c r="AK13" s="17">
        <v>-0.29142403583084814</v>
      </c>
      <c r="AM13" s="17">
        <v>395.75881005550161</v>
      </c>
      <c r="AN13" s="17">
        <v>-388.58503980277749</v>
      </c>
    </row>
    <row r="14" spans="1:40">
      <c r="A14" s="14">
        <v>9.6679999999999993</v>
      </c>
      <c r="B14" s="14">
        <v>18.100000000000001</v>
      </c>
      <c r="C14" s="14">
        <v>61.06</v>
      </c>
      <c r="D14" s="14">
        <v>286.3</v>
      </c>
      <c r="E14" s="14">
        <v>5.4280000000000002E-2</v>
      </c>
      <c r="F14" s="14">
        <v>1.4789999999999999E-2</v>
      </c>
      <c r="G14" s="14">
        <v>5.7689999999999998E-3</v>
      </c>
      <c r="H14" s="14">
        <v>11.15</v>
      </c>
      <c r="I14" s="14">
        <v>380.2</v>
      </c>
      <c r="J14" s="14">
        <v>2.5000000000000001E-2</v>
      </c>
      <c r="M14" s="16">
        <v>0</v>
      </c>
      <c r="O14" s="12">
        <f t="shared" si="0"/>
        <v>1</v>
      </c>
      <c r="P14" s="12">
        <f t="shared" si="1"/>
        <v>0</v>
      </c>
      <c r="R14" s="17">
        <v>9.1833283668563549E-4</v>
      </c>
      <c r="S14" s="17">
        <v>-1.4748554266396483E-4</v>
      </c>
      <c r="T14" s="17">
        <v>-5.1032744123076772E-4</v>
      </c>
      <c r="U14" s="17">
        <v>-2.4343704029023149E-4</v>
      </c>
      <c r="V14" s="17">
        <v>-8.9034506057052723E-5</v>
      </c>
      <c r="W14" s="17">
        <v>1.1804083602002112E-3</v>
      </c>
      <c r="X14" s="17">
        <v>7.7935196313646442E-4</v>
      </c>
      <c r="Y14" s="17">
        <v>1.1090414145328974E-3</v>
      </c>
      <c r="Z14" s="17">
        <v>-1.669370929770342E-3</v>
      </c>
      <c r="AA14" s="17">
        <v>1.1640727053446086E-3</v>
      </c>
      <c r="AB14" s="17">
        <v>-1.8624124582178746E-3</v>
      </c>
      <c r="AC14" s="17">
        <v>1.2221521522788915E-3</v>
      </c>
      <c r="AD14" s="17">
        <v>-2.3191128906938666E-4</v>
      </c>
      <c r="AE14" s="17">
        <v>-3.8705133619461085E-4</v>
      </c>
      <c r="AF14" s="17">
        <v>2.7036867637012904E-3</v>
      </c>
      <c r="AG14" s="17">
        <v>2.1278983585801946E-3</v>
      </c>
      <c r="AH14" s="17">
        <v>-3.4320770329989499E-4</v>
      </c>
      <c r="AI14" s="17">
        <v>-3.9319988933514578E-4</v>
      </c>
      <c r="AJ14" s="17">
        <v>1.4584250640715959E-4</v>
      </c>
      <c r="AK14" s="17">
        <v>1.7892160191506124E-4</v>
      </c>
      <c r="AM14" s="17">
        <v>585.87381699260732</v>
      </c>
      <c r="AN14" s="17">
        <v>-587.71886013950916</v>
      </c>
    </row>
    <row r="15" spans="1:40">
      <c r="A15" s="14">
        <v>17.600000000000001</v>
      </c>
      <c r="B15" s="14">
        <v>23.33</v>
      </c>
      <c r="C15" s="14">
        <v>119</v>
      </c>
      <c r="D15" s="14">
        <v>980.5</v>
      </c>
      <c r="E15" s="14">
        <v>0.20039999999999999</v>
      </c>
      <c r="F15" s="14">
        <v>0.21360000000000001</v>
      </c>
      <c r="G15" s="14">
        <v>0.1002</v>
      </c>
      <c r="H15" s="14">
        <v>21.57</v>
      </c>
      <c r="I15" s="14">
        <v>1437</v>
      </c>
      <c r="J15" s="14">
        <v>0.1996</v>
      </c>
      <c r="M15" s="16">
        <v>1</v>
      </c>
      <c r="O15" s="12">
        <f t="shared" si="0"/>
        <v>0</v>
      </c>
      <c r="P15" s="12">
        <f t="shared" si="1"/>
        <v>1</v>
      </c>
      <c r="R15" s="17">
        <v>-1.077613042929628</v>
      </c>
      <c r="S15" s="17">
        <v>-0.20266713721702856</v>
      </c>
      <c r="T15" s="17">
        <v>-2.3009303673928714</v>
      </c>
      <c r="U15" s="17">
        <v>0.24373808416070139</v>
      </c>
      <c r="V15" s="17">
        <v>-0.53518318477604521</v>
      </c>
      <c r="W15" s="17">
        <v>-1.6786213543965662</v>
      </c>
      <c r="X15" s="17">
        <v>-0.80979033672297096</v>
      </c>
      <c r="Y15" s="17">
        <v>-2.5428504044327807</v>
      </c>
      <c r="Z15" s="17">
        <v>2.3884874125816853</v>
      </c>
      <c r="AA15" s="17">
        <v>-2.8076646376614578</v>
      </c>
      <c r="AB15" s="17">
        <v>3.7141825793525256</v>
      </c>
      <c r="AC15" s="17">
        <v>-2.848339976916149</v>
      </c>
      <c r="AD15" s="17">
        <v>0.82845295566082477</v>
      </c>
      <c r="AE15" s="17">
        <v>-4.8934186323752099E-2</v>
      </c>
      <c r="AF15" s="17">
        <v>-5.3126115704473333</v>
      </c>
      <c r="AG15" s="17">
        <v>-4.2251503879633816</v>
      </c>
      <c r="AH15" s="17">
        <v>0.39805233888422492</v>
      </c>
      <c r="AI15" s="17">
        <v>1.5080369571908365</v>
      </c>
      <c r="AJ15" s="17">
        <v>-1.8943148621951074E-2</v>
      </c>
      <c r="AK15" s="17">
        <v>3.5146565209315339</v>
      </c>
      <c r="AM15" s="17">
        <v>-888.70403709240486</v>
      </c>
      <c r="AN15" s="17">
        <v>890.08698557783441</v>
      </c>
    </row>
    <row r="16" spans="1:40">
      <c r="A16" s="14">
        <v>11.62</v>
      </c>
      <c r="B16" s="14">
        <v>18.18</v>
      </c>
      <c r="C16" s="14">
        <v>76.38</v>
      </c>
      <c r="D16" s="14">
        <v>408.8</v>
      </c>
      <c r="E16" s="14">
        <v>0.14829999999999999</v>
      </c>
      <c r="F16" s="14">
        <v>0.10199999999999999</v>
      </c>
      <c r="G16" s="14">
        <v>5.5640000000000002E-2</v>
      </c>
      <c r="H16" s="14">
        <v>13.36</v>
      </c>
      <c r="I16" s="14">
        <v>528.1</v>
      </c>
      <c r="J16" s="14">
        <v>0.1416</v>
      </c>
      <c r="M16" s="16">
        <v>0</v>
      </c>
      <c r="O16" s="12">
        <f t="shared" si="0"/>
        <v>1</v>
      </c>
      <c r="P16" s="12">
        <f t="shared" si="1"/>
        <v>0</v>
      </c>
      <c r="AM16" s="17">
        <v>634.56839808259451</v>
      </c>
      <c r="AN16" s="17">
        <v>-634.43706077259458</v>
      </c>
    </row>
    <row r="17" spans="1:42">
      <c r="A17" s="14">
        <v>9.6669999999999998</v>
      </c>
      <c r="B17" s="14">
        <v>18.489999999999998</v>
      </c>
      <c r="C17" s="14">
        <v>61.49</v>
      </c>
      <c r="D17" s="14">
        <v>289.10000000000002</v>
      </c>
      <c r="E17" s="14">
        <v>6.2579999999999997E-2</v>
      </c>
      <c r="F17" s="14">
        <v>2.9479999999999999E-2</v>
      </c>
      <c r="G17" s="14">
        <v>1.5140000000000001E-2</v>
      </c>
      <c r="H17" s="14">
        <v>11.14</v>
      </c>
      <c r="I17" s="14">
        <v>385.2</v>
      </c>
      <c r="J17" s="14">
        <v>6.5600000000000006E-2</v>
      </c>
      <c r="M17" s="16">
        <v>0</v>
      </c>
      <c r="O17" s="12">
        <f t="shared" si="0"/>
        <v>1</v>
      </c>
      <c r="P17" s="12">
        <f t="shared" si="1"/>
        <v>0</v>
      </c>
      <c r="R17" s="15" t="s">
        <v>24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M17" s="17">
        <v>69.33245692993296</v>
      </c>
      <c r="AN17" s="17">
        <v>-76.385075439003003</v>
      </c>
    </row>
    <row r="18" spans="1:42">
      <c r="A18" s="14">
        <v>12.04</v>
      </c>
      <c r="B18" s="14">
        <v>28.14</v>
      </c>
      <c r="C18" s="14">
        <v>76.849999999999994</v>
      </c>
      <c r="D18" s="14">
        <v>449.9</v>
      </c>
      <c r="E18" s="14">
        <v>0.06</v>
      </c>
      <c r="F18" s="14">
        <v>2.367E-2</v>
      </c>
      <c r="G18" s="14">
        <v>2.3769999999999999E-2</v>
      </c>
      <c r="H18" s="14">
        <v>13.6</v>
      </c>
      <c r="I18" s="14">
        <v>567.6</v>
      </c>
      <c r="J18" s="14">
        <v>5.5469999999999998E-2</v>
      </c>
      <c r="M18" s="16">
        <v>0</v>
      </c>
      <c r="O18" s="12">
        <f t="shared" si="0"/>
        <v>1</v>
      </c>
      <c r="P18" s="12">
        <f t="shared" si="1"/>
        <v>0</v>
      </c>
      <c r="R18" s="19" cm="1">
        <f t="array" ref="R18:AK131">TANH(MMULT(A2:J115,R6:AK15))</f>
        <v>-0.82286231938378551</v>
      </c>
      <c r="S18" s="19">
        <v>0.75098794371348421</v>
      </c>
      <c r="T18" s="19">
        <v>0.72863222457898202</v>
      </c>
      <c r="U18" s="19">
        <v>0.37730252101508382</v>
      </c>
      <c r="V18" s="19">
        <v>0.89658984541286346</v>
      </c>
      <c r="W18" s="19">
        <v>-0.70779986821698615</v>
      </c>
      <c r="X18" s="19">
        <v>-0.83634140888849884</v>
      </c>
      <c r="Y18" s="19">
        <v>0.83242698678656812</v>
      </c>
      <c r="Z18" s="19">
        <v>0.83905131992811499</v>
      </c>
      <c r="AA18" s="19">
        <v>0.91313865132018857</v>
      </c>
      <c r="AB18" s="19">
        <v>-0.68701771464664485</v>
      </c>
      <c r="AC18" s="19">
        <v>0.88849782004778144</v>
      </c>
      <c r="AD18" s="19">
        <v>-0.70258823726605124</v>
      </c>
      <c r="AE18" s="19">
        <v>0.91319827416560662</v>
      </c>
      <c r="AF18" s="19">
        <v>0.78428829254323795</v>
      </c>
      <c r="AG18" s="19">
        <v>0.72758690410620175</v>
      </c>
      <c r="AH18" s="19">
        <v>0.41814920363901908</v>
      </c>
      <c r="AI18" s="19">
        <v>-0.93490875263928785</v>
      </c>
      <c r="AJ18" s="19">
        <v>-0.46549971475872776</v>
      </c>
      <c r="AK18" s="19">
        <v>0.37704918507185692</v>
      </c>
      <c r="AM18" s="17">
        <v>-2005.7300708244325</v>
      </c>
      <c r="AN18" s="17">
        <v>2014.7668105282514</v>
      </c>
    </row>
    <row r="19" spans="1:42">
      <c r="A19" s="14">
        <v>14.92</v>
      </c>
      <c r="B19" s="14">
        <v>14.93</v>
      </c>
      <c r="C19" s="14">
        <v>96.45</v>
      </c>
      <c r="D19" s="14">
        <v>686.9</v>
      </c>
      <c r="E19" s="14">
        <v>8.5489999999999997E-2</v>
      </c>
      <c r="F19" s="14">
        <v>5.5390000000000002E-2</v>
      </c>
      <c r="G19" s="14">
        <v>3.2210000000000003E-2</v>
      </c>
      <c r="H19" s="14">
        <v>17.18</v>
      </c>
      <c r="I19" s="14">
        <v>906.6</v>
      </c>
      <c r="J19" s="14">
        <v>0.1147</v>
      </c>
      <c r="M19" s="16">
        <v>0</v>
      </c>
      <c r="O19" s="12">
        <f t="shared" si="0"/>
        <v>1</v>
      </c>
      <c r="P19" s="12">
        <f t="shared" si="1"/>
        <v>0</v>
      </c>
      <c r="R19" s="19">
        <v>-0.78987188256644714</v>
      </c>
      <c r="S19" s="19">
        <v>0.7370310299470878</v>
      </c>
      <c r="T19" s="19">
        <v>0.75199666526104147</v>
      </c>
      <c r="U19" s="19">
        <v>0.35404239956591693</v>
      </c>
      <c r="V19" s="19">
        <v>0.88918140058143191</v>
      </c>
      <c r="W19" s="19">
        <v>-0.64914722910840039</v>
      </c>
      <c r="X19" s="19">
        <v>-0.80901390961973507</v>
      </c>
      <c r="Y19" s="19">
        <v>0.85023253451204861</v>
      </c>
      <c r="Z19" s="19">
        <v>0.78738719170443194</v>
      </c>
      <c r="AA19" s="19">
        <v>0.92229643773665282</v>
      </c>
      <c r="AB19" s="19">
        <v>-0.74805946471498719</v>
      </c>
      <c r="AC19" s="19">
        <v>0.90146703996733613</v>
      </c>
      <c r="AD19" s="19">
        <v>-0.70261446370298442</v>
      </c>
      <c r="AE19" s="19">
        <v>0.90241361107966456</v>
      </c>
      <c r="AF19" s="19">
        <v>0.84633422598812247</v>
      </c>
      <c r="AG19" s="19">
        <v>0.78893982840816324</v>
      </c>
      <c r="AH19" s="19">
        <v>0.3884038360526752</v>
      </c>
      <c r="AI19" s="19">
        <v>-0.93435991642593663</v>
      </c>
      <c r="AJ19" s="19">
        <v>-0.44846816366128706</v>
      </c>
      <c r="AK19" s="19">
        <v>-5.9500425157367288E-2</v>
      </c>
      <c r="AM19" s="17">
        <v>135.8541662418541</v>
      </c>
      <c r="AN19" s="17">
        <v>-95.10531173517569</v>
      </c>
    </row>
    <row r="20" spans="1:42">
      <c r="A20" s="14">
        <v>12.27</v>
      </c>
      <c r="B20" s="14">
        <v>29.97</v>
      </c>
      <c r="C20" s="14">
        <v>77.42</v>
      </c>
      <c r="D20" s="14">
        <v>465.4</v>
      </c>
      <c r="E20" s="14">
        <v>3.3980000000000003E-2</v>
      </c>
      <c r="F20" s="14">
        <v>0</v>
      </c>
      <c r="G20" s="14">
        <v>0</v>
      </c>
      <c r="H20" s="14">
        <v>13.45</v>
      </c>
      <c r="I20" s="14">
        <v>558.9</v>
      </c>
      <c r="J20" s="14">
        <v>0</v>
      </c>
      <c r="M20" s="16">
        <v>0</v>
      </c>
      <c r="O20" s="12">
        <f t="shared" si="0"/>
        <v>1</v>
      </c>
      <c r="P20" s="12">
        <f t="shared" si="1"/>
        <v>0</v>
      </c>
      <c r="R20" s="19">
        <v>-0.77550106786604334</v>
      </c>
      <c r="S20" s="19">
        <v>0.73857272990858136</v>
      </c>
      <c r="T20" s="19">
        <v>0.80715551320302781</v>
      </c>
      <c r="U20" s="19">
        <v>0.3463266738592265</v>
      </c>
      <c r="V20" s="19">
        <v>0.89173018753947175</v>
      </c>
      <c r="W20" s="19">
        <v>-0.61618317053439786</v>
      </c>
      <c r="X20" s="19">
        <v>-0.7987975677329886</v>
      </c>
      <c r="Y20" s="19">
        <v>0.86990159734717831</v>
      </c>
      <c r="Z20" s="19">
        <v>0.75581535172806857</v>
      </c>
      <c r="AA20" s="19">
        <v>0.93377348225148327</v>
      </c>
      <c r="AB20" s="19">
        <v>-0.79386694104915079</v>
      </c>
      <c r="AC20" s="19">
        <v>0.91615370810221397</v>
      </c>
      <c r="AD20" s="19">
        <v>-0.71417310341119733</v>
      </c>
      <c r="AE20" s="19">
        <v>0.90183104529675751</v>
      </c>
      <c r="AF20" s="19">
        <v>0.88654561106456764</v>
      </c>
      <c r="AG20" s="19">
        <v>0.83291301323969358</v>
      </c>
      <c r="AH20" s="19">
        <v>0.37666473658606747</v>
      </c>
      <c r="AI20" s="19">
        <v>-0.93947836130275064</v>
      </c>
      <c r="AJ20" s="19">
        <v>-0.44678205240272889</v>
      </c>
      <c r="AK20" s="19">
        <v>0.35234669051135037</v>
      </c>
      <c r="AM20" s="17">
        <v>-44.967570848921987</v>
      </c>
      <c r="AN20" s="17">
        <v>45.098237403769623</v>
      </c>
    </row>
    <row r="21" spans="1:42">
      <c r="A21" s="14">
        <v>10.88</v>
      </c>
      <c r="B21" s="14">
        <v>15.62</v>
      </c>
      <c r="C21" s="14">
        <v>70.41</v>
      </c>
      <c r="D21" s="14">
        <v>358.9</v>
      </c>
      <c r="E21" s="14">
        <v>0.1069</v>
      </c>
      <c r="F21" s="14">
        <v>5.1150000000000001E-2</v>
      </c>
      <c r="G21" s="14">
        <v>1.5709999999999998E-2</v>
      </c>
      <c r="H21" s="14">
        <v>11.94</v>
      </c>
      <c r="I21" s="14">
        <v>433.1</v>
      </c>
      <c r="J21" s="14">
        <v>7.9659999999999995E-2</v>
      </c>
      <c r="M21" s="16">
        <v>0</v>
      </c>
      <c r="O21" s="12">
        <f t="shared" si="0"/>
        <v>1</v>
      </c>
      <c r="P21" s="12">
        <f t="shared" si="1"/>
        <v>0</v>
      </c>
      <c r="R21" s="19">
        <v>-0.77726388419960279</v>
      </c>
      <c r="S21" s="19">
        <v>0.73604291490032581</v>
      </c>
      <c r="T21" s="19">
        <v>0.79339324523399324</v>
      </c>
      <c r="U21" s="19">
        <v>0.34674761548616101</v>
      </c>
      <c r="V21" s="19">
        <v>0.88961774141160421</v>
      </c>
      <c r="W21" s="19">
        <v>-0.62270993060480673</v>
      </c>
      <c r="X21" s="19">
        <v>-0.79952830216631754</v>
      </c>
      <c r="Y21" s="19">
        <v>0.86342411164364574</v>
      </c>
      <c r="Z21" s="19">
        <v>0.7622659399508922</v>
      </c>
      <c r="AA21" s="19">
        <v>0.92987210319827496</v>
      </c>
      <c r="AB21" s="19">
        <v>-0.78077384512170944</v>
      </c>
      <c r="AC21" s="19">
        <v>0.91129197372226589</v>
      </c>
      <c r="AD21" s="19">
        <v>-0.70904783378258551</v>
      </c>
      <c r="AE21" s="19">
        <v>0.90060911089089302</v>
      </c>
      <c r="AF21" s="19">
        <v>0.87566149977705554</v>
      </c>
      <c r="AG21" s="19">
        <v>0.82055575555593407</v>
      </c>
      <c r="AH21" s="19">
        <v>0.378020243160612</v>
      </c>
      <c r="AI21" s="19">
        <v>-0.93716811616904427</v>
      </c>
      <c r="AJ21" s="19">
        <v>-0.44531671799508921</v>
      </c>
      <c r="AK21" s="19">
        <v>0.3133254477627942</v>
      </c>
      <c r="AM21" s="17">
        <v>477.14935429318132</v>
      </c>
      <c r="AN21" s="17">
        <v>-477.53399163229858</v>
      </c>
    </row>
    <row r="22" spans="1:42">
      <c r="A22" s="14">
        <v>12.83</v>
      </c>
      <c r="B22" s="14">
        <v>15.73</v>
      </c>
      <c r="C22" s="14">
        <v>82.89</v>
      </c>
      <c r="D22" s="14">
        <v>506.9</v>
      </c>
      <c r="E22" s="14">
        <v>8.269E-2</v>
      </c>
      <c r="F22" s="14">
        <v>5.8349999999999999E-2</v>
      </c>
      <c r="G22" s="14">
        <v>3.0779999999999998E-2</v>
      </c>
      <c r="H22" s="14">
        <v>14.09</v>
      </c>
      <c r="I22" s="14">
        <v>605.79999999999995</v>
      </c>
      <c r="J22" s="14">
        <v>9.783E-2</v>
      </c>
      <c r="M22" s="16">
        <v>0</v>
      </c>
      <c r="O22" s="12">
        <f t="shared" si="0"/>
        <v>1</v>
      </c>
      <c r="P22" s="12">
        <f t="shared" si="1"/>
        <v>0</v>
      </c>
      <c r="R22" s="19">
        <v>-0.73125451839450162</v>
      </c>
      <c r="S22" s="19">
        <v>0.68641971316068229</v>
      </c>
      <c r="T22" s="19">
        <v>0.73516950378337664</v>
      </c>
      <c r="U22" s="19">
        <v>0.31317911061695825</v>
      </c>
      <c r="V22" s="19">
        <v>0.85315897758342385</v>
      </c>
      <c r="W22" s="19">
        <v>-0.57640393446414129</v>
      </c>
      <c r="X22" s="19">
        <v>-0.75446184929920224</v>
      </c>
      <c r="Y22" s="19">
        <v>0.8210869417123442</v>
      </c>
      <c r="Z22" s="19">
        <v>0.71751116933825476</v>
      </c>
      <c r="AA22" s="19">
        <v>0.90012596230280129</v>
      </c>
      <c r="AB22" s="19">
        <v>-0.72817118117985447</v>
      </c>
      <c r="AC22" s="19">
        <v>0.87717952001156685</v>
      </c>
      <c r="AD22" s="19">
        <v>-0.65768947196531835</v>
      </c>
      <c r="AE22" s="19">
        <v>0.86643387793528159</v>
      </c>
      <c r="AF22" s="19">
        <v>0.83261352339187777</v>
      </c>
      <c r="AG22" s="19">
        <v>0.77093543866782666</v>
      </c>
      <c r="AH22" s="19">
        <v>0.34231954975394513</v>
      </c>
      <c r="AI22" s="19">
        <v>-0.91001605876169323</v>
      </c>
      <c r="AJ22" s="19">
        <v>-0.40368831721267479</v>
      </c>
      <c r="AK22" s="19">
        <v>0.16046200697916729</v>
      </c>
      <c r="AM22" s="17">
        <v>4301.8418628820828</v>
      </c>
      <c r="AN22" s="17">
        <v>-4317.3654503874623</v>
      </c>
    </row>
    <row r="23" spans="1:42">
      <c r="A23" s="14">
        <v>14.2</v>
      </c>
      <c r="B23" s="14">
        <v>20.53</v>
      </c>
      <c r="C23" s="14">
        <v>92.41</v>
      </c>
      <c r="D23" s="14">
        <v>618.4</v>
      </c>
      <c r="E23" s="14">
        <v>0.1108</v>
      </c>
      <c r="F23" s="14">
        <v>5.0630000000000001E-2</v>
      </c>
      <c r="G23" s="14">
        <v>3.058E-2</v>
      </c>
      <c r="H23" s="14">
        <v>16.45</v>
      </c>
      <c r="I23" s="14">
        <v>828.5</v>
      </c>
      <c r="J23" s="14">
        <v>0.13389999999999999</v>
      </c>
      <c r="M23" s="16">
        <v>0</v>
      </c>
      <c r="O23" s="12">
        <f t="shared" si="0"/>
        <v>1</v>
      </c>
      <c r="P23" s="12">
        <f t="shared" si="1"/>
        <v>0</v>
      </c>
      <c r="R23" s="19">
        <v>-0.90381203224312734</v>
      </c>
      <c r="S23" s="19">
        <v>0.78896326453183652</v>
      </c>
      <c r="T23" s="19">
        <v>1.5570933877640436E-2</v>
      </c>
      <c r="U23" s="19">
        <v>0.45276380072134875</v>
      </c>
      <c r="V23" s="19">
        <v>0.91476343016040762</v>
      </c>
      <c r="W23" s="19">
        <v>-0.85410921467411016</v>
      </c>
      <c r="X23" s="19">
        <v>-0.90475514646978195</v>
      </c>
      <c r="Y23" s="19">
        <v>0.73352044551521201</v>
      </c>
      <c r="Z23" s="19">
        <v>0.9431306577717985</v>
      </c>
      <c r="AA23" s="19">
        <v>0.85876763292022551</v>
      </c>
      <c r="AB23" s="19">
        <v>-0.33248177005379043</v>
      </c>
      <c r="AC23" s="19">
        <v>0.81225006745845107</v>
      </c>
      <c r="AD23" s="19">
        <v>-0.69128988291057214</v>
      </c>
      <c r="AE23" s="19">
        <v>0.9401232388955878</v>
      </c>
      <c r="AF23" s="19">
        <v>0.31560004161304039</v>
      </c>
      <c r="AG23" s="19">
        <v>0.34000365935125726</v>
      </c>
      <c r="AH23" s="19">
        <v>0.51402163027321202</v>
      </c>
      <c r="AI23" s="19">
        <v>-0.93155545648122096</v>
      </c>
      <c r="AJ23" s="19">
        <v>-0.51743483467941631</v>
      </c>
      <c r="AK23" s="19">
        <v>-0.46801664548560945</v>
      </c>
      <c r="AM23" s="17">
        <v>-2382.456769562119</v>
      </c>
      <c r="AN23" s="17">
        <v>2372.3520457069731</v>
      </c>
    </row>
    <row r="24" spans="1:42">
      <c r="A24" s="14">
        <v>13.9</v>
      </c>
      <c r="B24" s="14">
        <v>16.62</v>
      </c>
      <c r="C24" s="14">
        <v>88.97</v>
      </c>
      <c r="D24" s="14">
        <v>599.4</v>
      </c>
      <c r="E24" s="14">
        <v>5.3190000000000001E-2</v>
      </c>
      <c r="F24" s="14">
        <v>2.2239999999999999E-2</v>
      </c>
      <c r="G24" s="14">
        <v>1.3390000000000001E-2</v>
      </c>
      <c r="H24" s="14">
        <v>15.14</v>
      </c>
      <c r="I24" s="14">
        <v>718.9</v>
      </c>
      <c r="J24" s="14">
        <v>6.2219999999999998E-2</v>
      </c>
      <c r="M24" s="16">
        <v>0</v>
      </c>
      <c r="O24" s="12">
        <f t="shared" si="0"/>
        <v>1</v>
      </c>
      <c r="P24" s="12">
        <f t="shared" si="1"/>
        <v>0</v>
      </c>
      <c r="R24" s="19">
        <v>-0.86041029247824252</v>
      </c>
      <c r="S24" s="19">
        <v>0.6005326231329422</v>
      </c>
      <c r="T24" s="19">
        <v>-0.93298298301948868</v>
      </c>
      <c r="U24" s="19">
        <v>0.37780084348555559</v>
      </c>
      <c r="V24" s="19">
        <v>0.74111586901311199</v>
      </c>
      <c r="W24" s="19">
        <v>-0.85777315202156423</v>
      </c>
      <c r="X24" s="19">
        <v>-0.8438581854153413</v>
      </c>
      <c r="Y24" s="19">
        <v>4.1963961718361774E-2</v>
      </c>
      <c r="Z24" s="19">
        <v>0.94662876055061362</v>
      </c>
      <c r="AA24" s="19">
        <v>0.21975562575741325</v>
      </c>
      <c r="AB24" s="19">
        <v>0.57080061057498621</v>
      </c>
      <c r="AC24" s="19">
        <v>0.10556531356961783</v>
      </c>
      <c r="AD24" s="19">
        <v>-0.37358858230634079</v>
      </c>
      <c r="AE24" s="19">
        <v>0.83260205279529631</v>
      </c>
      <c r="AF24" s="19">
        <v>-0.77959241621228248</v>
      </c>
      <c r="AG24" s="19">
        <v>-0.64406865062138818</v>
      </c>
      <c r="AH24" s="19">
        <v>0.45422254504611564</v>
      </c>
      <c r="AI24" s="19">
        <v>-0.66369591344466194</v>
      </c>
      <c r="AJ24" s="19">
        <v>-0.38209864149572387</v>
      </c>
      <c r="AK24" s="19">
        <v>0.35480541954662898</v>
      </c>
      <c r="AM24" s="17">
        <v>-447.9013712638677</v>
      </c>
      <c r="AN24" s="17">
        <v>464.74688900683861</v>
      </c>
    </row>
    <row r="25" spans="1:42">
      <c r="A25" s="14">
        <v>11.49</v>
      </c>
      <c r="B25" s="14">
        <v>14.59</v>
      </c>
      <c r="C25" s="14">
        <v>73.989999999999995</v>
      </c>
      <c r="D25" s="14">
        <v>404.9</v>
      </c>
      <c r="E25" s="14">
        <v>8.2280000000000006E-2</v>
      </c>
      <c r="F25" s="14">
        <v>5.3080000000000002E-2</v>
      </c>
      <c r="G25" s="14">
        <v>1.9689999999999999E-2</v>
      </c>
      <c r="H25" s="14">
        <v>12.4</v>
      </c>
      <c r="I25" s="14">
        <v>467.6</v>
      </c>
      <c r="J25" s="14">
        <v>7.4310000000000001E-2</v>
      </c>
      <c r="M25" s="16">
        <v>0</v>
      </c>
      <c r="O25" s="12">
        <f t="shared" si="0"/>
        <v>1</v>
      </c>
      <c r="P25" s="12">
        <f t="shared" si="1"/>
        <v>0</v>
      </c>
      <c r="R25" s="19">
        <v>-0.78306061172799368</v>
      </c>
      <c r="S25" s="19">
        <v>0.74692914782651509</v>
      </c>
      <c r="T25" s="19">
        <v>0.83116480802990822</v>
      </c>
      <c r="U25" s="19">
        <v>0.35233018294515983</v>
      </c>
      <c r="V25" s="19">
        <v>0.89738970359463821</v>
      </c>
      <c r="W25" s="19">
        <v>-0.62393830289218954</v>
      </c>
      <c r="X25" s="19">
        <v>-0.8061565617554336</v>
      </c>
      <c r="Y25" s="19">
        <v>0.87657889544400269</v>
      </c>
      <c r="Z25" s="19">
        <v>0.76310170464727778</v>
      </c>
      <c r="AA25" s="19">
        <v>0.93814339884168463</v>
      </c>
      <c r="AB25" s="19">
        <v>-0.80265338378826501</v>
      </c>
      <c r="AC25" s="19">
        <v>0.92128380956750933</v>
      </c>
      <c r="AD25" s="19">
        <v>-0.72295621328715109</v>
      </c>
      <c r="AE25" s="19">
        <v>0.90709430181356565</v>
      </c>
      <c r="AF25" s="19">
        <v>0.89317994379252807</v>
      </c>
      <c r="AG25" s="19">
        <v>0.84097211074905165</v>
      </c>
      <c r="AH25" s="19">
        <v>0.3829871743351107</v>
      </c>
      <c r="AI25" s="19">
        <v>-0.94346209655329183</v>
      </c>
      <c r="AJ25" s="19">
        <v>-0.45423875340977932</v>
      </c>
      <c r="AK25" s="19">
        <v>0.51071702263712582</v>
      </c>
      <c r="AM25" s="17">
        <v>-4.6615214369201831E-2</v>
      </c>
      <c r="AN25" s="17">
        <v>4.6599084684802498E-2</v>
      </c>
    </row>
    <row r="26" spans="1:42">
      <c r="A26" s="14">
        <v>16.25</v>
      </c>
      <c r="B26" s="14">
        <v>19.510000000000002</v>
      </c>
      <c r="C26" s="14">
        <v>109.8</v>
      </c>
      <c r="D26" s="14">
        <v>815.8</v>
      </c>
      <c r="E26" s="14">
        <v>0.1893</v>
      </c>
      <c r="F26" s="14">
        <v>0.22359999999999999</v>
      </c>
      <c r="G26" s="14">
        <v>9.1939999999999994E-2</v>
      </c>
      <c r="H26" s="14">
        <v>17.39</v>
      </c>
      <c r="I26" s="14">
        <v>939.7</v>
      </c>
      <c r="J26" s="14">
        <v>0.17749999999999999</v>
      </c>
      <c r="M26" s="16">
        <v>1</v>
      </c>
      <c r="O26" s="12">
        <f t="shared" si="0"/>
        <v>0</v>
      </c>
      <c r="P26" s="12">
        <f t="shared" si="1"/>
        <v>1</v>
      </c>
      <c r="R26" s="19">
        <v>-0.73199148805359193</v>
      </c>
      <c r="S26" s="19">
        <v>0.69857528773964483</v>
      </c>
      <c r="T26" s="19">
        <v>0.76370028627842268</v>
      </c>
      <c r="U26" s="19">
        <v>0.31588066458685926</v>
      </c>
      <c r="V26" s="19">
        <v>0.8635486517379386</v>
      </c>
      <c r="W26" s="19">
        <v>-0.56561610645649307</v>
      </c>
      <c r="X26" s="19">
        <v>-0.75779633502029065</v>
      </c>
      <c r="Y26" s="19">
        <v>0.84389877265514623</v>
      </c>
      <c r="Z26" s="19">
        <v>0.70590017376938896</v>
      </c>
      <c r="AA26" s="19">
        <v>0.91534306233650764</v>
      </c>
      <c r="AB26" s="19">
        <v>-0.76807240163344759</v>
      </c>
      <c r="AC26" s="19">
        <v>0.89534643170591832</v>
      </c>
      <c r="AD26" s="19">
        <v>-0.6764491630548628</v>
      </c>
      <c r="AE26" s="19">
        <v>0.87410032053827513</v>
      </c>
      <c r="AF26" s="19">
        <v>0.86765559110027501</v>
      </c>
      <c r="AG26" s="19">
        <v>0.80937738187225672</v>
      </c>
      <c r="AH26" s="19">
        <v>0.34309674441257959</v>
      </c>
      <c r="AI26" s="19">
        <v>-0.92034794201566161</v>
      </c>
      <c r="AJ26" s="19">
        <v>-0.41170119114933462</v>
      </c>
      <c r="AK26" s="19">
        <v>0.23888918968027631</v>
      </c>
    </row>
    <row r="27" spans="1:42">
      <c r="A27" s="14">
        <v>12.16</v>
      </c>
      <c r="B27" s="14">
        <v>18.03</v>
      </c>
      <c r="C27" s="14">
        <v>78.290000000000006</v>
      </c>
      <c r="D27" s="14">
        <v>455.3</v>
      </c>
      <c r="E27" s="14">
        <v>7.8380000000000005E-2</v>
      </c>
      <c r="F27" s="14">
        <v>2.9159999999999998E-2</v>
      </c>
      <c r="G27" s="14">
        <v>1.5270000000000001E-2</v>
      </c>
      <c r="H27" s="14">
        <v>13.34</v>
      </c>
      <c r="I27" s="14">
        <v>547.4</v>
      </c>
      <c r="J27" s="14">
        <v>5.6899999999999999E-2</v>
      </c>
      <c r="M27" s="16">
        <v>0</v>
      </c>
      <c r="O27" s="12">
        <f t="shared" si="0"/>
        <v>1</v>
      </c>
      <c r="P27" s="12">
        <f t="shared" si="1"/>
        <v>0</v>
      </c>
      <c r="R27" s="19">
        <v>-0.78140877047277524</v>
      </c>
      <c r="S27" s="19">
        <v>0.72307422941658406</v>
      </c>
      <c r="T27" s="19">
        <v>0.71879875794180015</v>
      </c>
      <c r="U27" s="19">
        <v>0.34632112616704713</v>
      </c>
      <c r="V27" s="19">
        <v>0.87892395046281235</v>
      </c>
      <c r="W27" s="19">
        <v>-0.64458168049930764</v>
      </c>
      <c r="X27" s="19">
        <v>-0.79980109057322202</v>
      </c>
      <c r="Y27" s="19">
        <v>0.83263609761936663</v>
      </c>
      <c r="Z27" s="19">
        <v>0.78352449666538049</v>
      </c>
      <c r="AA27" s="19">
        <v>0.91062194216050318</v>
      </c>
      <c r="AB27" s="19">
        <v>-0.71931026193210645</v>
      </c>
      <c r="AC27" s="19">
        <v>0.88755500621531813</v>
      </c>
      <c r="AD27" s="19">
        <v>-0.68529579957045594</v>
      </c>
      <c r="AE27" s="19">
        <v>0.8937946512696382</v>
      </c>
      <c r="AF27" s="19">
        <v>0.82044519067053878</v>
      </c>
      <c r="AG27" s="19">
        <v>0.76105180961436836</v>
      </c>
      <c r="AH27" s="19">
        <v>0.38108335170387336</v>
      </c>
      <c r="AI27" s="19">
        <v>-0.92574347110568511</v>
      </c>
      <c r="AJ27" s="19">
        <v>-0.43706779630863363</v>
      </c>
      <c r="AK27" s="19">
        <v>0.29975245064199985</v>
      </c>
    </row>
    <row r="28" spans="1:42">
      <c r="A28" s="14">
        <v>13.9</v>
      </c>
      <c r="B28" s="14">
        <v>19.239999999999998</v>
      </c>
      <c r="C28" s="14">
        <v>88.73</v>
      </c>
      <c r="D28" s="14">
        <v>602.9</v>
      </c>
      <c r="E28" s="14">
        <v>5.3260000000000002E-2</v>
      </c>
      <c r="F28" s="14">
        <v>2.9950000000000001E-2</v>
      </c>
      <c r="G28" s="14">
        <v>2.07E-2</v>
      </c>
      <c r="H28" s="14">
        <v>16.41</v>
      </c>
      <c r="I28" s="14">
        <v>830.5</v>
      </c>
      <c r="J28" s="14">
        <v>8.1500000000000003E-2</v>
      </c>
      <c r="M28" s="16">
        <v>0</v>
      </c>
      <c r="O28" s="12">
        <f t="shared" si="0"/>
        <v>1</v>
      </c>
      <c r="P28" s="12">
        <f t="shared" si="1"/>
        <v>0</v>
      </c>
      <c r="R28" s="19">
        <v>-0.80271771907174394</v>
      </c>
      <c r="S28" s="19">
        <v>0.73284817198301311</v>
      </c>
      <c r="T28" s="19">
        <v>0.67786891281140516</v>
      </c>
      <c r="U28" s="19">
        <v>0.36072815847610151</v>
      </c>
      <c r="V28" s="19">
        <v>0.88455362745438892</v>
      </c>
      <c r="W28" s="19">
        <v>-0.68072908917370489</v>
      </c>
      <c r="X28" s="19">
        <v>-0.81770858087853282</v>
      </c>
      <c r="Y28" s="19">
        <v>0.82295142507659702</v>
      </c>
      <c r="Z28" s="19">
        <v>0.816158329640152</v>
      </c>
      <c r="AA28" s="19">
        <v>0.90571271918452523</v>
      </c>
      <c r="AB28" s="19">
        <v>-0.68440878573361152</v>
      </c>
      <c r="AC28" s="19">
        <v>0.88045696346216706</v>
      </c>
      <c r="AD28" s="19">
        <v>-0.68673970780846061</v>
      </c>
      <c r="AE28" s="19">
        <v>0.9014940862342008</v>
      </c>
      <c r="AF28" s="19">
        <v>0.78404090588876907</v>
      </c>
      <c r="AG28" s="19">
        <v>0.72564696843899201</v>
      </c>
      <c r="AH28" s="19">
        <v>0.39933654077242325</v>
      </c>
      <c r="AI28" s="19">
        <v>-0.92685339976837011</v>
      </c>
      <c r="AJ28" s="19">
        <v>-0.44815498217650102</v>
      </c>
      <c r="AK28" s="19">
        <v>3.8315998793554407E-2</v>
      </c>
      <c r="AM28" s="15" t="s">
        <v>20</v>
      </c>
      <c r="AN28" s="15"/>
      <c r="AP28" s="18" t="s">
        <v>25</v>
      </c>
    </row>
    <row r="29" spans="1:42">
      <c r="A29" s="14">
        <v>13.47</v>
      </c>
      <c r="B29" s="14">
        <v>14.06</v>
      </c>
      <c r="C29" s="14">
        <v>87.32</v>
      </c>
      <c r="D29" s="14">
        <v>546.29999999999995</v>
      </c>
      <c r="E29" s="14">
        <v>0.11550000000000001</v>
      </c>
      <c r="F29" s="14">
        <v>5.7860000000000002E-2</v>
      </c>
      <c r="G29" s="14">
        <v>5.2659999999999998E-2</v>
      </c>
      <c r="H29" s="14">
        <v>14.83</v>
      </c>
      <c r="I29" s="14">
        <v>660.2</v>
      </c>
      <c r="J29" s="14">
        <v>0.13350000000000001</v>
      </c>
      <c r="M29" s="16">
        <v>0</v>
      </c>
      <c r="O29" s="12">
        <f t="shared" si="0"/>
        <v>1</v>
      </c>
      <c r="P29" s="12">
        <f t="shared" si="1"/>
        <v>0</v>
      </c>
      <c r="R29" s="19">
        <v>-0.78744164620673929</v>
      </c>
      <c r="S29" s="19">
        <v>0.73044231459667008</v>
      </c>
      <c r="T29" s="19">
        <v>0.72045872262590327</v>
      </c>
      <c r="U29" s="19">
        <v>0.3512565233942801</v>
      </c>
      <c r="V29" s="19">
        <v>0.88423058231357055</v>
      </c>
      <c r="W29" s="19">
        <v>-0.65034826077065699</v>
      </c>
      <c r="X29" s="19">
        <v>-0.8058302293987476</v>
      </c>
      <c r="Y29" s="19">
        <v>0.83995085445072781</v>
      </c>
      <c r="Z29" s="19">
        <v>0.78869526999415374</v>
      </c>
      <c r="AA29" s="19">
        <v>0.91566821236002449</v>
      </c>
      <c r="AB29" s="19">
        <v>-0.72951945591693546</v>
      </c>
      <c r="AC29" s="19">
        <v>0.89343854118680732</v>
      </c>
      <c r="AD29" s="19">
        <v>-0.69339454205084938</v>
      </c>
      <c r="AE29" s="19">
        <v>0.89854827189979247</v>
      </c>
      <c r="AF29" s="19">
        <v>0.82952241829700712</v>
      </c>
      <c r="AG29" s="19">
        <v>0.77092876334316252</v>
      </c>
      <c r="AH29" s="19">
        <v>0.38622132056225844</v>
      </c>
      <c r="AI29" s="19">
        <v>-0.9298853022842104</v>
      </c>
      <c r="AJ29" s="19">
        <v>-0.44335328769693771</v>
      </c>
      <c r="AK29" s="19">
        <v>0.16947579256778655</v>
      </c>
      <c r="AM29" s="20" cm="1">
        <f t="array" ref="AM29:AN142">MMULT(_xlfn.ANCHORARRAY(R18),AM6:AN25)</f>
        <v>0.45634795570956294</v>
      </c>
      <c r="AN29" s="20">
        <v>0.54374937725201344</v>
      </c>
      <c r="AP29" s="21">
        <f>IF(AM29&gt;AN29,0,1)</f>
        <v>1</v>
      </c>
    </row>
    <row r="30" spans="1:42">
      <c r="A30" s="14">
        <v>13.7</v>
      </c>
      <c r="B30" s="14">
        <v>17.64</v>
      </c>
      <c r="C30" s="14">
        <v>87.76</v>
      </c>
      <c r="D30" s="14">
        <v>571.1</v>
      </c>
      <c r="E30" s="14">
        <v>7.9570000000000002E-2</v>
      </c>
      <c r="F30" s="14">
        <v>4.548E-2</v>
      </c>
      <c r="G30" s="14">
        <v>3.1600000000000003E-2</v>
      </c>
      <c r="H30" s="14">
        <v>14.96</v>
      </c>
      <c r="I30" s="14">
        <v>686.5</v>
      </c>
      <c r="J30" s="14">
        <v>9.0770000000000003E-2</v>
      </c>
      <c r="M30" s="16">
        <v>0</v>
      </c>
      <c r="O30" s="12">
        <f t="shared" si="0"/>
        <v>1</v>
      </c>
      <c r="P30" s="12">
        <f t="shared" si="1"/>
        <v>0</v>
      </c>
      <c r="R30" s="19">
        <v>-0.67577317382763835</v>
      </c>
      <c r="S30" s="19">
        <v>0.66661806277977675</v>
      </c>
      <c r="T30" s="19">
        <v>0.74788297430845474</v>
      </c>
      <c r="U30" s="19">
        <v>0.28468429767766634</v>
      </c>
      <c r="V30" s="19">
        <v>0.8410948789993874</v>
      </c>
      <c r="W30" s="19">
        <v>-0.48554942695746856</v>
      </c>
      <c r="X30" s="19">
        <v>-0.70867809850837538</v>
      </c>
      <c r="Y30" s="19">
        <v>0.84284109748264657</v>
      </c>
      <c r="Z30" s="19">
        <v>0.61928403878341365</v>
      </c>
      <c r="AA30" s="19">
        <v>0.91215440962907679</v>
      </c>
      <c r="AB30" s="19">
        <v>-0.79003420911100353</v>
      </c>
      <c r="AC30" s="19">
        <v>0.89350895083449633</v>
      </c>
      <c r="AD30" s="19">
        <v>-0.65764486310685488</v>
      </c>
      <c r="AE30" s="19">
        <v>0.84742825183095172</v>
      </c>
      <c r="AF30" s="19">
        <v>0.88824307346370412</v>
      </c>
      <c r="AG30" s="19">
        <v>0.83094070006566578</v>
      </c>
      <c r="AH30" s="19">
        <v>0.30527447095563542</v>
      </c>
      <c r="AI30" s="19">
        <v>-0.90909767452011048</v>
      </c>
      <c r="AJ30" s="19">
        <v>-0.38245195129062587</v>
      </c>
      <c r="AK30" s="19">
        <v>-0.20589209689841395</v>
      </c>
      <c r="AM30" s="20">
        <v>0.81179224725614785</v>
      </c>
      <c r="AN30" s="20">
        <v>0.18824705990412879</v>
      </c>
      <c r="AP30" s="21">
        <f t="shared" ref="AP30:AP93" si="2">IF(AM30&gt;AN30,0,1)</f>
        <v>0</v>
      </c>
    </row>
    <row r="31" spans="1:42">
      <c r="A31" s="14">
        <v>15.73</v>
      </c>
      <c r="B31" s="14">
        <v>11.28</v>
      </c>
      <c r="C31" s="14">
        <v>102.8</v>
      </c>
      <c r="D31" s="14">
        <v>747.2</v>
      </c>
      <c r="E31" s="14">
        <v>0.12989999999999999</v>
      </c>
      <c r="F31" s="14">
        <v>0.1191</v>
      </c>
      <c r="G31" s="14">
        <v>6.2109999999999999E-2</v>
      </c>
      <c r="H31" s="14">
        <v>17.010000000000002</v>
      </c>
      <c r="I31" s="14">
        <v>854.3</v>
      </c>
      <c r="J31" s="14">
        <v>0.1452</v>
      </c>
      <c r="M31" s="16">
        <v>0</v>
      </c>
      <c r="O31" s="12">
        <f t="shared" si="0"/>
        <v>1</v>
      </c>
      <c r="P31" s="12">
        <f t="shared" si="1"/>
        <v>0</v>
      </c>
      <c r="R31" s="19">
        <v>-0.8956955945869568</v>
      </c>
      <c r="S31" s="19">
        <v>0.7757435724371522</v>
      </c>
      <c r="T31" s="19">
        <v>0.30531786335480987</v>
      </c>
      <c r="U31" s="19">
        <v>0.44128756948055092</v>
      </c>
      <c r="V31" s="19">
        <v>0.90612865735844572</v>
      </c>
      <c r="W31" s="19">
        <v>-0.84477456276983265</v>
      </c>
      <c r="X31" s="19">
        <v>-0.89649046851550596</v>
      </c>
      <c r="Y31" s="19">
        <v>0.7152255957382454</v>
      </c>
      <c r="Z31" s="19">
        <v>0.93777608068820695</v>
      </c>
      <c r="AA31" s="19">
        <v>0.84493149947807988</v>
      </c>
      <c r="AB31" s="19">
        <v>-0.31065000182133412</v>
      </c>
      <c r="AC31" s="19">
        <v>0.79608461362248484</v>
      </c>
      <c r="AD31" s="19">
        <v>-0.67553731208043621</v>
      </c>
      <c r="AE31" s="19">
        <v>0.93346404752362266</v>
      </c>
      <c r="AF31" s="19">
        <v>0.2887039106256179</v>
      </c>
      <c r="AG31" s="19">
        <v>0.31637562011356912</v>
      </c>
      <c r="AH31" s="19">
        <v>0.50194636521205338</v>
      </c>
      <c r="AI31" s="19">
        <v>-0.92351514715072291</v>
      </c>
      <c r="AJ31" s="19">
        <v>-0.50427673901623327</v>
      </c>
      <c r="AK31" s="19">
        <v>6.6144019063730131E-2</v>
      </c>
      <c r="AM31" s="20">
        <v>0.91027900639625736</v>
      </c>
      <c r="AN31" s="20">
        <v>8.9814981819918663E-2</v>
      </c>
      <c r="AP31" s="21">
        <f t="shared" si="2"/>
        <v>0</v>
      </c>
    </row>
    <row r="32" spans="1:42">
      <c r="A32" s="14">
        <v>12.45</v>
      </c>
      <c r="B32" s="14">
        <v>16.41</v>
      </c>
      <c r="C32" s="14">
        <v>82.85</v>
      </c>
      <c r="D32" s="14">
        <v>476.7</v>
      </c>
      <c r="E32" s="14">
        <v>0.15110000000000001</v>
      </c>
      <c r="F32" s="14">
        <v>0.15440000000000001</v>
      </c>
      <c r="G32" s="14">
        <v>4.8460000000000003E-2</v>
      </c>
      <c r="H32" s="14">
        <v>13.78</v>
      </c>
      <c r="I32" s="14">
        <v>580.6</v>
      </c>
      <c r="J32" s="14">
        <v>0.13420000000000001</v>
      </c>
      <c r="M32" s="16">
        <v>0</v>
      </c>
      <c r="O32" s="12">
        <f t="shared" si="0"/>
        <v>1</v>
      </c>
      <c r="P32" s="12">
        <f t="shared" si="1"/>
        <v>0</v>
      </c>
      <c r="R32" s="19">
        <v>-0.79415191808088004</v>
      </c>
      <c r="S32" s="19">
        <v>0.721476852201414</v>
      </c>
      <c r="T32" s="19">
        <v>0.68775007204147265</v>
      </c>
      <c r="U32" s="19">
        <v>0.35328192286179499</v>
      </c>
      <c r="V32" s="19">
        <v>0.87625475566009037</v>
      </c>
      <c r="W32" s="19">
        <v>-0.67287600096677269</v>
      </c>
      <c r="X32" s="19">
        <v>-0.80900310916407137</v>
      </c>
      <c r="Y32" s="19">
        <v>0.81007077352250267</v>
      </c>
      <c r="Z32" s="19">
        <v>0.80947151566074549</v>
      </c>
      <c r="AA32" s="19">
        <v>0.8966870627449175</v>
      </c>
      <c r="AB32" s="19">
        <v>-0.66545350274705894</v>
      </c>
      <c r="AC32" s="19">
        <v>0.86990695389547579</v>
      </c>
      <c r="AD32" s="19">
        <v>-0.67376901157098534</v>
      </c>
      <c r="AE32" s="19">
        <v>0.89428899956479291</v>
      </c>
      <c r="AF32" s="19">
        <v>0.76556106837874094</v>
      </c>
      <c r="AG32" s="19">
        <v>0.70676226981632695</v>
      </c>
      <c r="AH32" s="19">
        <v>0.39167206387295228</v>
      </c>
      <c r="AI32" s="19">
        <v>-0.92000403678528864</v>
      </c>
      <c r="AJ32" s="19">
        <v>-0.43852056463097505</v>
      </c>
      <c r="AK32" s="19">
        <v>-0.14939045239770724</v>
      </c>
      <c r="AM32" s="20">
        <v>0.90066450436319112</v>
      </c>
      <c r="AN32" s="20">
        <v>9.9389678936442752E-2</v>
      </c>
      <c r="AP32" s="21">
        <f t="shared" si="2"/>
        <v>0</v>
      </c>
    </row>
    <row r="33" spans="1:42">
      <c r="A33" s="14">
        <v>14.64</v>
      </c>
      <c r="B33" s="14">
        <v>16.850000000000001</v>
      </c>
      <c r="C33" s="14">
        <v>94.21</v>
      </c>
      <c r="D33" s="14">
        <v>666</v>
      </c>
      <c r="E33" s="14">
        <v>6.6979999999999998E-2</v>
      </c>
      <c r="F33" s="14">
        <v>5.1920000000000001E-2</v>
      </c>
      <c r="G33" s="14">
        <v>2.7910000000000001E-2</v>
      </c>
      <c r="H33" s="14">
        <v>16.46</v>
      </c>
      <c r="I33" s="14">
        <v>831</v>
      </c>
      <c r="J33" s="14">
        <v>7.8280000000000002E-2</v>
      </c>
      <c r="M33" s="16">
        <v>0</v>
      </c>
      <c r="O33" s="12">
        <f t="shared" si="0"/>
        <v>1</v>
      </c>
      <c r="P33" s="12">
        <f t="shared" si="1"/>
        <v>0</v>
      </c>
      <c r="R33" s="19">
        <v>-0.70664319347292837</v>
      </c>
      <c r="S33" s="19">
        <v>0.6642453052714562</v>
      </c>
      <c r="T33" s="19">
        <v>0.69058788548079075</v>
      </c>
      <c r="U33" s="19">
        <v>0.29763058347146265</v>
      </c>
      <c r="V33" s="19">
        <v>0.83584252999206066</v>
      </c>
      <c r="W33" s="19">
        <v>-0.54903710571901776</v>
      </c>
      <c r="X33" s="19">
        <v>-0.73100829040048265</v>
      </c>
      <c r="Y33" s="19">
        <v>0.80547383027176545</v>
      </c>
      <c r="Z33" s="19">
        <v>0.68955360750236971</v>
      </c>
      <c r="AA33" s="19">
        <v>0.88800865969220977</v>
      </c>
      <c r="AB33" s="19">
        <v>-0.71413764074268904</v>
      </c>
      <c r="AC33" s="19">
        <v>0.86390898170724328</v>
      </c>
      <c r="AD33" s="19">
        <v>-0.63713893065189564</v>
      </c>
      <c r="AE33" s="19">
        <v>0.8492526969070624</v>
      </c>
      <c r="AF33" s="19">
        <v>0.82137213832311706</v>
      </c>
      <c r="AG33" s="19">
        <v>0.75771118225487577</v>
      </c>
      <c r="AH33" s="19">
        <v>0.3250307224970333</v>
      </c>
      <c r="AI33" s="19">
        <v>-0.89738947716699446</v>
      </c>
      <c r="AJ33" s="19">
        <v>-0.38570952224356747</v>
      </c>
      <c r="AK33" s="19">
        <v>-7.2400316096608616E-2</v>
      </c>
      <c r="AM33" s="20">
        <v>0.99652054697232673</v>
      </c>
      <c r="AN33" s="20">
        <v>3.3667592316412353E-3</v>
      </c>
      <c r="AP33" s="21">
        <f t="shared" si="2"/>
        <v>0</v>
      </c>
    </row>
    <row r="34" spans="1:42">
      <c r="A34" s="14">
        <v>19.440000000000001</v>
      </c>
      <c r="B34" s="14">
        <v>18.82</v>
      </c>
      <c r="C34" s="14">
        <v>128.1</v>
      </c>
      <c r="D34" s="14">
        <v>1167</v>
      </c>
      <c r="E34" s="14">
        <v>0.14480000000000001</v>
      </c>
      <c r="F34" s="14">
        <v>0.22559999999999999</v>
      </c>
      <c r="G34" s="14">
        <v>0.11940000000000001</v>
      </c>
      <c r="H34" s="14">
        <v>23.96</v>
      </c>
      <c r="I34" s="14">
        <v>1740</v>
      </c>
      <c r="J34" s="14">
        <v>0.20599999999999999</v>
      </c>
      <c r="M34" s="16">
        <v>1</v>
      </c>
      <c r="O34" s="12">
        <f t="shared" si="0"/>
        <v>0</v>
      </c>
      <c r="P34" s="12">
        <f t="shared" si="1"/>
        <v>1</v>
      </c>
      <c r="R34" s="19">
        <v>-0.79230768316567257</v>
      </c>
      <c r="S34" s="19">
        <v>0.73363475549449986</v>
      </c>
      <c r="T34" s="19">
        <v>0.7440199999103263</v>
      </c>
      <c r="U34" s="19">
        <v>0.3547278955502951</v>
      </c>
      <c r="V34" s="19">
        <v>0.88626991494724228</v>
      </c>
      <c r="W34" s="19">
        <v>-0.65771938288813347</v>
      </c>
      <c r="X34" s="19">
        <v>-0.8101069759613958</v>
      </c>
      <c r="Y34" s="19">
        <v>0.84002027449027894</v>
      </c>
      <c r="Z34" s="19">
        <v>0.79541432913379084</v>
      </c>
      <c r="AA34" s="19">
        <v>0.91599374750220386</v>
      </c>
      <c r="AB34" s="19">
        <v>-0.72636599890360221</v>
      </c>
      <c r="AC34" s="19">
        <v>0.89360979383006567</v>
      </c>
      <c r="AD34" s="19">
        <v>-0.69538315911665805</v>
      </c>
      <c r="AE34" s="19">
        <v>0.90081248551176629</v>
      </c>
      <c r="AF34" s="19">
        <v>0.82613902531503636</v>
      </c>
      <c r="AG34" s="19">
        <v>0.76770417534900348</v>
      </c>
      <c r="AH34" s="19">
        <v>0.39037860729040808</v>
      </c>
      <c r="AI34" s="19">
        <v>-0.93093745947468387</v>
      </c>
      <c r="AJ34" s="19">
        <v>-0.44656081910671391</v>
      </c>
      <c r="AK34" s="19">
        <v>0.16373607262643755</v>
      </c>
      <c r="AM34" s="20">
        <v>-4.125406557455906E-3</v>
      </c>
      <c r="AN34" s="20">
        <v>1.0041425690173296</v>
      </c>
      <c r="AP34" s="21">
        <f t="shared" si="2"/>
        <v>1</v>
      </c>
    </row>
    <row r="35" spans="1:42">
      <c r="A35" s="14">
        <v>11.68</v>
      </c>
      <c r="B35" s="14">
        <v>16.170000000000002</v>
      </c>
      <c r="C35" s="14">
        <v>75.489999999999995</v>
      </c>
      <c r="D35" s="14">
        <v>420.5</v>
      </c>
      <c r="E35" s="14">
        <v>9.2630000000000004E-2</v>
      </c>
      <c r="F35" s="14">
        <v>4.2790000000000002E-2</v>
      </c>
      <c r="G35" s="14">
        <v>3.1320000000000001E-2</v>
      </c>
      <c r="H35" s="14">
        <v>13.32</v>
      </c>
      <c r="I35" s="14">
        <v>549.79999999999995</v>
      </c>
      <c r="J35" s="14">
        <v>9.8150000000000001E-2</v>
      </c>
      <c r="M35" s="16">
        <v>0</v>
      </c>
      <c r="O35" s="12">
        <f t="shared" si="0"/>
        <v>1</v>
      </c>
      <c r="P35" s="12">
        <f t="shared" si="1"/>
        <v>0</v>
      </c>
      <c r="R35" s="19">
        <v>-0.79083539314429907</v>
      </c>
      <c r="S35" s="19">
        <v>0.73500061201993194</v>
      </c>
      <c r="T35" s="19">
        <v>0.7211491143148635</v>
      </c>
      <c r="U35" s="19">
        <v>0.35416498089921677</v>
      </c>
      <c r="V35" s="19">
        <v>0.88749550865747606</v>
      </c>
      <c r="W35" s="19">
        <v>-0.65322623596740015</v>
      </c>
      <c r="X35" s="19">
        <v>-0.80929999494918414</v>
      </c>
      <c r="Y35" s="19">
        <v>0.84485281761790221</v>
      </c>
      <c r="Z35" s="19">
        <v>0.7912335717036707</v>
      </c>
      <c r="AA35" s="19">
        <v>0.9189683472466238</v>
      </c>
      <c r="AB35" s="19">
        <v>-0.73688301730368166</v>
      </c>
      <c r="AC35" s="19">
        <v>0.89733184901382235</v>
      </c>
      <c r="AD35" s="19">
        <v>-0.69863386038051012</v>
      </c>
      <c r="AE35" s="19">
        <v>0.9014056944103449</v>
      </c>
      <c r="AF35" s="19">
        <v>0.8360631985688689</v>
      </c>
      <c r="AG35" s="19">
        <v>0.7780440290346361</v>
      </c>
      <c r="AH35" s="19">
        <v>0.38916696116015342</v>
      </c>
      <c r="AI35" s="19">
        <v>-0.93248204244752042</v>
      </c>
      <c r="AJ35" s="19">
        <v>-0.44722588153239751</v>
      </c>
      <c r="AK35" s="19">
        <v>0.27540186650458376</v>
      </c>
      <c r="AM35" s="20">
        <v>-0.67917578712316251</v>
      </c>
      <c r="AN35" s="20">
        <v>1.6768939358327761</v>
      </c>
      <c r="AP35" s="21">
        <f t="shared" si="2"/>
        <v>1</v>
      </c>
    </row>
    <row r="36" spans="1:42">
      <c r="A36" s="14">
        <v>16.690000000000001</v>
      </c>
      <c r="B36" s="14">
        <v>20.2</v>
      </c>
      <c r="C36" s="14">
        <v>107.1</v>
      </c>
      <c r="D36" s="14">
        <v>857.6</v>
      </c>
      <c r="E36" s="14">
        <v>7.1120000000000003E-2</v>
      </c>
      <c r="F36" s="14">
        <v>3.6490000000000002E-2</v>
      </c>
      <c r="G36" s="14">
        <v>2.307E-2</v>
      </c>
      <c r="H36" s="14">
        <v>19.18</v>
      </c>
      <c r="I36" s="14">
        <v>1084</v>
      </c>
      <c r="J36" s="14">
        <v>8.7370000000000003E-2</v>
      </c>
      <c r="M36" s="16">
        <v>1</v>
      </c>
      <c r="O36" s="12">
        <f t="shared" si="0"/>
        <v>0</v>
      </c>
      <c r="P36" s="12">
        <f t="shared" si="1"/>
        <v>1</v>
      </c>
      <c r="R36" s="19">
        <v>-0.75075587944648925</v>
      </c>
      <c r="S36" s="19">
        <v>0.73647356656948904</v>
      </c>
      <c r="T36" s="19">
        <v>0.83176821451689398</v>
      </c>
      <c r="U36" s="19">
        <v>0.33290656273360203</v>
      </c>
      <c r="V36" s="19">
        <v>0.89226714823259934</v>
      </c>
      <c r="W36" s="19">
        <v>-0.56405742982172713</v>
      </c>
      <c r="X36" s="19">
        <v>-0.78037485312920063</v>
      </c>
      <c r="Y36" s="19">
        <v>0.88971272749262509</v>
      </c>
      <c r="Z36" s="19">
        <v>0.70287588953722857</v>
      </c>
      <c r="AA36" s="19">
        <v>0.94481552414504655</v>
      </c>
      <c r="AB36" s="19">
        <v>-0.84026761183389098</v>
      </c>
      <c r="AC36" s="19">
        <v>0.93048365563577573</v>
      </c>
      <c r="AD36" s="19">
        <v>-0.72490732779686251</v>
      </c>
      <c r="AE36" s="19">
        <v>0.89833744410747485</v>
      </c>
      <c r="AF36" s="19">
        <v>0.92288736598493792</v>
      </c>
      <c r="AG36" s="19">
        <v>0.87583712281311965</v>
      </c>
      <c r="AH36" s="19">
        <v>0.35754394896165193</v>
      </c>
      <c r="AI36" s="19">
        <v>-0.9439027419342193</v>
      </c>
      <c r="AJ36" s="19">
        <v>-0.44082016973881433</v>
      </c>
      <c r="AK36" s="19">
        <v>0.16447256000411056</v>
      </c>
      <c r="AM36" s="20">
        <v>0.8461779104440631</v>
      </c>
      <c r="AN36" s="20">
        <v>0.15400594881584254</v>
      </c>
      <c r="AP36" s="21">
        <f t="shared" si="2"/>
        <v>0</v>
      </c>
    </row>
    <row r="37" spans="1:42">
      <c r="A37" s="14">
        <v>12.25</v>
      </c>
      <c r="B37" s="14">
        <v>22.44</v>
      </c>
      <c r="C37" s="14">
        <v>78.180000000000007</v>
      </c>
      <c r="D37" s="14">
        <v>466.5</v>
      </c>
      <c r="E37" s="14">
        <v>5.1999999999999998E-2</v>
      </c>
      <c r="F37" s="14">
        <v>1.7139999999999999E-2</v>
      </c>
      <c r="G37" s="14">
        <v>1.261E-2</v>
      </c>
      <c r="H37" s="14">
        <v>14.17</v>
      </c>
      <c r="I37" s="14">
        <v>622.9</v>
      </c>
      <c r="J37" s="14">
        <v>6.3350000000000004E-2</v>
      </c>
      <c r="M37" s="16">
        <v>0</v>
      </c>
      <c r="O37" s="12">
        <f t="shared" si="0"/>
        <v>1</v>
      </c>
      <c r="P37" s="12">
        <f t="shared" si="1"/>
        <v>0</v>
      </c>
      <c r="R37" s="19">
        <v>-0.67955545199668888</v>
      </c>
      <c r="S37" s="19">
        <v>0.68266971843993129</v>
      </c>
      <c r="T37" s="19">
        <v>0.7970460852649548</v>
      </c>
      <c r="U37" s="19">
        <v>0.28928745793877891</v>
      </c>
      <c r="V37" s="19">
        <v>0.85483307902724115</v>
      </c>
      <c r="W37" s="19">
        <v>-0.47543791725633189</v>
      </c>
      <c r="X37" s="19">
        <v>-0.71549810802167657</v>
      </c>
      <c r="Y37" s="19">
        <v>0.86581100056713833</v>
      </c>
      <c r="Z37" s="19">
        <v>0.60699788217334649</v>
      </c>
      <c r="AA37" s="19">
        <v>0.92748451837542545</v>
      </c>
      <c r="AB37" s="19">
        <v>-0.82512095188865853</v>
      </c>
      <c r="AC37" s="19">
        <v>0.91151866852155372</v>
      </c>
      <c r="AD37" s="19">
        <v>-0.67985794237476627</v>
      </c>
      <c r="AE37" s="19">
        <v>0.85856405128070623</v>
      </c>
      <c r="AF37" s="19">
        <v>0.91450333453121524</v>
      </c>
      <c r="AG37" s="19">
        <v>0.86308650055702141</v>
      </c>
      <c r="AH37" s="19">
        <v>0.30796272526251728</v>
      </c>
      <c r="AI37" s="19">
        <v>-0.92140546182598304</v>
      </c>
      <c r="AJ37" s="19">
        <v>-0.39314926229978653</v>
      </c>
      <c r="AK37" s="19">
        <v>-3.7583149832291961E-2</v>
      </c>
      <c r="AM37" s="20">
        <v>1.0252666379769799</v>
      </c>
      <c r="AN37" s="20">
        <v>-2.5408668849138349E-2</v>
      </c>
      <c r="AP37" s="21">
        <f t="shared" si="2"/>
        <v>0</v>
      </c>
    </row>
    <row r="38" spans="1:42">
      <c r="A38" s="14">
        <v>17.850000000000001</v>
      </c>
      <c r="B38" s="14">
        <v>13.23</v>
      </c>
      <c r="C38" s="14">
        <v>114.6</v>
      </c>
      <c r="D38" s="14">
        <v>992.1</v>
      </c>
      <c r="E38" s="14">
        <v>6.2170000000000003E-2</v>
      </c>
      <c r="F38" s="14">
        <v>4.4450000000000003E-2</v>
      </c>
      <c r="G38" s="14">
        <v>4.1779999999999998E-2</v>
      </c>
      <c r="H38" s="14">
        <v>19.82</v>
      </c>
      <c r="I38" s="14">
        <v>1210</v>
      </c>
      <c r="J38" s="14">
        <v>8.3409999999999998E-2</v>
      </c>
      <c r="M38" s="16">
        <v>0</v>
      </c>
      <c r="O38" s="12">
        <f t="shared" si="0"/>
        <v>1</v>
      </c>
      <c r="P38" s="12">
        <f t="shared" si="1"/>
        <v>0</v>
      </c>
      <c r="R38" s="19">
        <v>-0.74492749276482284</v>
      </c>
      <c r="S38" s="19">
        <v>0.71054357099673193</v>
      </c>
      <c r="T38" s="19">
        <v>0.77320385996042684</v>
      </c>
      <c r="U38" s="19">
        <v>0.32457270535343308</v>
      </c>
      <c r="V38" s="19">
        <v>0.87228996807122494</v>
      </c>
      <c r="W38" s="19">
        <v>-0.58011393487270113</v>
      </c>
      <c r="X38" s="19">
        <v>-0.7700781121096606</v>
      </c>
      <c r="Y38" s="19">
        <v>0.85206282414118739</v>
      </c>
      <c r="Z38" s="19">
        <v>0.72052852199754625</v>
      </c>
      <c r="AA38" s="19">
        <v>0.92123327341148287</v>
      </c>
      <c r="AB38" s="19">
        <v>-0.77630851479219509</v>
      </c>
      <c r="AC38" s="19">
        <v>0.9019615222707531</v>
      </c>
      <c r="AD38" s="19">
        <v>-0.68780485599679231</v>
      </c>
      <c r="AE38" s="19">
        <v>0.88270797767819875</v>
      </c>
      <c r="AF38" s="19">
        <v>0.87383637056961327</v>
      </c>
      <c r="AG38" s="19">
        <v>0.81695325811574016</v>
      </c>
      <c r="AH38" s="19">
        <v>0.35265477442384158</v>
      </c>
      <c r="AI38" s="19">
        <v>-0.92642978058016245</v>
      </c>
      <c r="AJ38" s="19">
        <v>-0.42186083093485949</v>
      </c>
      <c r="AK38" s="19">
        <v>0.31811792136790423</v>
      </c>
      <c r="AM38" s="20">
        <v>0.79909872249804759</v>
      </c>
      <c r="AN38" s="20">
        <v>0.20081317087870459</v>
      </c>
      <c r="AP38" s="21">
        <f t="shared" si="2"/>
        <v>0</v>
      </c>
    </row>
    <row r="39" spans="1:42">
      <c r="A39" s="14">
        <v>18.010000000000002</v>
      </c>
      <c r="B39" s="14">
        <v>20.56</v>
      </c>
      <c r="C39" s="14">
        <v>118.4</v>
      </c>
      <c r="D39" s="14">
        <v>1007</v>
      </c>
      <c r="E39" s="14">
        <v>0.12889999999999999</v>
      </c>
      <c r="F39" s="14">
        <v>0.11700000000000001</v>
      </c>
      <c r="G39" s="14">
        <v>7.7619999999999995E-2</v>
      </c>
      <c r="H39" s="14">
        <v>21.53</v>
      </c>
      <c r="I39" s="14">
        <v>1426</v>
      </c>
      <c r="J39" s="14">
        <v>0.1489</v>
      </c>
      <c r="M39" s="16">
        <v>1</v>
      </c>
      <c r="O39" s="12">
        <f t="shared" si="0"/>
        <v>0</v>
      </c>
      <c r="P39" s="12">
        <f t="shared" si="1"/>
        <v>1</v>
      </c>
      <c r="R39" s="19">
        <v>-0.8121283867120711</v>
      </c>
      <c r="S39" s="19">
        <v>0.74184436919906882</v>
      </c>
      <c r="T39" s="19">
        <v>0.69762426132199518</v>
      </c>
      <c r="U39" s="19">
        <v>0.36843093313955572</v>
      </c>
      <c r="V39" s="19">
        <v>0.89066092967779997</v>
      </c>
      <c r="W39" s="19">
        <v>-0.69274929362537785</v>
      </c>
      <c r="X39" s="19">
        <v>-0.82653410743617728</v>
      </c>
      <c r="Y39" s="19">
        <v>0.8287185720351794</v>
      </c>
      <c r="Z39" s="19">
        <v>0.82643447258125835</v>
      </c>
      <c r="AA39" s="19">
        <v>0.91005462905104129</v>
      </c>
      <c r="AB39" s="19">
        <v>-0.68848465422026806</v>
      </c>
      <c r="AC39" s="19">
        <v>0.88528075214296253</v>
      </c>
      <c r="AD39" s="19">
        <v>-0.69506677789916671</v>
      </c>
      <c r="AE39" s="19">
        <v>0.90731490888222222</v>
      </c>
      <c r="AF39" s="19">
        <v>0.7870828150902569</v>
      </c>
      <c r="AG39" s="19">
        <v>0.72943608526446391</v>
      </c>
      <c r="AH39" s="19">
        <v>0.40795647828678694</v>
      </c>
      <c r="AI39" s="19">
        <v>-0.93113193626906787</v>
      </c>
      <c r="AJ39" s="19">
        <v>-0.45652372088634702</v>
      </c>
      <c r="AK39" s="19">
        <v>0.23294553218743358</v>
      </c>
      <c r="AM39" s="20">
        <v>0.62469773132940032</v>
      </c>
      <c r="AN39" s="20">
        <v>0.375288017016082</v>
      </c>
      <c r="AP39" s="21">
        <f t="shared" si="2"/>
        <v>0</v>
      </c>
    </row>
    <row r="40" spans="1:42">
      <c r="A40" s="14">
        <v>12.46</v>
      </c>
      <c r="B40" s="14">
        <v>12.83</v>
      </c>
      <c r="C40" s="14">
        <v>78.83</v>
      </c>
      <c r="D40" s="14">
        <v>477.3</v>
      </c>
      <c r="E40" s="14">
        <v>4.0430000000000001E-2</v>
      </c>
      <c r="F40" s="14">
        <v>7.1729999999999997E-3</v>
      </c>
      <c r="G40" s="14">
        <v>1.149E-2</v>
      </c>
      <c r="H40" s="14">
        <v>13.19</v>
      </c>
      <c r="I40" s="14">
        <v>534</v>
      </c>
      <c r="J40" s="14">
        <v>2.6800000000000001E-2</v>
      </c>
      <c r="M40" s="16">
        <v>0</v>
      </c>
      <c r="O40" s="12">
        <f t="shared" si="0"/>
        <v>1</v>
      </c>
      <c r="P40" s="12">
        <f t="shared" si="1"/>
        <v>0</v>
      </c>
      <c r="R40" s="19">
        <v>-0.72464826624963763</v>
      </c>
      <c r="S40" s="19">
        <v>0.71625052486717877</v>
      </c>
      <c r="T40" s="19">
        <v>0.81894031869386219</v>
      </c>
      <c r="U40" s="19">
        <v>0.31595539506649012</v>
      </c>
      <c r="V40" s="19">
        <v>0.87872507335497541</v>
      </c>
      <c r="W40" s="19">
        <v>-0.53086264996482746</v>
      </c>
      <c r="X40" s="19">
        <v>-0.75664127290905936</v>
      </c>
      <c r="Y40" s="19">
        <v>0.8806565496407458</v>
      </c>
      <c r="Z40" s="19">
        <v>0.66804336298611111</v>
      </c>
      <c r="AA40" s="19">
        <v>0.93843575529904499</v>
      </c>
      <c r="AB40" s="19">
        <v>-0.83412370082884135</v>
      </c>
      <c r="AC40" s="19">
        <v>0.92341426929733261</v>
      </c>
      <c r="AD40" s="19">
        <v>-0.70772276832982939</v>
      </c>
      <c r="AE40" s="19">
        <v>0.8841263610815383</v>
      </c>
      <c r="AF40" s="19">
        <v>0.91944596794495281</v>
      </c>
      <c r="AG40" s="19">
        <v>0.87065745224920865</v>
      </c>
      <c r="AH40" s="19">
        <v>0.33834787320839638</v>
      </c>
      <c r="AI40" s="19">
        <v>-0.93585423801686052</v>
      </c>
      <c r="AJ40" s="19">
        <v>-0.42233193287487991</v>
      </c>
      <c r="AK40" s="19">
        <v>0.44145630020049109</v>
      </c>
      <c r="AM40" s="20">
        <v>0.78855009931969766</v>
      </c>
      <c r="AN40" s="20">
        <v>0.21141956036100218</v>
      </c>
      <c r="AP40" s="21">
        <f t="shared" si="2"/>
        <v>0</v>
      </c>
    </row>
    <row r="41" spans="1:42">
      <c r="A41" s="14">
        <v>13.16</v>
      </c>
      <c r="B41" s="14">
        <v>20.54</v>
      </c>
      <c r="C41" s="14">
        <v>84.06</v>
      </c>
      <c r="D41" s="14">
        <v>538.70000000000005</v>
      </c>
      <c r="E41" s="14">
        <v>5.2749999999999998E-2</v>
      </c>
      <c r="F41" s="14">
        <v>1.7999999999999999E-2</v>
      </c>
      <c r="G41" s="14">
        <v>1.256E-2</v>
      </c>
      <c r="H41" s="14">
        <v>14.5</v>
      </c>
      <c r="I41" s="14">
        <v>648.29999999999995</v>
      </c>
      <c r="J41" s="14">
        <v>4.1950000000000001E-2</v>
      </c>
      <c r="M41" s="16">
        <v>0</v>
      </c>
      <c r="O41" s="12">
        <f t="shared" si="0"/>
        <v>1</v>
      </c>
      <c r="P41" s="12">
        <f t="shared" si="1"/>
        <v>0</v>
      </c>
      <c r="R41" s="19">
        <v>-0.68468633606582929</v>
      </c>
      <c r="S41" s="19">
        <v>0.68612077757517731</v>
      </c>
      <c r="T41" s="19">
        <v>0.80283594865716401</v>
      </c>
      <c r="U41" s="19">
        <v>0.29212189015478163</v>
      </c>
      <c r="V41" s="19">
        <v>0.85733292169491448</v>
      </c>
      <c r="W41" s="19">
        <v>-0.4819648554756284</v>
      </c>
      <c r="X41" s="19">
        <v>-0.72011462008726268</v>
      </c>
      <c r="Y41" s="19">
        <v>0.86700013322271852</v>
      </c>
      <c r="Z41" s="19">
        <v>0.61438651213750484</v>
      </c>
      <c r="AA41" s="19">
        <v>0.9284334823759306</v>
      </c>
      <c r="AB41" s="19">
        <v>-0.82533865890307434</v>
      </c>
      <c r="AC41" s="19">
        <v>0.91250510811004815</v>
      </c>
      <c r="AD41" s="19">
        <v>-0.68248804576605182</v>
      </c>
      <c r="AE41" s="19">
        <v>0.8613442023876462</v>
      </c>
      <c r="AF41" s="19">
        <v>0.91449444942167535</v>
      </c>
      <c r="AG41" s="19">
        <v>0.86322320560966237</v>
      </c>
      <c r="AH41" s="19">
        <v>0.31126096419264787</v>
      </c>
      <c r="AI41" s="19">
        <v>-0.92285461012184833</v>
      </c>
      <c r="AJ41" s="19">
        <v>-0.39612889443911004</v>
      </c>
      <c r="AK41" s="19">
        <v>0.17265826737081746</v>
      </c>
      <c r="AM41" s="20">
        <v>1.0333869792310146</v>
      </c>
      <c r="AN41" s="20">
        <v>-3.3248020565625279E-2</v>
      </c>
      <c r="AP41" s="21">
        <f t="shared" si="2"/>
        <v>0</v>
      </c>
    </row>
    <row r="42" spans="1:42">
      <c r="A42" s="14">
        <v>14.87</v>
      </c>
      <c r="B42" s="14">
        <v>20.21</v>
      </c>
      <c r="C42" s="14">
        <v>96.12</v>
      </c>
      <c r="D42" s="14">
        <v>680.9</v>
      </c>
      <c r="E42" s="14">
        <v>8.3449999999999996E-2</v>
      </c>
      <c r="F42" s="14">
        <v>6.8239999999999995E-2</v>
      </c>
      <c r="G42" s="14">
        <v>4.9509999999999998E-2</v>
      </c>
      <c r="H42" s="14">
        <v>16.010000000000002</v>
      </c>
      <c r="I42" s="14">
        <v>783.6</v>
      </c>
      <c r="J42" s="14">
        <v>0.1017</v>
      </c>
      <c r="M42" s="16">
        <v>0</v>
      </c>
      <c r="O42" s="12">
        <f t="shared" si="0"/>
        <v>1</v>
      </c>
      <c r="P42" s="12">
        <f t="shared" si="1"/>
        <v>0</v>
      </c>
      <c r="R42" s="19">
        <v>-0.83428856293171683</v>
      </c>
      <c r="S42" s="19">
        <v>0.75694913707014699</v>
      </c>
      <c r="T42" s="19">
        <v>0.7407634280681592</v>
      </c>
      <c r="U42" s="19">
        <v>0.38631789478984829</v>
      </c>
      <c r="V42" s="19">
        <v>0.89988961010259694</v>
      </c>
      <c r="W42" s="19">
        <v>-0.72750903025339975</v>
      </c>
      <c r="X42" s="19">
        <v>-0.84603584105414342</v>
      </c>
      <c r="Y42" s="19">
        <v>0.82689823982741695</v>
      </c>
      <c r="Z42" s="19">
        <v>0.85518633621568707</v>
      </c>
      <c r="AA42" s="19">
        <v>0.91049450703702828</v>
      </c>
      <c r="AB42" s="19">
        <v>-0.66443666408942625</v>
      </c>
      <c r="AC42" s="19">
        <v>0.88452169366238809</v>
      </c>
      <c r="AD42" s="19">
        <v>-0.70388978024031446</v>
      </c>
      <c r="AE42" s="19">
        <v>0.91741898258654775</v>
      </c>
      <c r="AF42" s="19">
        <v>0.7592274435667884</v>
      </c>
      <c r="AG42" s="19">
        <v>0.70425527479010996</v>
      </c>
      <c r="AH42" s="19">
        <v>0.42941059582917074</v>
      </c>
      <c r="AI42" s="19">
        <v>-0.93572944754139797</v>
      </c>
      <c r="AJ42" s="19">
        <v>-0.47253124441904548</v>
      </c>
      <c r="AK42" s="19">
        <v>0.53044095279914683</v>
      </c>
      <c r="AM42" s="20">
        <v>-1.1829183311276668E-2</v>
      </c>
      <c r="AN42" s="20">
        <v>1.011839329872269</v>
      </c>
      <c r="AP42" s="21">
        <f t="shared" si="2"/>
        <v>1</v>
      </c>
    </row>
    <row r="43" spans="1:42">
      <c r="A43" s="14">
        <v>12.65</v>
      </c>
      <c r="B43" s="14">
        <v>18.170000000000002</v>
      </c>
      <c r="C43" s="14">
        <v>82.69</v>
      </c>
      <c r="D43" s="14">
        <v>485.6</v>
      </c>
      <c r="E43" s="14">
        <v>0.13339999999999999</v>
      </c>
      <c r="F43" s="14">
        <v>8.0170000000000005E-2</v>
      </c>
      <c r="G43" s="14">
        <v>5.074E-2</v>
      </c>
      <c r="H43" s="14">
        <v>14.38</v>
      </c>
      <c r="I43" s="14">
        <v>633.70000000000005</v>
      </c>
      <c r="J43" s="14">
        <v>0.14069999999999999</v>
      </c>
      <c r="M43" s="16">
        <v>0</v>
      </c>
      <c r="O43" s="12">
        <f t="shared" si="0"/>
        <v>1</v>
      </c>
      <c r="P43" s="12">
        <f t="shared" si="1"/>
        <v>0</v>
      </c>
      <c r="R43" s="19">
        <v>-0.70965835200965655</v>
      </c>
      <c r="S43" s="19">
        <v>0.70360344585338663</v>
      </c>
      <c r="T43" s="19">
        <v>0.80735802337999429</v>
      </c>
      <c r="U43" s="19">
        <v>0.30649498834613048</v>
      </c>
      <c r="V43" s="19">
        <v>0.86978041565567032</v>
      </c>
      <c r="W43" s="19">
        <v>-0.51367772656054322</v>
      </c>
      <c r="X43" s="19">
        <v>-0.7426609511240595</v>
      </c>
      <c r="Y43" s="19">
        <v>0.87360101736838325</v>
      </c>
      <c r="Z43" s="19">
        <v>0.64958103704559411</v>
      </c>
      <c r="AA43" s="19">
        <v>0.93351778142399755</v>
      </c>
      <c r="AB43" s="19">
        <v>-0.82762735281146083</v>
      </c>
      <c r="AC43" s="19">
        <v>0.91789323633230246</v>
      </c>
      <c r="AD43" s="19">
        <v>-0.69624979844902724</v>
      </c>
      <c r="AE43" s="19">
        <v>0.87495670121240943</v>
      </c>
      <c r="AF43" s="19">
        <v>0.91530829722322349</v>
      </c>
      <c r="AG43" s="19">
        <v>0.86498921934484752</v>
      </c>
      <c r="AH43" s="19">
        <v>0.32786375530219242</v>
      </c>
      <c r="AI43" s="19">
        <v>-0.93015838865771305</v>
      </c>
      <c r="AJ43" s="19">
        <v>-0.41140631550159829</v>
      </c>
      <c r="AK43" s="19">
        <v>0.20869536286161283</v>
      </c>
      <c r="AM43" s="20">
        <v>0.65902496433889213</v>
      </c>
      <c r="AN43" s="20">
        <v>0.340905235701079</v>
      </c>
      <c r="AP43" s="21">
        <f t="shared" si="2"/>
        <v>0</v>
      </c>
    </row>
    <row r="44" spans="1:42">
      <c r="A44" s="14">
        <v>12.47</v>
      </c>
      <c r="B44" s="14">
        <v>17.309999999999999</v>
      </c>
      <c r="C44" s="14">
        <v>80.45</v>
      </c>
      <c r="D44" s="14">
        <v>480.1</v>
      </c>
      <c r="E44" s="14">
        <v>7.6300000000000007E-2</v>
      </c>
      <c r="F44" s="14">
        <v>3.6089999999999997E-2</v>
      </c>
      <c r="G44" s="14">
        <v>2.3689999999999999E-2</v>
      </c>
      <c r="H44" s="14">
        <v>14.06</v>
      </c>
      <c r="I44" s="14">
        <v>607.29999999999995</v>
      </c>
      <c r="J44" s="14">
        <v>0.1053</v>
      </c>
      <c r="M44" s="16">
        <v>0</v>
      </c>
      <c r="O44" s="12">
        <f t="shared" si="0"/>
        <v>1</v>
      </c>
      <c r="P44" s="12">
        <f t="shared" si="1"/>
        <v>0</v>
      </c>
      <c r="R44" s="19">
        <v>-0.79850286477365839</v>
      </c>
      <c r="S44" s="19">
        <v>0.73647361669191103</v>
      </c>
      <c r="T44" s="19">
        <v>0.6918375562308644</v>
      </c>
      <c r="U44" s="19">
        <v>0.35896717126081884</v>
      </c>
      <c r="V44" s="19">
        <v>0.88787608118044647</v>
      </c>
      <c r="W44" s="19">
        <v>-0.66835035446072244</v>
      </c>
      <c r="X44" s="19">
        <v>-0.81529462115540452</v>
      </c>
      <c r="Y44" s="19">
        <v>0.83737635686097722</v>
      </c>
      <c r="Z44" s="19">
        <v>0.80501442163210579</v>
      </c>
      <c r="AA44" s="19">
        <v>0.91468390035602698</v>
      </c>
      <c r="AB44" s="19">
        <v>-0.71673118043127038</v>
      </c>
      <c r="AC44" s="19">
        <v>0.89170044788191816</v>
      </c>
      <c r="AD44" s="19">
        <v>-0.69583403943406186</v>
      </c>
      <c r="AE44" s="19">
        <v>0.90300465880304959</v>
      </c>
      <c r="AF44" s="19">
        <v>0.81640438477462096</v>
      </c>
      <c r="AG44" s="19">
        <v>0.75803350901762734</v>
      </c>
      <c r="AH44" s="19">
        <v>0.39574476497129618</v>
      </c>
      <c r="AI44" s="19">
        <v>-0.93126148730477765</v>
      </c>
      <c r="AJ44" s="19">
        <v>-0.44982353712637696</v>
      </c>
      <c r="AK44" s="19">
        <v>0.12502350219416369</v>
      </c>
      <c r="AM44" s="20">
        <v>1.0655241599976633</v>
      </c>
      <c r="AN44" s="20">
        <v>-6.5446577342799003E-2</v>
      </c>
      <c r="AP44" s="21">
        <f t="shared" si="2"/>
        <v>0</v>
      </c>
    </row>
    <row r="45" spans="1:42">
      <c r="A45" s="14">
        <v>18.489999999999998</v>
      </c>
      <c r="B45" s="14">
        <v>17.52</v>
      </c>
      <c r="C45" s="14">
        <v>121.3</v>
      </c>
      <c r="D45" s="14">
        <v>1068</v>
      </c>
      <c r="E45" s="14">
        <v>0.13170000000000001</v>
      </c>
      <c r="F45" s="14">
        <v>0.14910000000000001</v>
      </c>
      <c r="G45" s="14">
        <v>9.1829999999999995E-2</v>
      </c>
      <c r="H45" s="14">
        <v>22.75</v>
      </c>
      <c r="I45" s="14">
        <v>1600</v>
      </c>
      <c r="J45" s="14">
        <v>0.1663</v>
      </c>
      <c r="M45" s="16">
        <v>1</v>
      </c>
      <c r="O45" s="12">
        <f t="shared" si="0"/>
        <v>0</v>
      </c>
      <c r="P45" s="12">
        <f t="shared" si="1"/>
        <v>1</v>
      </c>
      <c r="R45" s="19">
        <v>-0.774057745934843</v>
      </c>
      <c r="S45" s="19">
        <v>0.72707842575597426</v>
      </c>
      <c r="T45" s="19">
        <v>0.77052157927887122</v>
      </c>
      <c r="U45" s="19">
        <v>0.34309898490795676</v>
      </c>
      <c r="V45" s="19">
        <v>0.88287898369664086</v>
      </c>
      <c r="W45" s="19">
        <v>-0.62497596275101852</v>
      </c>
      <c r="X45" s="19">
        <v>-0.79521389378360596</v>
      </c>
      <c r="Y45" s="19">
        <v>0.85020966641621543</v>
      </c>
      <c r="Z45" s="19">
        <v>0.76474423131521552</v>
      </c>
      <c r="AA45" s="19">
        <v>0.92145755897266202</v>
      </c>
      <c r="AB45" s="19">
        <v>-0.75755707918961424</v>
      </c>
      <c r="AC45" s="19">
        <v>0.90110634779188148</v>
      </c>
      <c r="AD45" s="19">
        <v>-0.69659517857999043</v>
      </c>
      <c r="AE45" s="19">
        <v>0.89528610694763178</v>
      </c>
      <c r="AF45" s="19">
        <v>0.85596744024971894</v>
      </c>
      <c r="AG45" s="19">
        <v>0.79847802656629907</v>
      </c>
      <c r="AH45" s="19">
        <v>0.37524645569543985</v>
      </c>
      <c r="AI45" s="19">
        <v>-0.93123096420427165</v>
      </c>
      <c r="AJ45" s="19">
        <v>-0.43842226502667303</v>
      </c>
      <c r="AK45" s="19">
        <v>0.28285442583942366</v>
      </c>
      <c r="AM45" s="20">
        <v>0.75633014237782814</v>
      </c>
      <c r="AN45" s="20">
        <v>0.24366542121644263</v>
      </c>
      <c r="AP45" s="21">
        <f t="shared" si="2"/>
        <v>0</v>
      </c>
    </row>
    <row r="46" spans="1:42">
      <c r="A46" s="14">
        <v>20.59</v>
      </c>
      <c r="B46" s="14">
        <v>21.24</v>
      </c>
      <c r="C46" s="14">
        <v>137.80000000000001</v>
      </c>
      <c r="D46" s="14">
        <v>1320</v>
      </c>
      <c r="E46" s="14">
        <v>0.16439999999999999</v>
      </c>
      <c r="F46" s="14">
        <v>0.21879999999999999</v>
      </c>
      <c r="G46" s="14">
        <v>0.11210000000000001</v>
      </c>
      <c r="H46" s="14">
        <v>23.86</v>
      </c>
      <c r="I46" s="14">
        <v>1760</v>
      </c>
      <c r="J46" s="14">
        <v>0.21129999999999999</v>
      </c>
      <c r="M46" s="16">
        <v>1</v>
      </c>
      <c r="O46" s="12">
        <f t="shared" si="0"/>
        <v>0</v>
      </c>
      <c r="P46" s="12">
        <f t="shared" si="1"/>
        <v>1</v>
      </c>
      <c r="R46" s="19">
        <v>-0.75984495436078858</v>
      </c>
      <c r="S46" s="19">
        <v>0.73317780792871801</v>
      </c>
      <c r="T46" s="19">
        <v>0.80973998141454684</v>
      </c>
      <c r="U46" s="19">
        <v>0.336841077792008</v>
      </c>
      <c r="V46" s="19">
        <v>0.88897288393081553</v>
      </c>
      <c r="W46" s="19">
        <v>-0.58774718618647026</v>
      </c>
      <c r="X46" s="19">
        <v>-0.78617781072165982</v>
      </c>
      <c r="Y46" s="19">
        <v>0.87641312639766356</v>
      </c>
      <c r="Z46" s="19">
        <v>0.72755342988153648</v>
      </c>
      <c r="AA46" s="19">
        <v>0.93710766961336112</v>
      </c>
      <c r="AB46" s="19">
        <v>-0.81312569481824015</v>
      </c>
      <c r="AC46" s="19">
        <v>0.92076938550568888</v>
      </c>
      <c r="AD46" s="19">
        <v>-0.71479775300769766</v>
      </c>
      <c r="AE46" s="19">
        <v>0.89732439197744229</v>
      </c>
      <c r="AF46" s="19">
        <v>0.90252844348452455</v>
      </c>
      <c r="AG46" s="19">
        <v>0.8510601260076337</v>
      </c>
      <c r="AH46" s="19">
        <v>0.3643083360925356</v>
      </c>
      <c r="AI46" s="19">
        <v>-0.93954998274252299</v>
      </c>
      <c r="AJ46" s="19">
        <v>-0.44008046104646692</v>
      </c>
      <c r="AK46" s="19">
        <v>0.27797331440069173</v>
      </c>
      <c r="AM46" s="20">
        <v>0.7736713131628099</v>
      </c>
      <c r="AN46" s="20">
        <v>0.22633758547750074</v>
      </c>
      <c r="AP46" s="21">
        <f t="shared" si="2"/>
        <v>0</v>
      </c>
    </row>
    <row r="47" spans="1:42">
      <c r="A47" s="14">
        <v>15.04</v>
      </c>
      <c r="B47" s="14">
        <v>16.739999999999998</v>
      </c>
      <c r="C47" s="14">
        <v>98.73</v>
      </c>
      <c r="D47" s="14">
        <v>689.4</v>
      </c>
      <c r="E47" s="14">
        <v>0.13639999999999999</v>
      </c>
      <c r="F47" s="14">
        <v>7.7210000000000001E-2</v>
      </c>
      <c r="G47" s="14">
        <v>6.1420000000000002E-2</v>
      </c>
      <c r="H47" s="14">
        <v>16.760000000000002</v>
      </c>
      <c r="I47" s="14">
        <v>856.9</v>
      </c>
      <c r="J47" s="14">
        <v>0.1018</v>
      </c>
      <c r="M47" s="16">
        <v>0</v>
      </c>
      <c r="O47" s="12">
        <f t="shared" si="0"/>
        <v>1</v>
      </c>
      <c r="P47" s="12">
        <f t="shared" si="1"/>
        <v>0</v>
      </c>
      <c r="R47" s="19">
        <v>-0.7909355816746908</v>
      </c>
      <c r="S47" s="19">
        <v>0.74528519065514476</v>
      </c>
      <c r="T47" s="19">
        <v>0.81149771189898567</v>
      </c>
      <c r="U47" s="19">
        <v>0.35644028674028494</v>
      </c>
      <c r="V47" s="19">
        <v>0.89543230979819599</v>
      </c>
      <c r="W47" s="19">
        <v>-0.64314343035879906</v>
      </c>
      <c r="X47" s="19">
        <v>-0.81154996703828597</v>
      </c>
      <c r="Y47" s="19">
        <v>0.86492720604307183</v>
      </c>
      <c r="Z47" s="19">
        <v>0.78151511963886355</v>
      </c>
      <c r="AA47" s="19">
        <v>0.93143608419229629</v>
      </c>
      <c r="AB47" s="19">
        <v>-0.77608731197326541</v>
      </c>
      <c r="AC47" s="19">
        <v>0.91269802183805782</v>
      </c>
      <c r="AD47" s="19">
        <v>-0.71540793789458423</v>
      </c>
      <c r="AE47" s="19">
        <v>0.90697119868008791</v>
      </c>
      <c r="AF47" s="19">
        <v>0.87082167932938981</v>
      </c>
      <c r="AG47" s="19">
        <v>0.81582358091948692</v>
      </c>
      <c r="AH47" s="19">
        <v>0.38949186684919013</v>
      </c>
      <c r="AI47" s="19">
        <v>-0.94025120958507036</v>
      </c>
      <c r="AJ47" s="19">
        <v>-0.45458623838459244</v>
      </c>
      <c r="AK47" s="19">
        <v>0.37310922096382615</v>
      </c>
      <c r="AM47" s="20">
        <v>0.94672437078132876</v>
      </c>
      <c r="AN47" s="20">
        <v>5.3419672576024931E-2</v>
      </c>
      <c r="AP47" s="21">
        <f t="shared" si="2"/>
        <v>0</v>
      </c>
    </row>
    <row r="48" spans="1:42">
      <c r="A48" s="14">
        <v>13.82</v>
      </c>
      <c r="B48" s="14">
        <v>24.49</v>
      </c>
      <c r="C48" s="14">
        <v>92.33</v>
      </c>
      <c r="D48" s="14">
        <v>595.9</v>
      </c>
      <c r="E48" s="14">
        <v>0.1681</v>
      </c>
      <c r="F48" s="14">
        <v>0.13569999999999999</v>
      </c>
      <c r="G48" s="14">
        <v>6.7589999999999997E-2</v>
      </c>
      <c r="H48" s="14">
        <v>16.010000000000002</v>
      </c>
      <c r="I48" s="14">
        <v>788</v>
      </c>
      <c r="J48" s="14">
        <v>0.15210000000000001</v>
      </c>
      <c r="M48" s="16">
        <v>1</v>
      </c>
      <c r="O48" s="12">
        <f t="shared" si="0"/>
        <v>0</v>
      </c>
      <c r="P48" s="12">
        <f t="shared" si="1"/>
        <v>1</v>
      </c>
      <c r="R48" s="19">
        <v>-0.76402807263976003</v>
      </c>
      <c r="S48" s="19">
        <v>0.71785356905330655</v>
      </c>
      <c r="T48" s="19">
        <v>0.741754758129337</v>
      </c>
      <c r="U48" s="19">
        <v>0.33582490874951582</v>
      </c>
      <c r="V48" s="19">
        <v>0.87642842556923561</v>
      </c>
      <c r="W48" s="19">
        <v>-0.61290751223536299</v>
      </c>
      <c r="X48" s="19">
        <v>-0.78579412041753105</v>
      </c>
      <c r="Y48" s="19">
        <v>0.84425996623816835</v>
      </c>
      <c r="Z48" s="19">
        <v>0.75326908083266009</v>
      </c>
      <c r="AA48" s="19">
        <v>0.9171531837457455</v>
      </c>
      <c r="AB48" s="19">
        <v>-0.75209922494221193</v>
      </c>
      <c r="AC48" s="19">
        <v>0.89627473023913551</v>
      </c>
      <c r="AD48" s="19">
        <v>-0.68798490560158554</v>
      </c>
      <c r="AE48" s="19">
        <v>0.88897921425996618</v>
      </c>
      <c r="AF48" s="19">
        <v>0.85185769500866748</v>
      </c>
      <c r="AG48" s="19">
        <v>0.79344360936547698</v>
      </c>
      <c r="AH48" s="19">
        <v>0.36717028012503966</v>
      </c>
      <c r="AI48" s="19">
        <v>-0.92681508744929264</v>
      </c>
      <c r="AJ48" s="19">
        <v>-0.43021208615160339</v>
      </c>
      <c r="AK48" s="19">
        <v>3.2431033498256483E-2</v>
      </c>
      <c r="AM48" s="20">
        <v>1.0316546096727899</v>
      </c>
      <c r="AN48" s="20">
        <v>-3.1604431424367509E-2</v>
      </c>
      <c r="AP48" s="21">
        <f t="shared" si="2"/>
        <v>0</v>
      </c>
    </row>
    <row r="49" spans="1:42">
      <c r="A49" s="14">
        <v>12.54</v>
      </c>
      <c r="B49" s="14">
        <v>16.32</v>
      </c>
      <c r="C49" s="14">
        <v>81.25</v>
      </c>
      <c r="D49" s="14">
        <v>476.3</v>
      </c>
      <c r="E49" s="14">
        <v>0.1085</v>
      </c>
      <c r="F49" s="14">
        <v>5.9279999999999999E-2</v>
      </c>
      <c r="G49" s="14">
        <v>3.279E-2</v>
      </c>
      <c r="H49" s="14">
        <v>13.57</v>
      </c>
      <c r="I49" s="14">
        <v>552</v>
      </c>
      <c r="J49" s="14">
        <v>8.4110000000000004E-2</v>
      </c>
      <c r="M49" s="16">
        <v>0</v>
      </c>
      <c r="O49" s="12">
        <f t="shared" si="0"/>
        <v>1</v>
      </c>
      <c r="P49" s="12">
        <f t="shared" si="1"/>
        <v>0</v>
      </c>
      <c r="R49" s="19">
        <v>-0.77510054074696921</v>
      </c>
      <c r="S49" s="19">
        <v>0.73442480413292688</v>
      </c>
      <c r="T49" s="19">
        <v>0.775742078190228</v>
      </c>
      <c r="U49" s="19">
        <v>0.34521765570963425</v>
      </c>
      <c r="V49" s="19">
        <v>0.88856267875925865</v>
      </c>
      <c r="W49" s="19">
        <v>-0.61968448984184388</v>
      </c>
      <c r="X49" s="19">
        <v>-0.79758765765601147</v>
      </c>
      <c r="Y49" s="19">
        <v>0.8628689382204181</v>
      </c>
      <c r="Z49" s="19">
        <v>0.75937481302779264</v>
      </c>
      <c r="AA49" s="19">
        <v>0.92942922955832974</v>
      </c>
      <c r="AB49" s="19">
        <v>-0.78087620285048087</v>
      </c>
      <c r="AC49" s="19">
        <v>0.91082887390573275</v>
      </c>
      <c r="AD49" s="19">
        <v>-0.70777931421559137</v>
      </c>
      <c r="AE49" s="19">
        <v>0.89950021583099704</v>
      </c>
      <c r="AF49" s="19">
        <v>0.87588046631898175</v>
      </c>
      <c r="AG49" s="19">
        <v>0.8206961550948676</v>
      </c>
      <c r="AH49" s="19">
        <v>0.37624742126587263</v>
      </c>
      <c r="AI49" s="19">
        <v>-0.93655098793592473</v>
      </c>
      <c r="AJ49" s="19">
        <v>-0.44376262372843162</v>
      </c>
      <c r="AK49" s="19">
        <v>0.31703906940710735</v>
      </c>
      <c r="AM49" s="20">
        <v>1.0105783732328586</v>
      </c>
      <c r="AN49" s="20">
        <v>-1.0706307184003575E-2</v>
      </c>
      <c r="AP49" s="21">
        <f t="shared" si="2"/>
        <v>0</v>
      </c>
    </row>
    <row r="50" spans="1:42">
      <c r="A50" s="14">
        <v>23.09</v>
      </c>
      <c r="B50" s="14">
        <v>19.829999999999998</v>
      </c>
      <c r="C50" s="14">
        <v>152.1</v>
      </c>
      <c r="D50" s="14">
        <v>1682</v>
      </c>
      <c r="E50" s="14">
        <v>0.1275</v>
      </c>
      <c r="F50" s="14">
        <v>0.1676</v>
      </c>
      <c r="G50" s="14">
        <v>0.1003</v>
      </c>
      <c r="H50" s="14">
        <v>30.79</v>
      </c>
      <c r="I50" s="14">
        <v>2782</v>
      </c>
      <c r="J50" s="14">
        <v>0.22639999999999999</v>
      </c>
      <c r="M50" s="16">
        <v>1</v>
      </c>
      <c r="O50" s="12">
        <f t="shared" si="0"/>
        <v>0</v>
      </c>
      <c r="P50" s="12">
        <f t="shared" si="1"/>
        <v>1</v>
      </c>
      <c r="R50" s="19">
        <v>-0.90800412751194048</v>
      </c>
      <c r="S50" s="19">
        <v>0.79036041017010783</v>
      </c>
      <c r="T50" s="19">
        <v>0.20821390339573298</v>
      </c>
      <c r="U50" s="19">
        <v>0.45767334599989007</v>
      </c>
      <c r="V50" s="19">
        <v>0.91512062550878681</v>
      </c>
      <c r="W50" s="19">
        <v>-0.86204121527881916</v>
      </c>
      <c r="X50" s="19">
        <v>-0.90828874001855364</v>
      </c>
      <c r="Y50" s="19">
        <v>0.72013604140202325</v>
      </c>
      <c r="Z50" s="19">
        <v>0.94764863899154417</v>
      </c>
      <c r="AA50" s="19">
        <v>0.8507408397870041</v>
      </c>
      <c r="AB50" s="19">
        <v>-0.28950327367399148</v>
      </c>
      <c r="AC50" s="19">
        <v>0.801333915106207</v>
      </c>
      <c r="AD50" s="19">
        <v>-0.68816078007996828</v>
      </c>
      <c r="AE50" s="19">
        <v>0.9412508043148673</v>
      </c>
      <c r="AF50" s="19">
        <v>0.25211704812649705</v>
      </c>
      <c r="AG50" s="19">
        <v>0.29105884924868719</v>
      </c>
      <c r="AH50" s="19">
        <v>0.52042144382445321</v>
      </c>
      <c r="AI50" s="19">
        <v>-0.930203344013804</v>
      </c>
      <c r="AJ50" s="19">
        <v>-0.52013571939228187</v>
      </c>
      <c r="AK50" s="19">
        <v>-7.8451138276301208E-2</v>
      </c>
      <c r="AM50" s="20">
        <v>0.55463973396024835</v>
      </c>
      <c r="AN50" s="20">
        <v>0.44540697580468752</v>
      </c>
      <c r="AP50" s="21">
        <f t="shared" si="2"/>
        <v>0</v>
      </c>
    </row>
    <row r="51" spans="1:42">
      <c r="A51" s="14">
        <v>9.2680000000000007</v>
      </c>
      <c r="B51" s="14">
        <v>12.87</v>
      </c>
      <c r="C51" s="14">
        <v>61.49</v>
      </c>
      <c r="D51" s="14">
        <v>248.7</v>
      </c>
      <c r="E51" s="14">
        <v>0.22389999999999999</v>
      </c>
      <c r="F51" s="14">
        <v>9.7299999999999998E-2</v>
      </c>
      <c r="G51" s="14">
        <v>5.2519999999999997E-2</v>
      </c>
      <c r="H51" s="14">
        <v>10.28</v>
      </c>
      <c r="I51" s="14">
        <v>300.2</v>
      </c>
      <c r="J51" s="14">
        <v>0.10249999999999999</v>
      </c>
      <c r="M51" s="16">
        <v>0</v>
      </c>
      <c r="O51" s="12">
        <f t="shared" si="0"/>
        <v>1</v>
      </c>
      <c r="P51" s="12">
        <f t="shared" si="1"/>
        <v>0</v>
      </c>
      <c r="R51" s="19">
        <v>-0.74446953601467802</v>
      </c>
      <c r="S51" s="19">
        <v>0.69840309811447099</v>
      </c>
      <c r="T51" s="19">
        <v>0.71656944768077013</v>
      </c>
      <c r="U51" s="19">
        <v>0.32193672811219481</v>
      </c>
      <c r="V51" s="19">
        <v>0.86216592957709082</v>
      </c>
      <c r="W51" s="19">
        <v>-0.59152688708249079</v>
      </c>
      <c r="X51" s="19">
        <v>-0.76698926465102879</v>
      </c>
      <c r="Y51" s="19">
        <v>0.8292646769287364</v>
      </c>
      <c r="Z51" s="19">
        <v>0.7325665370824026</v>
      </c>
      <c r="AA51" s="19">
        <v>0.90632723903653489</v>
      </c>
      <c r="AB51" s="19">
        <v>-0.73554132459515364</v>
      </c>
      <c r="AC51" s="19">
        <v>0.88402672360465195</v>
      </c>
      <c r="AD51" s="19">
        <v>-0.66881286451992772</v>
      </c>
      <c r="AE51" s="19">
        <v>0.87532437605431745</v>
      </c>
      <c r="AF51" s="19">
        <v>0.8383993940429677</v>
      </c>
      <c r="AG51" s="19">
        <v>0.77783286424297071</v>
      </c>
      <c r="AH51" s="19">
        <v>0.35205690585684374</v>
      </c>
      <c r="AI51" s="19">
        <v>-0.91644262136698496</v>
      </c>
      <c r="AJ51" s="19">
        <v>-0.41372177407085164</v>
      </c>
      <c r="AK51" s="19">
        <v>0.10476251735422282</v>
      </c>
      <c r="AM51" s="20">
        <v>1.0236749994863532</v>
      </c>
      <c r="AN51" s="20">
        <v>-2.3705823518824963E-2</v>
      </c>
      <c r="AP51" s="21">
        <f t="shared" si="2"/>
        <v>0</v>
      </c>
    </row>
    <row r="52" spans="1:42">
      <c r="A52" s="14">
        <v>9.6760000000000002</v>
      </c>
      <c r="B52" s="14">
        <v>13.14</v>
      </c>
      <c r="C52" s="14">
        <v>64.12</v>
      </c>
      <c r="D52" s="14">
        <v>272.5</v>
      </c>
      <c r="E52" s="14">
        <v>0.22040000000000001</v>
      </c>
      <c r="F52" s="14">
        <v>0.1188</v>
      </c>
      <c r="G52" s="14">
        <v>7.0379999999999998E-2</v>
      </c>
      <c r="H52" s="14">
        <v>10.6</v>
      </c>
      <c r="I52" s="14">
        <v>328.1</v>
      </c>
      <c r="J52" s="14">
        <v>0.1075</v>
      </c>
      <c r="M52" s="16">
        <v>0</v>
      </c>
      <c r="O52" s="12">
        <f t="shared" si="0"/>
        <v>1</v>
      </c>
      <c r="P52" s="12">
        <f t="shared" si="1"/>
        <v>0</v>
      </c>
      <c r="R52" s="19">
        <v>-0.8249351198646091</v>
      </c>
      <c r="S52" s="19">
        <v>0.76273520577759002</v>
      </c>
      <c r="T52" s="19">
        <v>0.77266747006925851</v>
      </c>
      <c r="U52" s="19">
        <v>0.38129550569176779</v>
      </c>
      <c r="V52" s="19">
        <v>0.90519202288948231</v>
      </c>
      <c r="W52" s="19">
        <v>-0.70156815430023534</v>
      </c>
      <c r="X52" s="19">
        <v>-0.84016350893616232</v>
      </c>
      <c r="Y52" s="19">
        <v>0.8553218172880982</v>
      </c>
      <c r="Z52" s="19">
        <v>0.83348047311352547</v>
      </c>
      <c r="AA52" s="19">
        <v>0.92739914725948336</v>
      </c>
      <c r="AB52" s="19">
        <v>-0.73379104047195587</v>
      </c>
      <c r="AC52" s="19">
        <v>0.90618800161186919</v>
      </c>
      <c r="AD52" s="19">
        <v>-0.72111041675683463</v>
      </c>
      <c r="AE52" s="19">
        <v>0.91931963296749908</v>
      </c>
      <c r="AF52" s="19">
        <v>0.83001052332342096</v>
      </c>
      <c r="AG52" s="19">
        <v>0.77405706227487414</v>
      </c>
      <c r="AH52" s="19">
        <v>0.4204089919478719</v>
      </c>
      <c r="AI52" s="19">
        <v>-0.94327764245095291</v>
      </c>
      <c r="AJ52" s="19">
        <v>-0.47465040933909824</v>
      </c>
      <c r="AK52" s="19">
        <v>0.26106578926296881</v>
      </c>
      <c r="AM52" s="20">
        <v>1.0300550720398478</v>
      </c>
      <c r="AN52" s="20">
        <v>-3.0036744279512143E-2</v>
      </c>
      <c r="AP52" s="21">
        <f t="shared" si="2"/>
        <v>0</v>
      </c>
    </row>
    <row r="53" spans="1:42">
      <c r="A53" s="14">
        <v>12.22</v>
      </c>
      <c r="B53" s="14">
        <v>20.04</v>
      </c>
      <c r="C53" s="14">
        <v>79.47</v>
      </c>
      <c r="D53" s="14">
        <v>453.1</v>
      </c>
      <c r="E53" s="14">
        <v>0.1152</v>
      </c>
      <c r="F53" s="14">
        <v>8.1750000000000003E-2</v>
      </c>
      <c r="G53" s="14">
        <v>2.1659999999999999E-2</v>
      </c>
      <c r="H53" s="14">
        <v>13.16</v>
      </c>
      <c r="I53" s="14">
        <v>515.29999999999995</v>
      </c>
      <c r="J53" s="14">
        <v>8.0879999999999994E-2</v>
      </c>
      <c r="M53" s="16">
        <v>0</v>
      </c>
      <c r="O53" s="12">
        <f t="shared" si="0"/>
        <v>1</v>
      </c>
      <c r="P53" s="12">
        <f t="shared" si="1"/>
        <v>0</v>
      </c>
      <c r="R53" s="19">
        <v>-0.77050740267040607</v>
      </c>
      <c r="S53" s="19">
        <v>0.7181777592484665</v>
      </c>
      <c r="T53" s="19">
        <v>0.71908282597673834</v>
      </c>
      <c r="U53" s="19">
        <v>0.33934121274342566</v>
      </c>
      <c r="V53" s="19">
        <v>0.87604743271631424</v>
      </c>
      <c r="W53" s="19">
        <v>-0.62627813496782225</v>
      </c>
      <c r="X53" s="19">
        <v>-0.79066064601837815</v>
      </c>
      <c r="Y53" s="19">
        <v>0.83687377097651872</v>
      </c>
      <c r="Z53" s="19">
        <v>0.76627255932446259</v>
      </c>
      <c r="AA53" s="19">
        <v>0.91273855211663335</v>
      </c>
      <c r="AB53" s="19">
        <v>-0.73441669408115806</v>
      </c>
      <c r="AC53" s="19">
        <v>0.89063317442849721</v>
      </c>
      <c r="AD53" s="19">
        <v>-0.68442188839992435</v>
      </c>
      <c r="AE53" s="19">
        <v>0.88984592970006204</v>
      </c>
      <c r="AF53" s="19">
        <v>0.83544668458744598</v>
      </c>
      <c r="AG53" s="19">
        <v>0.77614289599805897</v>
      </c>
      <c r="AH53" s="19">
        <v>0.37223329296980928</v>
      </c>
      <c r="AI53" s="19">
        <v>-0.92511416849646499</v>
      </c>
      <c r="AJ53" s="19">
        <v>-0.43163561740352596</v>
      </c>
      <c r="AK53" s="19">
        <v>0.16499791033780686</v>
      </c>
      <c r="AM53" s="20">
        <v>0.3210780140610488</v>
      </c>
      <c r="AN53" s="20">
        <v>0.67902353335719967</v>
      </c>
      <c r="AP53" s="21">
        <f t="shared" si="2"/>
        <v>1</v>
      </c>
    </row>
    <row r="54" spans="1:42">
      <c r="A54" s="14">
        <v>11.06</v>
      </c>
      <c r="B54" s="14">
        <v>17.12</v>
      </c>
      <c r="C54" s="14">
        <v>71.25</v>
      </c>
      <c r="D54" s="14">
        <v>366.5</v>
      </c>
      <c r="E54" s="14">
        <v>0.1071</v>
      </c>
      <c r="F54" s="14">
        <v>4.0629999999999999E-2</v>
      </c>
      <c r="G54" s="14">
        <v>4.2680000000000003E-2</v>
      </c>
      <c r="H54" s="14">
        <v>11.69</v>
      </c>
      <c r="I54" s="14">
        <v>411.1</v>
      </c>
      <c r="J54" s="14">
        <v>9.5140000000000002E-2</v>
      </c>
      <c r="M54" s="16">
        <v>0</v>
      </c>
      <c r="O54" s="12">
        <f t="shared" si="0"/>
        <v>1</v>
      </c>
      <c r="P54" s="12">
        <f t="shared" si="1"/>
        <v>0</v>
      </c>
      <c r="R54" s="19">
        <v>-0.78921406679200368</v>
      </c>
      <c r="S54" s="19">
        <v>0.74337280846283016</v>
      </c>
      <c r="T54" s="19">
        <v>0.80220379996146185</v>
      </c>
      <c r="U54" s="19">
        <v>0.35503336984821965</v>
      </c>
      <c r="V54" s="19">
        <v>0.89413811817816857</v>
      </c>
      <c r="W54" s="19">
        <v>-0.64131389550532769</v>
      </c>
      <c r="X54" s="19">
        <v>-0.80987804618898751</v>
      </c>
      <c r="Y54" s="19">
        <v>0.86335580693143099</v>
      </c>
      <c r="Z54" s="19">
        <v>0.7798489465098839</v>
      </c>
      <c r="AA54" s="19">
        <v>0.93039247419824522</v>
      </c>
      <c r="AB54" s="19">
        <v>-0.77402591556121447</v>
      </c>
      <c r="AC54" s="19">
        <v>0.91147531892590439</v>
      </c>
      <c r="AD54" s="19">
        <v>-0.71339909998873685</v>
      </c>
      <c r="AE54" s="19">
        <v>0.90577758072454839</v>
      </c>
      <c r="AF54" s="19">
        <v>0.86918202947624446</v>
      </c>
      <c r="AG54" s="19">
        <v>0.81390037285051287</v>
      </c>
      <c r="AH54" s="19">
        <v>0.38800090503903856</v>
      </c>
      <c r="AI54" s="19">
        <v>-0.93932455308562435</v>
      </c>
      <c r="AJ54" s="19">
        <v>-0.4528657700235299</v>
      </c>
      <c r="AK54" s="19">
        <v>0.50399030626105967</v>
      </c>
      <c r="AM54" s="20">
        <v>1.0496652340559272</v>
      </c>
      <c r="AN54" s="20">
        <v>-4.9724007219824159E-2</v>
      </c>
      <c r="AP54" s="21">
        <f t="shared" si="2"/>
        <v>0</v>
      </c>
    </row>
    <row r="55" spans="1:42">
      <c r="A55" s="14">
        <v>16.3</v>
      </c>
      <c r="B55" s="14">
        <v>15.7</v>
      </c>
      <c r="C55" s="14">
        <v>104.7</v>
      </c>
      <c r="D55" s="14">
        <v>819.8</v>
      </c>
      <c r="E55" s="14">
        <v>6.7119999999999999E-2</v>
      </c>
      <c r="F55" s="14">
        <v>5.5259999999999997E-2</v>
      </c>
      <c r="G55" s="14">
        <v>4.5629999999999997E-2</v>
      </c>
      <c r="H55" s="14">
        <v>17.32</v>
      </c>
      <c r="I55" s="14">
        <v>928.2</v>
      </c>
      <c r="J55" s="14">
        <v>0.13569999999999999</v>
      </c>
      <c r="M55" s="16">
        <v>0</v>
      </c>
      <c r="O55" s="12">
        <f t="shared" si="0"/>
        <v>1</v>
      </c>
      <c r="P55" s="12">
        <f t="shared" si="1"/>
        <v>0</v>
      </c>
      <c r="R55" s="19">
        <v>-0.87011905695989888</v>
      </c>
      <c r="S55" s="19">
        <v>0.77161312906055823</v>
      </c>
      <c r="T55" s="19">
        <v>0.51516560190707805</v>
      </c>
      <c r="U55" s="19">
        <v>0.41687142067375232</v>
      </c>
      <c r="V55" s="19">
        <v>0.90666935792598491</v>
      </c>
      <c r="W55" s="19">
        <v>-0.79370725961946265</v>
      </c>
      <c r="X55" s="19">
        <v>-0.87582861690141012</v>
      </c>
      <c r="Y55" s="19">
        <v>0.78803240624348925</v>
      </c>
      <c r="Z55" s="19">
        <v>0.90478370963888566</v>
      </c>
      <c r="AA55" s="19">
        <v>0.88919002404575243</v>
      </c>
      <c r="AB55" s="19">
        <v>-0.5310746362474621</v>
      </c>
      <c r="AC55" s="19">
        <v>0.85500105101495516</v>
      </c>
      <c r="AD55" s="19">
        <v>-0.69765617799903124</v>
      </c>
      <c r="AE55" s="19">
        <v>0.92842383720675703</v>
      </c>
      <c r="AF55" s="19">
        <v>0.59662122884262048</v>
      </c>
      <c r="AG55" s="19">
        <v>0.56225098426685394</v>
      </c>
      <c r="AH55" s="19">
        <v>0.46876857448182768</v>
      </c>
      <c r="AI55" s="19">
        <v>-0.9335968631089836</v>
      </c>
      <c r="AJ55" s="19">
        <v>-0.4929419147563372</v>
      </c>
      <c r="AK55" s="19">
        <v>0.23742083813004902</v>
      </c>
      <c r="AM55" s="20">
        <v>0.69934713394379877</v>
      </c>
      <c r="AN55" s="20">
        <v>0.30066784916627853</v>
      </c>
      <c r="AP55" s="21">
        <f t="shared" si="2"/>
        <v>0</v>
      </c>
    </row>
    <row r="56" spans="1:42">
      <c r="A56" s="14">
        <v>15.46</v>
      </c>
      <c r="B56" s="14">
        <v>23.95</v>
      </c>
      <c r="C56" s="14">
        <v>103.8</v>
      </c>
      <c r="D56" s="14">
        <v>731.3</v>
      </c>
      <c r="E56" s="14">
        <v>0.187</v>
      </c>
      <c r="F56" s="14">
        <v>0.20300000000000001</v>
      </c>
      <c r="G56" s="14">
        <v>8.5199999999999998E-2</v>
      </c>
      <c r="H56" s="14">
        <v>17.11</v>
      </c>
      <c r="I56" s="14">
        <v>909.4</v>
      </c>
      <c r="J56" s="14">
        <v>0.21629999999999999</v>
      </c>
      <c r="M56" s="16">
        <v>1</v>
      </c>
      <c r="O56" s="12">
        <f t="shared" si="0"/>
        <v>0</v>
      </c>
      <c r="P56" s="12">
        <f t="shared" si="1"/>
        <v>1</v>
      </c>
      <c r="R56" s="19">
        <v>-0.65072343801790633</v>
      </c>
      <c r="S56" s="19">
        <v>0.69266770699465008</v>
      </c>
      <c r="T56" s="19">
        <v>0.85732161048109212</v>
      </c>
      <c r="U56" s="19">
        <v>0.27947976488382142</v>
      </c>
      <c r="V56" s="19">
        <v>0.86559912224050306</v>
      </c>
      <c r="W56" s="19">
        <v>-0.40470920748473321</v>
      </c>
      <c r="X56" s="19">
        <v>-0.69731626735371854</v>
      </c>
      <c r="Y56" s="19">
        <v>0.89933053474456437</v>
      </c>
      <c r="Z56" s="19">
        <v>0.52188160385461346</v>
      </c>
      <c r="AA56" s="19">
        <v>0.94786525789640119</v>
      </c>
      <c r="AB56" s="19">
        <v>-0.88285334524933268</v>
      </c>
      <c r="AC56" s="19">
        <v>0.93639571127973098</v>
      </c>
      <c r="AD56" s="19">
        <v>-0.70757094582564073</v>
      </c>
      <c r="AE56" s="19">
        <v>0.8623850519416566</v>
      </c>
      <c r="AF56" s="19">
        <v>0.95286717217828365</v>
      </c>
      <c r="AG56" s="19">
        <v>0.91389437089390413</v>
      </c>
      <c r="AH56" s="19">
        <v>0.2906701949322959</v>
      </c>
      <c r="AI56" s="19">
        <v>-0.93495631992798978</v>
      </c>
      <c r="AJ56" s="19">
        <v>-0.39554164194091695</v>
      </c>
      <c r="AK56" s="19">
        <v>0.32262686407843832</v>
      </c>
      <c r="AM56" s="20">
        <v>0.89649393058392646</v>
      </c>
      <c r="AN56" s="20">
        <v>0.10346047825096416</v>
      </c>
      <c r="AP56" s="21">
        <f t="shared" si="2"/>
        <v>0</v>
      </c>
    </row>
    <row r="57" spans="1:42">
      <c r="A57" s="14">
        <v>11.74</v>
      </c>
      <c r="B57" s="14">
        <v>14.69</v>
      </c>
      <c r="C57" s="14">
        <v>76.31</v>
      </c>
      <c r="D57" s="14">
        <v>426</v>
      </c>
      <c r="E57" s="14">
        <v>9.6610000000000001E-2</v>
      </c>
      <c r="F57" s="14">
        <v>6.726E-2</v>
      </c>
      <c r="G57" s="14">
        <v>2.639E-2</v>
      </c>
      <c r="H57" s="14">
        <v>12.45</v>
      </c>
      <c r="I57" s="14">
        <v>473.8</v>
      </c>
      <c r="J57" s="14">
        <v>0.1056</v>
      </c>
      <c r="M57" s="16">
        <v>0</v>
      </c>
      <c r="O57" s="12">
        <f t="shared" si="0"/>
        <v>1</v>
      </c>
      <c r="P57" s="12">
        <f t="shared" si="1"/>
        <v>0</v>
      </c>
      <c r="R57" s="19">
        <v>-0.73933867190389557</v>
      </c>
      <c r="S57" s="19">
        <v>0.72206438892013847</v>
      </c>
      <c r="T57" s="19">
        <v>0.81305519727396447</v>
      </c>
      <c r="U57" s="19">
        <v>0.3241836969151432</v>
      </c>
      <c r="V57" s="19">
        <v>0.8820791207753883</v>
      </c>
      <c r="W57" s="19">
        <v>-0.55570580861647334</v>
      </c>
      <c r="X57" s="19">
        <v>-0.76868874399853515</v>
      </c>
      <c r="Y57" s="19">
        <v>0.87719030844847024</v>
      </c>
      <c r="Z57" s="19">
        <v>0.69459927050593628</v>
      </c>
      <c r="AA57" s="19">
        <v>0.93681313565708857</v>
      </c>
      <c r="AB57" s="19">
        <v>-0.82287403070048382</v>
      </c>
      <c r="AC57" s="19">
        <v>0.92103177058986874</v>
      </c>
      <c r="AD57" s="19">
        <v>-0.7088731910527809</v>
      </c>
      <c r="AE57" s="19">
        <v>0.88897527879098115</v>
      </c>
      <c r="AF57" s="19">
        <v>0.9107436206299927</v>
      </c>
      <c r="AG57" s="19">
        <v>0.86028677157613642</v>
      </c>
      <c r="AH57" s="19">
        <v>0.34885772047190605</v>
      </c>
      <c r="AI57" s="19">
        <v>-0.93657417795614151</v>
      </c>
      <c r="AJ57" s="19">
        <v>-0.42875678535598583</v>
      </c>
      <c r="AK57" s="19">
        <v>0.30103098340652473</v>
      </c>
      <c r="AM57" s="20">
        <v>0.97700412747722309</v>
      </c>
      <c r="AN57" s="20">
        <v>2.3065040221321859E-2</v>
      </c>
      <c r="AP57" s="21">
        <f t="shared" si="2"/>
        <v>0</v>
      </c>
    </row>
    <row r="58" spans="1:42">
      <c r="A58" s="14">
        <v>14.81</v>
      </c>
      <c r="B58" s="14">
        <v>14.7</v>
      </c>
      <c r="C58" s="14">
        <v>94.66</v>
      </c>
      <c r="D58" s="14">
        <v>680.7</v>
      </c>
      <c r="E58" s="14">
        <v>5.0160000000000003E-2</v>
      </c>
      <c r="F58" s="14">
        <v>3.4160000000000003E-2</v>
      </c>
      <c r="G58" s="14">
        <v>2.5409999999999999E-2</v>
      </c>
      <c r="H58" s="14">
        <v>15.61</v>
      </c>
      <c r="I58" s="14">
        <v>760.2</v>
      </c>
      <c r="J58" s="14">
        <v>7.9549999999999996E-2</v>
      </c>
      <c r="M58" s="16">
        <v>0</v>
      </c>
      <c r="O58" s="12">
        <f t="shared" si="0"/>
        <v>1</v>
      </c>
      <c r="P58" s="12">
        <f t="shared" si="1"/>
        <v>0</v>
      </c>
      <c r="R58" s="19">
        <v>-0.79802367555862264</v>
      </c>
      <c r="S58" s="19">
        <v>0.74625857675994989</v>
      </c>
      <c r="T58" s="19">
        <v>0.79882123597150623</v>
      </c>
      <c r="U58" s="19">
        <v>0.36079330898312167</v>
      </c>
      <c r="V58" s="19">
        <v>0.89550007417287114</v>
      </c>
      <c r="W58" s="19">
        <v>-0.6577971040694337</v>
      </c>
      <c r="X58" s="19">
        <v>-0.81696260644638496</v>
      </c>
      <c r="Y58" s="19">
        <v>0.85818505386614863</v>
      </c>
      <c r="Z58" s="19">
        <v>0.7951244629517763</v>
      </c>
      <c r="AA58" s="19">
        <v>0.92765865052504992</v>
      </c>
      <c r="AB58" s="19">
        <v>-0.7585702193441326</v>
      </c>
      <c r="AC58" s="19">
        <v>0.90773519424142701</v>
      </c>
      <c r="AD58" s="19">
        <v>-0.71237891626124838</v>
      </c>
      <c r="AE58" s="19">
        <v>0.90818841221520497</v>
      </c>
      <c r="AF58" s="19">
        <v>0.85509072836835076</v>
      </c>
      <c r="AG58" s="19">
        <v>0.79889559405024213</v>
      </c>
      <c r="AH58" s="19">
        <v>0.39555903719437963</v>
      </c>
      <c r="AI58" s="19">
        <v>-0.9389959380333105</v>
      </c>
      <c r="AJ58" s="19">
        <v>-0.45671814267522204</v>
      </c>
      <c r="AK58" s="19">
        <v>0.50520763608312302</v>
      </c>
      <c r="AM58" s="20">
        <v>0.80740919121672972</v>
      </c>
      <c r="AN58" s="20">
        <v>0.19272410071137136</v>
      </c>
      <c r="AP58" s="21">
        <f t="shared" si="2"/>
        <v>0</v>
      </c>
    </row>
    <row r="59" spans="1:42">
      <c r="A59" s="14">
        <v>13.4</v>
      </c>
      <c r="B59" s="14">
        <v>20.52</v>
      </c>
      <c r="C59" s="14">
        <v>88.64</v>
      </c>
      <c r="D59" s="14">
        <v>556.70000000000005</v>
      </c>
      <c r="E59" s="14">
        <v>0.1469</v>
      </c>
      <c r="F59" s="14">
        <v>0.14449999999999999</v>
      </c>
      <c r="G59" s="14">
        <v>8.1720000000000001E-2</v>
      </c>
      <c r="H59" s="14">
        <v>16.41</v>
      </c>
      <c r="I59" s="14">
        <v>844.4</v>
      </c>
      <c r="J59" s="14">
        <v>0.2051</v>
      </c>
      <c r="M59" s="16">
        <v>1</v>
      </c>
      <c r="O59" s="12">
        <f t="shared" si="0"/>
        <v>0</v>
      </c>
      <c r="P59" s="12">
        <f t="shared" si="1"/>
        <v>1</v>
      </c>
      <c r="R59" s="19">
        <v>-0.79291943570262868</v>
      </c>
      <c r="S59" s="19">
        <v>0.7289131140522388</v>
      </c>
      <c r="T59" s="19">
        <v>0.70882225176583391</v>
      </c>
      <c r="U59" s="19">
        <v>0.35409339575006293</v>
      </c>
      <c r="V59" s="19">
        <v>0.88244180841078179</v>
      </c>
      <c r="W59" s="19">
        <v>-0.66349547005381981</v>
      </c>
      <c r="X59" s="19">
        <v>-0.80958860941337374</v>
      </c>
      <c r="Y59" s="19">
        <v>0.82897435807828757</v>
      </c>
      <c r="Z59" s="19">
        <v>0.80082169780228396</v>
      </c>
      <c r="AA59" s="19">
        <v>0.90896013826959621</v>
      </c>
      <c r="AB59" s="19">
        <v>-0.7040494607300174</v>
      </c>
      <c r="AC59" s="19">
        <v>0.88495736308053474</v>
      </c>
      <c r="AD59" s="19">
        <v>-0.68711558383484628</v>
      </c>
      <c r="AE59" s="19">
        <v>0.89828429713249458</v>
      </c>
      <c r="AF59" s="19">
        <v>0.80466169351736394</v>
      </c>
      <c r="AG59" s="19">
        <v>0.74561362903324935</v>
      </c>
      <c r="AH59" s="19">
        <v>0.3907897856909992</v>
      </c>
      <c r="AI59" s="19">
        <v>-0.92686373184522519</v>
      </c>
      <c r="AJ59" s="19">
        <v>-0.44338754483796622</v>
      </c>
      <c r="AK59" s="19">
        <v>6.5245089152927718E-2</v>
      </c>
      <c r="AM59" s="20">
        <v>0.93992757970549567</v>
      </c>
      <c r="AN59" s="20">
        <v>5.9963240932073267E-2</v>
      </c>
      <c r="AP59" s="21">
        <f t="shared" si="2"/>
        <v>0</v>
      </c>
    </row>
    <row r="60" spans="1:42">
      <c r="A60" s="14">
        <v>14.58</v>
      </c>
      <c r="B60" s="14">
        <v>13.66</v>
      </c>
      <c r="C60" s="14">
        <v>94.29</v>
      </c>
      <c r="D60" s="14">
        <v>658.8</v>
      </c>
      <c r="E60" s="14">
        <v>8.9179999999999995E-2</v>
      </c>
      <c r="F60" s="14">
        <v>8.2220000000000001E-2</v>
      </c>
      <c r="G60" s="14">
        <v>4.3490000000000001E-2</v>
      </c>
      <c r="H60" s="14">
        <v>16.760000000000002</v>
      </c>
      <c r="I60" s="14">
        <v>862</v>
      </c>
      <c r="J60" s="14">
        <v>9.1859999999999997E-2</v>
      </c>
      <c r="M60" s="16">
        <v>0</v>
      </c>
      <c r="O60" s="12">
        <f t="shared" si="0"/>
        <v>1</v>
      </c>
      <c r="P60" s="12">
        <f t="shared" si="1"/>
        <v>0</v>
      </c>
      <c r="R60" s="19">
        <v>-0.75773293977664702</v>
      </c>
      <c r="S60" s="19">
        <v>0.70547213570924827</v>
      </c>
      <c r="T60" s="19">
        <v>0.72324753744002457</v>
      </c>
      <c r="U60" s="19">
        <v>0.33004995006965893</v>
      </c>
      <c r="V60" s="19">
        <v>0.86680280869469439</v>
      </c>
      <c r="W60" s="19">
        <v>-0.61197253706850741</v>
      </c>
      <c r="X60" s="19">
        <v>-0.77841158447213599</v>
      </c>
      <c r="Y60" s="19">
        <v>0.82710816725389913</v>
      </c>
      <c r="Z60" s="19">
        <v>0.75273276905723197</v>
      </c>
      <c r="AA60" s="19">
        <v>0.90563409297457897</v>
      </c>
      <c r="AB60" s="19">
        <v>-0.72389343607583545</v>
      </c>
      <c r="AC60" s="19">
        <v>0.88260832086037755</v>
      </c>
      <c r="AD60" s="19">
        <v>-0.67195615270520714</v>
      </c>
      <c r="AE60" s="19">
        <v>0.88103051319989045</v>
      </c>
      <c r="AF60" s="19">
        <v>0.8267179840815938</v>
      </c>
      <c r="AG60" s="19">
        <v>0.76615263088808361</v>
      </c>
      <c r="AH60" s="19">
        <v>0.36208023305615888</v>
      </c>
      <c r="AI60" s="19">
        <v>-0.918369798875869</v>
      </c>
      <c r="AJ60" s="19">
        <v>-0.42074084650884713</v>
      </c>
      <c r="AK60" s="19">
        <v>0.32618132849399128</v>
      </c>
      <c r="AM60" s="20">
        <v>0.91102082816060048</v>
      </c>
      <c r="AN60" s="20">
        <v>8.9017671340968482E-2</v>
      </c>
      <c r="AP60" s="21">
        <f t="shared" si="2"/>
        <v>0</v>
      </c>
    </row>
    <row r="61" spans="1:42">
      <c r="A61" s="14">
        <v>15.05</v>
      </c>
      <c r="B61" s="14">
        <v>19.07</v>
      </c>
      <c r="C61" s="14">
        <v>97.26</v>
      </c>
      <c r="D61" s="14">
        <v>701.9</v>
      </c>
      <c r="E61" s="14">
        <v>8.5970000000000005E-2</v>
      </c>
      <c r="F61" s="14">
        <v>7.4859999999999996E-2</v>
      </c>
      <c r="G61" s="14">
        <v>4.335E-2</v>
      </c>
      <c r="H61" s="14">
        <v>17.579999999999998</v>
      </c>
      <c r="I61" s="14">
        <v>967</v>
      </c>
      <c r="J61" s="14">
        <v>0.112</v>
      </c>
      <c r="M61" s="16">
        <v>1</v>
      </c>
      <c r="O61" s="12">
        <f t="shared" si="0"/>
        <v>0</v>
      </c>
      <c r="P61" s="12">
        <f t="shared" si="1"/>
        <v>1</v>
      </c>
      <c r="R61" s="19">
        <v>-0.87927803560895901</v>
      </c>
      <c r="S61" s="19">
        <v>0.77442008725562972</v>
      </c>
      <c r="T61" s="19">
        <v>0.36187325629738715</v>
      </c>
      <c r="U61" s="19">
        <v>0.42544259011765001</v>
      </c>
      <c r="V61" s="19">
        <v>0.90755350305593308</v>
      </c>
      <c r="W61" s="19">
        <v>-0.81134610403948049</v>
      </c>
      <c r="X61" s="19">
        <v>-0.88336281978690145</v>
      </c>
      <c r="Y61" s="19">
        <v>0.77045985142361639</v>
      </c>
      <c r="Z61" s="19">
        <v>0.91672014504895905</v>
      </c>
      <c r="AA61" s="19">
        <v>0.8789935460660836</v>
      </c>
      <c r="AB61" s="19">
        <v>-0.47416003369853532</v>
      </c>
      <c r="AC61" s="19">
        <v>0.84118684157299473</v>
      </c>
      <c r="AD61" s="19">
        <v>-0.69311211456513055</v>
      </c>
      <c r="AE61" s="19">
        <v>0.93078597537978058</v>
      </c>
      <c r="AF61" s="19">
        <v>0.52054629746284653</v>
      </c>
      <c r="AG61" s="19">
        <v>0.49977150854040453</v>
      </c>
      <c r="AH61" s="19">
        <v>0.48007195834159205</v>
      </c>
      <c r="AI61" s="19">
        <v>-0.93168028287386095</v>
      </c>
      <c r="AJ61" s="19">
        <v>-0.49783350105349061</v>
      </c>
      <c r="AK61" s="19">
        <v>-3.1738074766789415E-2</v>
      </c>
      <c r="AM61" s="20">
        <v>2.8460910453096171E-2</v>
      </c>
      <c r="AN61" s="20">
        <v>0.97159133344620907</v>
      </c>
      <c r="AP61" s="21">
        <f t="shared" si="2"/>
        <v>1</v>
      </c>
    </row>
    <row r="62" spans="1:42">
      <c r="A62" s="14">
        <v>11.34</v>
      </c>
      <c r="B62" s="14">
        <v>18.61</v>
      </c>
      <c r="C62" s="14">
        <v>72.760000000000005</v>
      </c>
      <c r="D62" s="14">
        <v>391.2</v>
      </c>
      <c r="E62" s="14">
        <v>8.4989999999999996E-2</v>
      </c>
      <c r="F62" s="14">
        <v>4.3020000000000003E-2</v>
      </c>
      <c r="G62" s="14">
        <v>2.5940000000000001E-2</v>
      </c>
      <c r="H62" s="14">
        <v>12.47</v>
      </c>
      <c r="I62" s="14">
        <v>478.6</v>
      </c>
      <c r="J62" s="14">
        <v>8.5419999999999996E-2</v>
      </c>
      <c r="M62" s="16">
        <v>0</v>
      </c>
      <c r="O62" s="12">
        <f t="shared" si="0"/>
        <v>1</v>
      </c>
      <c r="P62" s="12">
        <f t="shared" si="1"/>
        <v>0</v>
      </c>
      <c r="R62" s="19">
        <v>-0.89354424158201973</v>
      </c>
      <c r="S62" s="19">
        <v>0.76347890106720873</v>
      </c>
      <c r="T62" s="19">
        <v>0.37396405779961572</v>
      </c>
      <c r="U62" s="19">
        <v>0.43642658851958693</v>
      </c>
      <c r="V62" s="19">
        <v>0.89689820213794591</v>
      </c>
      <c r="W62" s="19">
        <v>-0.84713450257316392</v>
      </c>
      <c r="X62" s="19">
        <v>-0.89309188184416954</v>
      </c>
      <c r="Y62" s="19">
        <v>0.67349734945176942</v>
      </c>
      <c r="Z62" s="19">
        <v>0.93930501456145599</v>
      </c>
      <c r="AA62" s="19">
        <v>0.81542623364204725</v>
      </c>
      <c r="AB62" s="19">
        <v>-0.22387938406127963</v>
      </c>
      <c r="AC62" s="19">
        <v>0.75966942382172697</v>
      </c>
      <c r="AD62" s="19">
        <v>-0.65361984665682982</v>
      </c>
      <c r="AE62" s="19">
        <v>0.9277723419502345</v>
      </c>
      <c r="AF62" s="19">
        <v>0.16581653149702374</v>
      </c>
      <c r="AG62" s="19">
        <v>0.21856550817027554</v>
      </c>
      <c r="AH62" s="19">
        <v>0.49866222724022113</v>
      </c>
      <c r="AI62" s="19">
        <v>-0.91178829916543103</v>
      </c>
      <c r="AJ62" s="19">
        <v>-0.49436940885257374</v>
      </c>
      <c r="AK62" s="19">
        <v>0.61940380536201201</v>
      </c>
      <c r="AM62" s="20">
        <v>0.97162868470480024</v>
      </c>
      <c r="AN62" s="20">
        <v>2.8214677100989998E-2</v>
      </c>
      <c r="AP62" s="21">
        <f t="shared" si="2"/>
        <v>0</v>
      </c>
    </row>
    <row r="63" spans="1:42">
      <c r="A63" s="14">
        <v>18.309999999999999</v>
      </c>
      <c r="B63" s="14">
        <v>20.58</v>
      </c>
      <c r="C63" s="14">
        <v>120.8</v>
      </c>
      <c r="D63" s="14">
        <v>1052</v>
      </c>
      <c r="E63" s="14">
        <v>0.12479999999999999</v>
      </c>
      <c r="F63" s="14">
        <v>0.15690000000000001</v>
      </c>
      <c r="G63" s="14">
        <v>9.4509999999999997E-2</v>
      </c>
      <c r="H63" s="14">
        <v>21.86</v>
      </c>
      <c r="I63" s="14">
        <v>1493</v>
      </c>
      <c r="J63" s="14">
        <v>0.151</v>
      </c>
      <c r="M63" s="16">
        <v>1</v>
      </c>
      <c r="O63" s="12">
        <f t="shared" si="0"/>
        <v>0</v>
      </c>
      <c r="P63" s="12">
        <f t="shared" si="1"/>
        <v>1</v>
      </c>
      <c r="R63" s="19">
        <v>-0.79215688411238627</v>
      </c>
      <c r="S63" s="19">
        <v>0.74843013716392548</v>
      </c>
      <c r="T63" s="19">
        <v>0.78526944009041444</v>
      </c>
      <c r="U63" s="19">
        <v>0.35783780269026944</v>
      </c>
      <c r="V63" s="19">
        <v>0.89769425710039763</v>
      </c>
      <c r="W63" s="19">
        <v>-0.64259116477776657</v>
      </c>
      <c r="X63" s="19">
        <v>-0.81311837768549622</v>
      </c>
      <c r="Y63" s="19">
        <v>0.86934602637087821</v>
      </c>
      <c r="Z63" s="19">
        <v>0.78089708244316192</v>
      </c>
      <c r="AA63" s="19">
        <v>0.93417964610960169</v>
      </c>
      <c r="AB63" s="19">
        <v>-0.78398308990145937</v>
      </c>
      <c r="AC63" s="19">
        <v>0.91604814904142418</v>
      </c>
      <c r="AD63" s="19">
        <v>-0.71973813542404597</v>
      </c>
      <c r="AE63" s="19">
        <v>0.90876377122875551</v>
      </c>
      <c r="AF63" s="19">
        <v>0.87739971344438206</v>
      </c>
      <c r="AG63" s="19">
        <v>0.82328182897143398</v>
      </c>
      <c r="AH63" s="19">
        <v>0.39059773675266357</v>
      </c>
      <c r="AI63" s="19">
        <v>-0.94218495551067527</v>
      </c>
      <c r="AJ63" s="19">
        <v>-0.45711133227829548</v>
      </c>
      <c r="AK63" s="19">
        <v>0.25816819562348736</v>
      </c>
      <c r="AM63" s="20">
        <v>0.46135153541876206</v>
      </c>
      <c r="AN63" s="20">
        <v>0.53879986154841741</v>
      </c>
      <c r="AP63" s="21">
        <f t="shared" si="2"/>
        <v>1</v>
      </c>
    </row>
    <row r="64" spans="1:42">
      <c r="A64" s="14">
        <v>19.89</v>
      </c>
      <c r="B64" s="14">
        <v>20.260000000000002</v>
      </c>
      <c r="C64" s="14">
        <v>130.5</v>
      </c>
      <c r="D64" s="14">
        <v>1214</v>
      </c>
      <c r="E64" s="14">
        <v>0.13100000000000001</v>
      </c>
      <c r="F64" s="14">
        <v>0.1411</v>
      </c>
      <c r="G64" s="14">
        <v>9.4310000000000005E-2</v>
      </c>
      <c r="H64" s="14">
        <v>23.73</v>
      </c>
      <c r="I64" s="14">
        <v>1646</v>
      </c>
      <c r="J64" s="14">
        <v>0.1613</v>
      </c>
      <c r="M64" s="16">
        <v>1</v>
      </c>
      <c r="O64" s="12">
        <f t="shared" si="0"/>
        <v>0</v>
      </c>
      <c r="P64" s="12">
        <f t="shared" si="1"/>
        <v>1</v>
      </c>
      <c r="R64" s="19">
        <v>-0.8461788274507045</v>
      </c>
      <c r="S64" s="19">
        <v>0.75494328219452955</v>
      </c>
      <c r="T64" s="19">
        <v>0.63699380655480964</v>
      </c>
      <c r="U64" s="19">
        <v>0.3943516936317964</v>
      </c>
      <c r="V64" s="19">
        <v>0.89697672118959293</v>
      </c>
      <c r="W64" s="19">
        <v>-0.75485766232236529</v>
      </c>
      <c r="X64" s="19">
        <v>-0.85467824940284709</v>
      </c>
      <c r="Y64" s="19">
        <v>0.79777126359094397</v>
      </c>
      <c r="Z64" s="19">
        <v>0.87673461319645107</v>
      </c>
      <c r="AA64" s="19">
        <v>0.89293646129134097</v>
      </c>
      <c r="AB64" s="19">
        <v>-0.58706849071514766</v>
      </c>
      <c r="AC64" s="19">
        <v>0.86178862061750483</v>
      </c>
      <c r="AD64" s="19">
        <v>-0.69012805576023262</v>
      </c>
      <c r="AE64" s="19">
        <v>0.91774836514693536</v>
      </c>
      <c r="AF64" s="19">
        <v>0.67047458543074667</v>
      </c>
      <c r="AG64" s="19">
        <v>0.62338879583148477</v>
      </c>
      <c r="AH64" s="19">
        <v>0.44155058277168607</v>
      </c>
      <c r="AI64" s="19">
        <v>-0.92941906440468181</v>
      </c>
      <c r="AJ64" s="19">
        <v>-0.47400371422689147</v>
      </c>
      <c r="AK64" s="19">
        <v>8.5146458852334822E-2</v>
      </c>
      <c r="AM64" s="20">
        <v>0.88056514936269492</v>
      </c>
      <c r="AN64" s="20">
        <v>0.11931977809032975</v>
      </c>
      <c r="AP64" s="21">
        <f t="shared" si="2"/>
        <v>0</v>
      </c>
    </row>
    <row r="65" spans="1:42">
      <c r="A65" s="14">
        <v>12.88</v>
      </c>
      <c r="B65" s="14">
        <v>18.22</v>
      </c>
      <c r="C65" s="14">
        <v>84.45</v>
      </c>
      <c r="D65" s="14">
        <v>493.1</v>
      </c>
      <c r="E65" s="14">
        <v>0.1661</v>
      </c>
      <c r="F65" s="14">
        <v>4.8250000000000001E-2</v>
      </c>
      <c r="G65" s="14">
        <v>5.3030000000000001E-2</v>
      </c>
      <c r="H65" s="14">
        <v>15.05</v>
      </c>
      <c r="I65" s="14">
        <v>674.7</v>
      </c>
      <c r="J65" s="14">
        <v>0.1096</v>
      </c>
      <c r="M65" s="16">
        <v>0</v>
      </c>
      <c r="O65" s="12">
        <f t="shared" si="0"/>
        <v>1</v>
      </c>
      <c r="P65" s="12">
        <f t="shared" si="1"/>
        <v>0</v>
      </c>
      <c r="R65" s="19">
        <v>-0.72698259079852579</v>
      </c>
      <c r="S65" s="19">
        <v>0.71629712633220599</v>
      </c>
      <c r="T65" s="19">
        <v>0.82123073003079783</v>
      </c>
      <c r="U65" s="19">
        <v>0.31706217130252728</v>
      </c>
      <c r="V65" s="19">
        <v>0.87856375489303384</v>
      </c>
      <c r="W65" s="19">
        <v>-0.53578932993420558</v>
      </c>
      <c r="X65" s="19">
        <v>-0.75834285559577486</v>
      </c>
      <c r="Y65" s="19">
        <v>0.87878928992487826</v>
      </c>
      <c r="Z65" s="19">
        <v>0.6734146823143623</v>
      </c>
      <c r="AA65" s="19">
        <v>0.93736157078474713</v>
      </c>
      <c r="AB65" s="19">
        <v>-0.8301755917136312</v>
      </c>
      <c r="AC65" s="19">
        <v>0.92204941849775768</v>
      </c>
      <c r="AD65" s="19">
        <v>-0.70658434062046016</v>
      </c>
      <c r="AE65" s="19">
        <v>0.88437640330369771</v>
      </c>
      <c r="AF65" s="19">
        <v>0.91653776238847917</v>
      </c>
      <c r="AG65" s="19">
        <v>0.86707106689418856</v>
      </c>
      <c r="AH65" s="19">
        <v>0.33997178269915201</v>
      </c>
      <c r="AI65" s="19">
        <v>-0.93534908714621323</v>
      </c>
      <c r="AJ65" s="19">
        <v>-0.42274372582600361</v>
      </c>
      <c r="AK65" s="19">
        <v>0.14216308024557989</v>
      </c>
      <c r="AM65" s="20">
        <v>0.81328714655153433</v>
      </c>
      <c r="AN65" s="20">
        <v>0.18682471121873712</v>
      </c>
      <c r="AP65" s="21">
        <f t="shared" si="2"/>
        <v>0</v>
      </c>
    </row>
    <row r="66" spans="1:42">
      <c r="A66" s="14">
        <v>12.75</v>
      </c>
      <c r="B66" s="14">
        <v>16.7</v>
      </c>
      <c r="C66" s="14">
        <v>82.51</v>
      </c>
      <c r="D66" s="14">
        <v>493.8</v>
      </c>
      <c r="E66" s="14">
        <v>0.11169999999999999</v>
      </c>
      <c r="F66" s="14">
        <v>3.8800000000000001E-2</v>
      </c>
      <c r="G66" s="14">
        <v>2.9950000000000001E-2</v>
      </c>
      <c r="H66" s="14">
        <v>14.45</v>
      </c>
      <c r="I66" s="14">
        <v>624.1</v>
      </c>
      <c r="J66" s="14">
        <v>8.0449999999999994E-2</v>
      </c>
      <c r="M66" s="16">
        <v>0</v>
      </c>
      <c r="O66" s="12">
        <f t="shared" si="0"/>
        <v>1</v>
      </c>
      <c r="P66" s="12">
        <f t="shared" si="1"/>
        <v>0</v>
      </c>
      <c r="R66" s="19">
        <v>-0.9160556626535391</v>
      </c>
      <c r="S66" s="19">
        <v>0.75266659830044091</v>
      </c>
      <c r="T66" s="19">
        <v>-0.5371883570665178</v>
      </c>
      <c r="U66" s="19">
        <v>0.45880160075149606</v>
      </c>
      <c r="V66" s="19">
        <v>0.88335575250740694</v>
      </c>
      <c r="W66" s="19">
        <v>-0.89403953929647628</v>
      </c>
      <c r="X66" s="19">
        <v>-0.91045095663203934</v>
      </c>
      <c r="Y66" s="19">
        <v>0.47487705533862712</v>
      </c>
      <c r="Z66" s="19">
        <v>0.96477952172143699</v>
      </c>
      <c r="AA66" s="19">
        <v>0.66989395710457256</v>
      </c>
      <c r="AB66" s="19">
        <v>0.20704467639789995</v>
      </c>
      <c r="AC66" s="19">
        <v>0.5773029672630996</v>
      </c>
      <c r="AD66" s="19">
        <v>-0.5933404936565907</v>
      </c>
      <c r="AE66" s="19">
        <v>0.92660707556610422</v>
      </c>
      <c r="AF66" s="19">
        <v>-0.42896689597983673</v>
      </c>
      <c r="AG66" s="19">
        <v>-0.26905374146107591</v>
      </c>
      <c r="AH66" s="19">
        <v>0.53245147521540526</v>
      </c>
      <c r="AI66" s="19">
        <v>-0.87593469572801308</v>
      </c>
      <c r="AJ66" s="19">
        <v>-0.49542106552014575</v>
      </c>
      <c r="AK66" s="19">
        <v>-0.18097353598785904</v>
      </c>
      <c r="AM66" s="20">
        <v>-2.0537665182603072E-2</v>
      </c>
      <c r="AN66" s="20">
        <v>1.0205720114547818</v>
      </c>
      <c r="AP66" s="21">
        <f t="shared" si="2"/>
        <v>1</v>
      </c>
    </row>
    <row r="67" spans="1:42">
      <c r="A67" s="14">
        <v>9.2949999999999999</v>
      </c>
      <c r="B67" s="14">
        <v>13.9</v>
      </c>
      <c r="C67" s="14">
        <v>59.96</v>
      </c>
      <c r="D67" s="14">
        <v>257.8</v>
      </c>
      <c r="E67" s="14">
        <v>0.1225</v>
      </c>
      <c r="F67" s="14">
        <v>3.3320000000000002E-2</v>
      </c>
      <c r="G67" s="14">
        <v>2.4209999999999999E-2</v>
      </c>
      <c r="H67" s="14">
        <v>10.57</v>
      </c>
      <c r="I67" s="14">
        <v>326.60000000000002</v>
      </c>
      <c r="J67" s="14">
        <v>7.2620000000000004E-2</v>
      </c>
      <c r="M67" s="16">
        <v>0</v>
      </c>
      <c r="O67" s="12">
        <f t="shared" ref="O67:O115" si="3">IF(M67=0,1,0)</f>
        <v>1</v>
      </c>
      <c r="P67" s="12">
        <f t="shared" ref="P67:P115" si="4">IF(M67=1,1,0)</f>
        <v>0</v>
      </c>
      <c r="R67" s="19">
        <v>-0.66282026797436688</v>
      </c>
      <c r="S67" s="19">
        <v>0.6815080624405141</v>
      </c>
      <c r="T67" s="19">
        <v>0.82315951018680633</v>
      </c>
      <c r="U67" s="19">
        <v>0.2821507158669882</v>
      </c>
      <c r="V67" s="19">
        <v>0.85528394084369519</v>
      </c>
      <c r="W67" s="19">
        <v>-0.44287011830344891</v>
      </c>
      <c r="X67" s="19">
        <v>-0.70303020291328777</v>
      </c>
      <c r="Y67" s="19">
        <v>0.87682678091016009</v>
      </c>
      <c r="Z67" s="19">
        <v>0.56874971164002686</v>
      </c>
      <c r="AA67" s="19">
        <v>0.934036610297035</v>
      </c>
      <c r="AB67" s="19">
        <v>-0.84701522424843967</v>
      </c>
      <c r="AC67" s="19">
        <v>0.91971972914217603</v>
      </c>
      <c r="AD67" s="19">
        <v>-0.68611031158015534</v>
      </c>
      <c r="AE67" s="19">
        <v>0.85612741779209112</v>
      </c>
      <c r="AF67" s="19">
        <v>0.93015483404828292</v>
      </c>
      <c r="AG67" s="19">
        <v>0.88282062883045309</v>
      </c>
      <c r="AH67" s="19">
        <v>0.29765352480399415</v>
      </c>
      <c r="AI67" s="19">
        <v>-0.92446056264872034</v>
      </c>
      <c r="AJ67" s="19">
        <v>-0.38998621084440876</v>
      </c>
      <c r="AK67" s="19">
        <v>-0.72223760371347312</v>
      </c>
      <c r="AM67" s="20">
        <v>0.97132313407052673</v>
      </c>
      <c r="AN67" s="20">
        <v>2.8464044560634956E-2</v>
      </c>
      <c r="AP67" s="21">
        <f t="shared" si="2"/>
        <v>0</v>
      </c>
    </row>
    <row r="68" spans="1:42">
      <c r="A68" s="14">
        <v>24.63</v>
      </c>
      <c r="B68" s="14">
        <v>21.6</v>
      </c>
      <c r="C68" s="14">
        <v>165.5</v>
      </c>
      <c r="D68" s="14">
        <v>1841</v>
      </c>
      <c r="E68" s="14">
        <v>0.21060000000000001</v>
      </c>
      <c r="F68" s="14">
        <v>0.23100000000000001</v>
      </c>
      <c r="G68" s="14">
        <v>0.14710000000000001</v>
      </c>
      <c r="H68" s="14">
        <v>29.92</v>
      </c>
      <c r="I68" s="14">
        <v>2642</v>
      </c>
      <c r="J68" s="14">
        <v>0.2475</v>
      </c>
      <c r="M68" s="16">
        <v>1</v>
      </c>
      <c r="O68" s="12">
        <f t="shared" si="3"/>
        <v>0</v>
      </c>
      <c r="P68" s="12">
        <f t="shared" si="4"/>
        <v>1</v>
      </c>
      <c r="R68" s="19">
        <v>-0.68935385264755333</v>
      </c>
      <c r="S68" s="19">
        <v>0.69634862592610869</v>
      </c>
      <c r="T68" s="19">
        <v>0.8167980909495639</v>
      </c>
      <c r="U68" s="19">
        <v>0.29611426880882907</v>
      </c>
      <c r="V68" s="19">
        <v>0.86552970184488898</v>
      </c>
      <c r="W68" s="19">
        <v>-0.47979095795819515</v>
      </c>
      <c r="X68" s="19">
        <v>-0.72611004810482105</v>
      </c>
      <c r="Y68" s="19">
        <v>0.87874297269361623</v>
      </c>
      <c r="Z68" s="19">
        <v>0.61145113434922227</v>
      </c>
      <c r="AA68" s="19">
        <v>0.93608360613808017</v>
      </c>
      <c r="AB68" s="19">
        <v>-0.84238438212843503</v>
      </c>
      <c r="AC68" s="19">
        <v>0.92150461479096812</v>
      </c>
      <c r="AD68" s="19">
        <v>-0.69544494463523088</v>
      </c>
      <c r="AE68" s="19">
        <v>0.86841176765072181</v>
      </c>
      <c r="AF68" s="19">
        <v>0.92631231387346225</v>
      </c>
      <c r="AG68" s="19">
        <v>0.87844959983274307</v>
      </c>
      <c r="AH68" s="19">
        <v>0.31444566475792529</v>
      </c>
      <c r="AI68" s="19">
        <v>-0.92950804927787045</v>
      </c>
      <c r="AJ68" s="19">
        <v>-0.40349115607045444</v>
      </c>
      <c r="AK68" s="19">
        <v>-0.68869082179884233</v>
      </c>
      <c r="AM68" s="20">
        <v>1.026523218118472</v>
      </c>
      <c r="AN68" s="20">
        <v>-2.6533817656517879E-2</v>
      </c>
      <c r="AP68" s="21">
        <f t="shared" si="2"/>
        <v>0</v>
      </c>
    </row>
    <row r="69" spans="1:42">
      <c r="A69" s="14">
        <v>11.26</v>
      </c>
      <c r="B69" s="14">
        <v>19.829999999999998</v>
      </c>
      <c r="C69" s="14">
        <v>71.3</v>
      </c>
      <c r="D69" s="14">
        <v>388.1</v>
      </c>
      <c r="E69" s="14">
        <v>4.4130000000000003E-2</v>
      </c>
      <c r="F69" s="14">
        <v>5.0670000000000003E-3</v>
      </c>
      <c r="G69" s="14">
        <v>5.6639999999999998E-3</v>
      </c>
      <c r="H69" s="14">
        <v>11.93</v>
      </c>
      <c r="I69" s="14">
        <v>435.9</v>
      </c>
      <c r="J69" s="14">
        <v>2.8320000000000001E-2</v>
      </c>
      <c r="M69" s="16">
        <v>0</v>
      </c>
      <c r="O69" s="12">
        <f t="shared" si="3"/>
        <v>1</v>
      </c>
      <c r="P69" s="12">
        <f t="shared" si="4"/>
        <v>0</v>
      </c>
      <c r="R69" s="19">
        <v>-0.72985933205599141</v>
      </c>
      <c r="S69" s="19">
        <v>0.72061057739572232</v>
      </c>
      <c r="T69" s="19">
        <v>0.82990535505028962</v>
      </c>
      <c r="U69" s="19">
        <v>0.31931760450896229</v>
      </c>
      <c r="V69" s="19">
        <v>0.88173999262235214</v>
      </c>
      <c r="W69" s="19">
        <v>-0.53698784878426664</v>
      </c>
      <c r="X69" s="19">
        <v>-0.76147463309579111</v>
      </c>
      <c r="Y69" s="19">
        <v>0.88300143426811173</v>
      </c>
      <c r="Z69" s="19">
        <v>0.67454600669731657</v>
      </c>
      <c r="AA69" s="19">
        <v>0.94005420961175956</v>
      </c>
      <c r="AB69" s="19">
        <v>-0.83624156531126859</v>
      </c>
      <c r="AC69" s="19">
        <v>0.92523577428515857</v>
      </c>
      <c r="AD69" s="19">
        <v>-0.71165290337067333</v>
      </c>
      <c r="AE69" s="19">
        <v>0.88721971925530563</v>
      </c>
      <c r="AF69" s="19">
        <v>0.92077097040358524</v>
      </c>
      <c r="AG69" s="19">
        <v>0.87249473511623354</v>
      </c>
      <c r="AH69" s="19">
        <v>0.3420831832871028</v>
      </c>
      <c r="AI69" s="19">
        <v>-0.93774123524417441</v>
      </c>
      <c r="AJ69" s="19">
        <v>-0.42617547991039606</v>
      </c>
      <c r="AK69" s="19">
        <v>4.220543638295407E-2</v>
      </c>
      <c r="AM69" s="20">
        <v>0.73824139831171165</v>
      </c>
      <c r="AN69" s="20">
        <v>0.26187752103925527</v>
      </c>
      <c r="AP69" s="21">
        <f t="shared" si="2"/>
        <v>0</v>
      </c>
    </row>
    <row r="70" spans="1:42">
      <c r="A70" s="14">
        <v>13.71</v>
      </c>
      <c r="B70" s="14">
        <v>18.68</v>
      </c>
      <c r="C70" s="14">
        <v>88.73</v>
      </c>
      <c r="D70" s="14">
        <v>571</v>
      </c>
      <c r="E70" s="14">
        <v>0.107</v>
      </c>
      <c r="F70" s="14">
        <v>5.3850000000000002E-2</v>
      </c>
      <c r="G70" s="14">
        <v>3.7830000000000003E-2</v>
      </c>
      <c r="H70" s="14">
        <v>15.11</v>
      </c>
      <c r="I70" s="14">
        <v>701.9</v>
      </c>
      <c r="J70" s="14">
        <v>0.12839999999999999</v>
      </c>
      <c r="M70" s="16">
        <v>0</v>
      </c>
      <c r="O70" s="12">
        <f t="shared" si="3"/>
        <v>1</v>
      </c>
      <c r="P70" s="12">
        <f t="shared" si="4"/>
        <v>0</v>
      </c>
      <c r="R70" s="19">
        <v>-0.71020665146670192</v>
      </c>
      <c r="S70" s="19">
        <v>0.69469757559940171</v>
      </c>
      <c r="T70" s="19">
        <v>0.79939842107868564</v>
      </c>
      <c r="U70" s="19">
        <v>0.30498044809123154</v>
      </c>
      <c r="V70" s="19">
        <v>0.86231935953175098</v>
      </c>
      <c r="W70" s="19">
        <v>-0.52475647899827382</v>
      </c>
      <c r="X70" s="19">
        <v>-0.74087622357152383</v>
      </c>
      <c r="Y70" s="19">
        <v>0.85875906781948008</v>
      </c>
      <c r="Z70" s="19">
        <v>0.66219098782615327</v>
      </c>
      <c r="AA70" s="19">
        <v>0.92406318494241968</v>
      </c>
      <c r="AB70" s="19">
        <v>-0.80289442604301398</v>
      </c>
      <c r="AC70" s="19">
        <v>0.90654141623207862</v>
      </c>
      <c r="AD70" s="19">
        <v>-0.68242882747139078</v>
      </c>
      <c r="AE70" s="19">
        <v>0.86942976363706093</v>
      </c>
      <c r="AF70" s="19">
        <v>0.89683575933205517</v>
      </c>
      <c r="AG70" s="19">
        <v>0.84238000582724493</v>
      </c>
      <c r="AH70" s="19">
        <v>0.32803668754388737</v>
      </c>
      <c r="AI70" s="19">
        <v>-0.92316927469632037</v>
      </c>
      <c r="AJ70" s="19">
        <v>-0.40561306298103311</v>
      </c>
      <c r="AK70" s="19">
        <v>0.16749725139116345</v>
      </c>
      <c r="AM70" s="20">
        <v>0.71979241220249246</v>
      </c>
      <c r="AN70" s="20">
        <v>0.28016409014612087</v>
      </c>
      <c r="AP70" s="21">
        <f t="shared" si="2"/>
        <v>0</v>
      </c>
    </row>
    <row r="71" spans="1:42">
      <c r="A71" s="14">
        <v>9.8469999999999995</v>
      </c>
      <c r="B71" s="14">
        <v>15.68</v>
      </c>
      <c r="C71" s="14">
        <v>63</v>
      </c>
      <c r="D71" s="14">
        <v>293.2</v>
      </c>
      <c r="E71" s="14">
        <v>8.4190000000000001E-2</v>
      </c>
      <c r="F71" s="14">
        <v>2.3300000000000001E-2</v>
      </c>
      <c r="G71" s="14">
        <v>2.4160000000000001E-2</v>
      </c>
      <c r="H71" s="14">
        <v>11.24</v>
      </c>
      <c r="I71" s="14">
        <v>376.5</v>
      </c>
      <c r="J71" s="14">
        <v>6.5280000000000005E-2</v>
      </c>
      <c r="M71" s="16">
        <v>0</v>
      </c>
      <c r="O71" s="12">
        <f t="shared" si="3"/>
        <v>1</v>
      </c>
      <c r="P71" s="12">
        <f t="shared" si="4"/>
        <v>0</v>
      </c>
      <c r="R71" s="19">
        <v>-0.79446574142011739</v>
      </c>
      <c r="S71" s="19">
        <v>0.73866791017221967</v>
      </c>
      <c r="T71" s="19">
        <v>0.80628033601608384</v>
      </c>
      <c r="U71" s="19">
        <v>0.35705577307517811</v>
      </c>
      <c r="V71" s="19">
        <v>0.89000345260535763</v>
      </c>
      <c r="W71" s="19">
        <v>-0.65751199530541449</v>
      </c>
      <c r="X71" s="19">
        <v>-0.81275244155242943</v>
      </c>
      <c r="Y71" s="19">
        <v>0.84755931122234973</v>
      </c>
      <c r="Z71" s="19">
        <v>0.79508149974031395</v>
      </c>
      <c r="AA71" s="19">
        <v>0.92087271785593972</v>
      </c>
      <c r="AB71" s="19">
        <v>-0.73981912831275221</v>
      </c>
      <c r="AC71" s="19">
        <v>0.8995103273320344</v>
      </c>
      <c r="AD71" s="19">
        <v>-0.70224575436289816</v>
      </c>
      <c r="AE71" s="19">
        <v>0.90377042444362687</v>
      </c>
      <c r="AF71" s="19">
        <v>0.83845773871019469</v>
      </c>
      <c r="AG71" s="19">
        <v>0.7808141784561663</v>
      </c>
      <c r="AH71" s="19">
        <v>0.39232799852376776</v>
      </c>
      <c r="AI71" s="19">
        <v>-0.93425949780048811</v>
      </c>
      <c r="AJ71" s="19">
        <v>-0.45055222290847252</v>
      </c>
      <c r="AK71" s="19">
        <v>0.68698708769422556</v>
      </c>
      <c r="AM71" s="20">
        <v>0.90669524075050889</v>
      </c>
      <c r="AN71" s="20">
        <v>9.3145086088532308E-2</v>
      </c>
      <c r="AP71" s="21">
        <f t="shared" si="2"/>
        <v>0</v>
      </c>
    </row>
    <row r="72" spans="1:42">
      <c r="A72" s="14">
        <v>8.5709999999999997</v>
      </c>
      <c r="B72" s="14">
        <v>13.1</v>
      </c>
      <c r="C72" s="14">
        <v>54.53</v>
      </c>
      <c r="D72" s="14">
        <v>221.3</v>
      </c>
      <c r="E72" s="14">
        <v>7.6319999999999999E-2</v>
      </c>
      <c r="F72" s="14">
        <v>2.5649999999999999E-2</v>
      </c>
      <c r="G72" s="14">
        <v>1.5100000000000001E-2</v>
      </c>
      <c r="H72" s="14">
        <v>9.4730000000000008</v>
      </c>
      <c r="I72" s="14">
        <v>275.60000000000002</v>
      </c>
      <c r="J72" s="14">
        <v>8.5120000000000001E-2</v>
      </c>
      <c r="M72" s="16">
        <v>0</v>
      </c>
      <c r="O72" s="12">
        <f t="shared" si="3"/>
        <v>1</v>
      </c>
      <c r="P72" s="12">
        <f t="shared" si="4"/>
        <v>0</v>
      </c>
      <c r="R72" s="19">
        <v>-0.86370161551674052</v>
      </c>
      <c r="S72" s="19">
        <v>0.76837926672579437</v>
      </c>
      <c r="T72" s="19">
        <v>0.6501041257693515</v>
      </c>
      <c r="U72" s="19">
        <v>0.41084555141559193</v>
      </c>
      <c r="V72" s="19">
        <v>0.90506099088558356</v>
      </c>
      <c r="W72" s="19">
        <v>-0.78224559552211026</v>
      </c>
      <c r="X72" s="19">
        <v>-0.87036678058944006</v>
      </c>
      <c r="Y72" s="19">
        <v>0.7950009961851191</v>
      </c>
      <c r="Z72" s="19">
        <v>0.89674868673293406</v>
      </c>
      <c r="AA72" s="19">
        <v>0.89293584553637195</v>
      </c>
      <c r="AB72" s="19">
        <v>-0.55708099782611864</v>
      </c>
      <c r="AC72" s="19">
        <v>0.86031432719340839</v>
      </c>
      <c r="AD72" s="19">
        <v>-0.69812038073260729</v>
      </c>
      <c r="AE72" s="19">
        <v>0.92618663496939257</v>
      </c>
      <c r="AF72" s="19">
        <v>0.63054847955731153</v>
      </c>
      <c r="AG72" s="19">
        <v>0.59055797011342437</v>
      </c>
      <c r="AH72" s="19">
        <v>0.46116434620754565</v>
      </c>
      <c r="AI72" s="19">
        <v>-0.93365973095257759</v>
      </c>
      <c r="AJ72" s="19">
        <v>-0.48866073714894875</v>
      </c>
      <c r="AK72" s="19">
        <v>0.39360165614135495</v>
      </c>
      <c r="AM72" s="20">
        <v>-4.5763113662151321E-2</v>
      </c>
      <c r="AN72" s="20">
        <v>1.0457904248590317</v>
      </c>
      <c r="AP72" s="21">
        <f t="shared" si="2"/>
        <v>1</v>
      </c>
    </row>
    <row r="73" spans="1:42">
      <c r="A73" s="14">
        <v>13.46</v>
      </c>
      <c r="B73" s="14">
        <v>18.75</v>
      </c>
      <c r="C73" s="14">
        <v>87.44</v>
      </c>
      <c r="D73" s="14">
        <v>551.1</v>
      </c>
      <c r="E73" s="14">
        <v>0.1138</v>
      </c>
      <c r="F73" s="14">
        <v>4.2009999999999999E-2</v>
      </c>
      <c r="G73" s="14">
        <v>3.1519999999999999E-2</v>
      </c>
      <c r="H73" s="14">
        <v>15.35</v>
      </c>
      <c r="I73" s="14">
        <v>719.8</v>
      </c>
      <c r="J73" s="14">
        <v>0.14269999999999999</v>
      </c>
      <c r="M73" s="16">
        <v>0</v>
      </c>
      <c r="O73" s="12">
        <f t="shared" si="3"/>
        <v>1</v>
      </c>
      <c r="P73" s="12">
        <f t="shared" si="4"/>
        <v>0</v>
      </c>
      <c r="R73" s="19">
        <v>-0.69858145433765884</v>
      </c>
      <c r="S73" s="19">
        <v>0.6843009218030357</v>
      </c>
      <c r="T73" s="19">
        <v>0.79129664943134437</v>
      </c>
      <c r="U73" s="19">
        <v>0.29778434264815212</v>
      </c>
      <c r="V73" s="19">
        <v>0.85451429511553356</v>
      </c>
      <c r="W73" s="19">
        <v>-0.51227246106160851</v>
      </c>
      <c r="X73" s="19">
        <v>-0.72982054878334846</v>
      </c>
      <c r="Y73" s="19">
        <v>0.85195073362992524</v>
      </c>
      <c r="Z73" s="19">
        <v>0.64877479876253064</v>
      </c>
      <c r="AA73" s="19">
        <v>0.91915727305754025</v>
      </c>
      <c r="AB73" s="19">
        <v>-0.79612530240905943</v>
      </c>
      <c r="AC73" s="19">
        <v>0.90105935577665452</v>
      </c>
      <c r="AD73" s="19">
        <v>-0.67267593037786289</v>
      </c>
      <c r="AE73" s="19">
        <v>0.86157776719893531</v>
      </c>
      <c r="AF73" s="19">
        <v>0.89206996896322832</v>
      </c>
      <c r="AG73" s="19">
        <v>0.83627931623612151</v>
      </c>
      <c r="AH73" s="19">
        <v>0.32013857614514724</v>
      </c>
      <c r="AI73" s="19">
        <v>-0.91782623990272694</v>
      </c>
      <c r="AJ73" s="19">
        <v>-0.39706283205097431</v>
      </c>
      <c r="AK73" s="19">
        <v>0.3409755765597467</v>
      </c>
      <c r="AM73" s="20">
        <v>-6.3921305267515244E-2</v>
      </c>
      <c r="AN73" s="20">
        <v>1.063792255684185</v>
      </c>
      <c r="AP73" s="21">
        <f t="shared" si="2"/>
        <v>1</v>
      </c>
    </row>
    <row r="74" spans="1:42">
      <c r="A74" s="14">
        <v>12.34</v>
      </c>
      <c r="B74" s="14">
        <v>12.27</v>
      </c>
      <c r="C74" s="14">
        <v>78.94</v>
      </c>
      <c r="D74" s="14">
        <v>468.5</v>
      </c>
      <c r="E74" s="14">
        <v>6.3070000000000001E-2</v>
      </c>
      <c r="F74" s="14">
        <v>2.9579999999999999E-2</v>
      </c>
      <c r="G74" s="14">
        <v>2.647E-2</v>
      </c>
      <c r="H74" s="14">
        <v>13.61</v>
      </c>
      <c r="I74" s="14">
        <v>564.9</v>
      </c>
      <c r="J74" s="14">
        <v>0.107</v>
      </c>
      <c r="M74" s="16">
        <v>0</v>
      </c>
      <c r="O74" s="12">
        <f t="shared" si="3"/>
        <v>1</v>
      </c>
      <c r="P74" s="12">
        <f t="shared" si="4"/>
        <v>0</v>
      </c>
      <c r="R74" s="19">
        <v>-0.73123152445520212</v>
      </c>
      <c r="S74" s="19">
        <v>0.72040712016018926</v>
      </c>
      <c r="T74" s="19">
        <v>0.84351639817622948</v>
      </c>
      <c r="U74" s="19">
        <v>0.31992825599584951</v>
      </c>
      <c r="V74" s="19">
        <v>0.88146384162622693</v>
      </c>
      <c r="W74" s="19">
        <v>-0.54016984465903872</v>
      </c>
      <c r="X74" s="19">
        <v>-0.76241739406193598</v>
      </c>
      <c r="Y74" s="19">
        <v>0.88155821845892501</v>
      </c>
      <c r="Z74" s="19">
        <v>0.67800451169274312</v>
      </c>
      <c r="AA74" s="19">
        <v>0.93921506290125589</v>
      </c>
      <c r="AB74" s="19">
        <v>-0.83332781979537796</v>
      </c>
      <c r="AC74" s="19">
        <v>0.9241797043086013</v>
      </c>
      <c r="AD74" s="19">
        <v>-0.71063007566584968</v>
      </c>
      <c r="AE74" s="19">
        <v>0.88722842195244478</v>
      </c>
      <c r="AF74" s="19">
        <v>0.91864941572689518</v>
      </c>
      <c r="AG74" s="19">
        <v>0.86985809260728986</v>
      </c>
      <c r="AH74" s="19">
        <v>0.34304404676357386</v>
      </c>
      <c r="AI74" s="19">
        <v>-0.93728662269362983</v>
      </c>
      <c r="AJ74" s="19">
        <v>-0.42626101383393711</v>
      </c>
      <c r="AK74" s="19">
        <v>0.59434762980524591</v>
      </c>
      <c r="AM74" s="20">
        <v>0.79933859980411825</v>
      </c>
      <c r="AN74" s="20">
        <v>0.20083209526847615</v>
      </c>
      <c r="AP74" s="21">
        <f t="shared" si="2"/>
        <v>0</v>
      </c>
    </row>
    <row r="75" spans="1:42">
      <c r="A75" s="14">
        <v>13.94</v>
      </c>
      <c r="B75" s="14">
        <v>13.17</v>
      </c>
      <c r="C75" s="14">
        <v>90.31</v>
      </c>
      <c r="D75" s="14">
        <v>594.20000000000005</v>
      </c>
      <c r="E75" s="14">
        <v>9.7549999999999998E-2</v>
      </c>
      <c r="F75" s="14">
        <v>0.10100000000000001</v>
      </c>
      <c r="G75" s="14">
        <v>6.615E-2</v>
      </c>
      <c r="H75" s="14">
        <v>14.62</v>
      </c>
      <c r="I75" s="14">
        <v>653.29999999999995</v>
      </c>
      <c r="J75" s="14">
        <v>0.10150000000000001</v>
      </c>
      <c r="M75" s="16">
        <v>0</v>
      </c>
      <c r="O75" s="12">
        <f t="shared" si="3"/>
        <v>1</v>
      </c>
      <c r="P75" s="12">
        <f t="shared" si="4"/>
        <v>0</v>
      </c>
      <c r="R75" s="19">
        <v>-0.87053028913661124</v>
      </c>
      <c r="S75" s="19">
        <v>0.75153618749711493</v>
      </c>
      <c r="T75" s="19">
        <v>0.39006991888769238</v>
      </c>
      <c r="U75" s="19">
        <v>0.41280050136244506</v>
      </c>
      <c r="V75" s="19">
        <v>0.89100098929184579</v>
      </c>
      <c r="W75" s="19">
        <v>-0.80795826869444609</v>
      </c>
      <c r="X75" s="19">
        <v>-0.87301140990680604</v>
      </c>
      <c r="Y75" s="19">
        <v>0.71884372972081201</v>
      </c>
      <c r="Z75" s="19">
        <v>0.91477981592942093</v>
      </c>
      <c r="AA75" s="19">
        <v>0.84296695150615153</v>
      </c>
      <c r="AB75" s="19">
        <v>-0.37351494267867097</v>
      </c>
      <c r="AC75" s="19">
        <v>0.79730181328559491</v>
      </c>
      <c r="AD75" s="19">
        <v>-0.65901755708090248</v>
      </c>
      <c r="AE75" s="19">
        <v>0.91909345121116026</v>
      </c>
      <c r="AF75" s="19">
        <v>0.38757652311202151</v>
      </c>
      <c r="AG75" s="19">
        <v>0.38928667453164906</v>
      </c>
      <c r="AH75" s="19">
        <v>0.46879525073901235</v>
      </c>
      <c r="AI75" s="19">
        <v>-0.91394807410973145</v>
      </c>
      <c r="AJ75" s="19">
        <v>-0.47825966425806876</v>
      </c>
      <c r="AK75" s="19">
        <v>-3.294281457791598E-2</v>
      </c>
      <c r="AM75" s="20">
        <v>0.18425883178525149</v>
      </c>
      <c r="AN75" s="20">
        <v>0.8158276409153995</v>
      </c>
      <c r="AP75" s="21">
        <f t="shared" si="2"/>
        <v>1</v>
      </c>
    </row>
    <row r="76" spans="1:42">
      <c r="A76" s="14">
        <v>12.07</v>
      </c>
      <c r="B76" s="14">
        <v>13.44</v>
      </c>
      <c r="C76" s="14">
        <v>77.83</v>
      </c>
      <c r="D76" s="14">
        <v>445.2</v>
      </c>
      <c r="E76" s="14">
        <v>9.0090000000000003E-2</v>
      </c>
      <c r="F76" s="14">
        <v>3.7810000000000003E-2</v>
      </c>
      <c r="G76" s="14">
        <v>2.7980000000000001E-2</v>
      </c>
      <c r="H76" s="14">
        <v>13.45</v>
      </c>
      <c r="I76" s="14">
        <v>549.9</v>
      </c>
      <c r="J76" s="14">
        <v>7.3929999999999996E-2</v>
      </c>
      <c r="M76" s="16">
        <v>0</v>
      </c>
      <c r="O76" s="12">
        <f t="shared" si="3"/>
        <v>1</v>
      </c>
      <c r="P76" s="12">
        <f t="shared" si="4"/>
        <v>0</v>
      </c>
      <c r="R76" s="19">
        <v>-0.78310309370412057</v>
      </c>
      <c r="S76" s="19">
        <v>0.73755194756557896</v>
      </c>
      <c r="T76" s="19">
        <v>0.74147070435240214</v>
      </c>
      <c r="U76" s="19">
        <v>0.35031157589143852</v>
      </c>
      <c r="V76" s="19">
        <v>0.89023903975588348</v>
      </c>
      <c r="W76" s="19">
        <v>-0.63389107021099489</v>
      </c>
      <c r="X76" s="19">
        <v>-0.80414012048846539</v>
      </c>
      <c r="Y76" s="19">
        <v>0.8595481171183601</v>
      </c>
      <c r="Z76" s="19">
        <v>0.77298207929850549</v>
      </c>
      <c r="AA76" s="19">
        <v>0.92775143852240205</v>
      </c>
      <c r="AB76" s="19">
        <v>-0.77017822318150075</v>
      </c>
      <c r="AC76" s="19">
        <v>0.90845977204971151</v>
      </c>
      <c r="AD76" s="19">
        <v>-0.7078377547635033</v>
      </c>
      <c r="AE76" s="19">
        <v>0.90201648144774771</v>
      </c>
      <c r="AF76" s="19">
        <v>0.8663034679556092</v>
      </c>
      <c r="AG76" s="19">
        <v>0.81036737576771789</v>
      </c>
      <c r="AH76" s="19">
        <v>0.38279989741724685</v>
      </c>
      <c r="AI76" s="19">
        <v>-0.9366953686255064</v>
      </c>
      <c r="AJ76" s="19">
        <v>-0.44750771704771125</v>
      </c>
      <c r="AK76" s="19">
        <v>9.0503420329045473E-2</v>
      </c>
      <c r="AM76" s="20">
        <v>1.0427313332119543</v>
      </c>
      <c r="AN76" s="20">
        <v>-4.2762015730303714E-2</v>
      </c>
      <c r="AP76" s="21">
        <f t="shared" si="2"/>
        <v>0</v>
      </c>
    </row>
    <row r="77" spans="1:42">
      <c r="A77" s="14">
        <v>11.75</v>
      </c>
      <c r="B77" s="14">
        <v>17.559999999999999</v>
      </c>
      <c r="C77" s="14">
        <v>75.89</v>
      </c>
      <c r="D77" s="14">
        <v>422.9</v>
      </c>
      <c r="E77" s="14">
        <v>9.7129999999999994E-2</v>
      </c>
      <c r="F77" s="14">
        <v>5.2819999999999999E-2</v>
      </c>
      <c r="G77" s="14">
        <v>4.4400000000000002E-2</v>
      </c>
      <c r="H77" s="14">
        <v>13.5</v>
      </c>
      <c r="I77" s="14">
        <v>552.29999999999995</v>
      </c>
      <c r="J77" s="14">
        <v>0.10100000000000001</v>
      </c>
      <c r="M77" s="16">
        <v>0</v>
      </c>
      <c r="O77" s="12">
        <f t="shared" si="3"/>
        <v>1</v>
      </c>
      <c r="P77" s="12">
        <f t="shared" si="4"/>
        <v>0</v>
      </c>
      <c r="R77" s="19">
        <v>-0.81920176591568716</v>
      </c>
      <c r="S77" s="19">
        <v>0.75168228915305613</v>
      </c>
      <c r="T77" s="19">
        <v>0.67528846490487304</v>
      </c>
      <c r="U77" s="19">
        <v>0.37507187733593672</v>
      </c>
      <c r="V77" s="19">
        <v>0.89750706149071191</v>
      </c>
      <c r="W77" s="19">
        <v>-0.69916698189702353</v>
      </c>
      <c r="X77" s="19">
        <v>-0.83374270912723025</v>
      </c>
      <c r="Y77" s="19">
        <v>0.83988464575250432</v>
      </c>
      <c r="Z77" s="19">
        <v>0.8317093602793113</v>
      </c>
      <c r="AA77" s="19">
        <v>0.91756029281370588</v>
      </c>
      <c r="AB77" s="19">
        <v>-0.70586360884034627</v>
      </c>
      <c r="AC77" s="19">
        <v>0.89419696360435763</v>
      </c>
      <c r="AD77" s="19">
        <v>-0.7065504357668615</v>
      </c>
      <c r="AE77" s="19">
        <v>0.91316776796418586</v>
      </c>
      <c r="AF77" s="19">
        <v>0.80365204795594414</v>
      </c>
      <c r="AG77" s="19">
        <v>0.74660405496339188</v>
      </c>
      <c r="AH77" s="19">
        <v>0.41471436183052107</v>
      </c>
      <c r="AI77" s="19">
        <v>-0.93668289767492507</v>
      </c>
      <c r="AJ77" s="19">
        <v>-0.4651806097239895</v>
      </c>
      <c r="AK77" s="19">
        <v>0.16018542923002277</v>
      </c>
      <c r="AM77" s="20">
        <v>-4.2827299671935135E-3</v>
      </c>
      <c r="AN77" s="20">
        <v>1.0044063577675231</v>
      </c>
      <c r="AP77" s="21">
        <f t="shared" si="2"/>
        <v>1</v>
      </c>
    </row>
    <row r="78" spans="1:42">
      <c r="A78" s="14">
        <v>11.67</v>
      </c>
      <c r="B78" s="14">
        <v>20.02</v>
      </c>
      <c r="C78" s="14">
        <v>75.209999999999994</v>
      </c>
      <c r="D78" s="14">
        <v>416.2</v>
      </c>
      <c r="E78" s="14">
        <v>9.4530000000000003E-2</v>
      </c>
      <c r="F78" s="14">
        <v>4.2000000000000003E-2</v>
      </c>
      <c r="G78" s="14">
        <v>2.1569999999999999E-2</v>
      </c>
      <c r="H78" s="14">
        <v>13.35</v>
      </c>
      <c r="I78" s="14">
        <v>550.6</v>
      </c>
      <c r="J78" s="14">
        <v>8.1199999999999994E-2</v>
      </c>
      <c r="M78" s="16">
        <v>0</v>
      </c>
      <c r="O78" s="12">
        <f t="shared" si="3"/>
        <v>1</v>
      </c>
      <c r="P78" s="12">
        <f t="shared" si="4"/>
        <v>0</v>
      </c>
      <c r="R78" s="19">
        <v>-0.72690893912264998</v>
      </c>
      <c r="S78" s="19">
        <v>0.70013795088297059</v>
      </c>
      <c r="T78" s="19">
        <v>0.77004279070115422</v>
      </c>
      <c r="U78" s="19">
        <v>0.31376932069185692</v>
      </c>
      <c r="V78" s="19">
        <v>0.86534905811613283</v>
      </c>
      <c r="W78" s="19">
        <v>-0.55344828769127097</v>
      </c>
      <c r="X78" s="19">
        <v>-0.75442145999482435</v>
      </c>
      <c r="Y78" s="19">
        <v>0.85204126009374637</v>
      </c>
      <c r="Z78" s="19">
        <v>0.69301127255735318</v>
      </c>
      <c r="AA78" s="19">
        <v>0.92041292552087861</v>
      </c>
      <c r="AB78" s="19">
        <v>-0.78458320585804786</v>
      </c>
      <c r="AC78" s="19">
        <v>0.90161511613761658</v>
      </c>
      <c r="AD78" s="19">
        <v>-0.68175907653402101</v>
      </c>
      <c r="AE78" s="19">
        <v>0.874536902323372</v>
      </c>
      <c r="AF78" s="19">
        <v>0.88158864223934563</v>
      </c>
      <c r="AG78" s="19">
        <v>0.82506678793597832</v>
      </c>
      <c r="AH78" s="19">
        <v>0.33956291829165419</v>
      </c>
      <c r="AI78" s="19">
        <v>-0.92306062168010483</v>
      </c>
      <c r="AJ78" s="19">
        <v>-0.41188427369938352</v>
      </c>
      <c r="AK78" s="19">
        <v>0.11466449607076318</v>
      </c>
      <c r="AM78" s="20">
        <v>1.0375153357463136</v>
      </c>
      <c r="AN78" s="20">
        <v>-3.7429177241486616E-2</v>
      </c>
      <c r="AP78" s="21">
        <f t="shared" si="2"/>
        <v>0</v>
      </c>
    </row>
    <row r="79" spans="1:42">
      <c r="A79" s="14">
        <v>13.68</v>
      </c>
      <c r="B79" s="14">
        <v>16.329999999999998</v>
      </c>
      <c r="C79" s="14">
        <v>87.76</v>
      </c>
      <c r="D79" s="14">
        <v>575.5</v>
      </c>
      <c r="E79" s="14">
        <v>7.2550000000000003E-2</v>
      </c>
      <c r="F79" s="14">
        <v>1.7520000000000001E-2</v>
      </c>
      <c r="G79" s="14">
        <v>1.8800000000000001E-2</v>
      </c>
      <c r="H79" s="14">
        <v>15.85</v>
      </c>
      <c r="I79" s="14">
        <v>773.4</v>
      </c>
      <c r="J79" s="14">
        <v>8.7040000000000006E-2</v>
      </c>
      <c r="M79" s="16">
        <v>0</v>
      </c>
      <c r="O79" s="12">
        <f t="shared" si="3"/>
        <v>1</v>
      </c>
      <c r="P79" s="12">
        <f t="shared" si="4"/>
        <v>0</v>
      </c>
      <c r="R79" s="19">
        <v>-0.87735709666247053</v>
      </c>
      <c r="S79" s="19">
        <v>0.77102285256794756</v>
      </c>
      <c r="T79" s="19">
        <v>0.43747080596112159</v>
      </c>
      <c r="U79" s="19">
        <v>0.42296753994258945</v>
      </c>
      <c r="V79" s="19">
        <v>0.90525688428161744</v>
      </c>
      <c r="W79" s="19">
        <v>-0.8095370083678507</v>
      </c>
      <c r="X79" s="19">
        <v>-0.88134612345139285</v>
      </c>
      <c r="Y79" s="19">
        <v>0.76501989592928654</v>
      </c>
      <c r="Z79" s="19">
        <v>0.91556625455394802</v>
      </c>
      <c r="AA79" s="19">
        <v>0.87518221046222622</v>
      </c>
      <c r="AB79" s="19">
        <v>-0.46498520585598652</v>
      </c>
      <c r="AC79" s="19">
        <v>0.83660368151061038</v>
      </c>
      <c r="AD79" s="19">
        <v>-0.68874118247855465</v>
      </c>
      <c r="AE79" s="19">
        <v>0.92902399118641565</v>
      </c>
      <c r="AF79" s="19">
        <v>0.50908702130784389</v>
      </c>
      <c r="AG79" s="19">
        <v>0.48987951437078947</v>
      </c>
      <c r="AH79" s="19">
        <v>0.47758300614373034</v>
      </c>
      <c r="AI79" s="19">
        <v>-0.92951934491293187</v>
      </c>
      <c r="AJ79" s="19">
        <v>-0.49466516069601579</v>
      </c>
      <c r="AK79" s="19">
        <v>0.28673741449717238</v>
      </c>
      <c r="AM79" s="20">
        <v>1.0652131695547229</v>
      </c>
      <c r="AN79" s="20">
        <v>-6.5222835431562085E-2</v>
      </c>
      <c r="AP79" s="21">
        <f t="shared" si="2"/>
        <v>0</v>
      </c>
    </row>
    <row r="80" spans="1:42">
      <c r="A80" s="14">
        <v>20.47</v>
      </c>
      <c r="B80" s="14">
        <v>20.67</v>
      </c>
      <c r="C80" s="14">
        <v>134.69999999999999</v>
      </c>
      <c r="D80" s="14">
        <v>1299</v>
      </c>
      <c r="E80" s="14">
        <v>0.1313</v>
      </c>
      <c r="F80" s="14">
        <v>0.15229999999999999</v>
      </c>
      <c r="G80" s="14">
        <v>0.10150000000000001</v>
      </c>
      <c r="H80" s="14">
        <v>23.23</v>
      </c>
      <c r="I80" s="14">
        <v>1645</v>
      </c>
      <c r="J80" s="14">
        <v>0.1613</v>
      </c>
      <c r="M80" s="16">
        <v>1</v>
      </c>
      <c r="O80" s="12">
        <f t="shared" si="3"/>
        <v>0</v>
      </c>
      <c r="P80" s="12">
        <f t="shared" si="4"/>
        <v>1</v>
      </c>
      <c r="R80" s="19">
        <v>-0.89702230271139749</v>
      </c>
      <c r="S80" s="19">
        <v>0.78372902421748647</v>
      </c>
      <c r="T80" s="19">
        <v>0.48740900176666607</v>
      </c>
      <c r="U80" s="19">
        <v>0.44445599432133759</v>
      </c>
      <c r="V80" s="19">
        <v>0.9119427093176441</v>
      </c>
      <c r="W80" s="19">
        <v>-0.84293516916206013</v>
      </c>
      <c r="X80" s="19">
        <v>-0.89864894096992864</v>
      </c>
      <c r="Y80" s="19">
        <v>0.74130905491755772</v>
      </c>
      <c r="Z80" s="19">
        <v>0.93658583076995006</v>
      </c>
      <c r="AA80" s="19">
        <v>0.86265161552535963</v>
      </c>
      <c r="AB80" s="19">
        <v>-0.36795255386428993</v>
      </c>
      <c r="AC80" s="19">
        <v>0.81823212098932485</v>
      </c>
      <c r="AD80" s="19">
        <v>-0.68987294184794234</v>
      </c>
      <c r="AE80" s="19">
        <v>0.93705553615755821</v>
      </c>
      <c r="AF80" s="19">
        <v>0.36888701095522236</v>
      </c>
      <c r="AG80" s="19">
        <v>0.38053855324263774</v>
      </c>
      <c r="AH80" s="19">
        <v>0.50401052267693602</v>
      </c>
      <c r="AI80" s="19">
        <v>-0.93065329007081754</v>
      </c>
      <c r="AJ80" s="19">
        <v>-0.51087260121626921</v>
      </c>
      <c r="AK80" s="19">
        <v>0.23649962837898902</v>
      </c>
      <c r="AM80" s="20">
        <v>1.030509314045827</v>
      </c>
      <c r="AN80" s="20">
        <v>-3.0507324046013844E-2</v>
      </c>
      <c r="AP80" s="21">
        <f t="shared" si="2"/>
        <v>0</v>
      </c>
    </row>
    <row r="81" spans="1:42">
      <c r="A81" s="14">
        <v>10.96</v>
      </c>
      <c r="B81" s="14">
        <v>17.62</v>
      </c>
      <c r="C81" s="14">
        <v>70.790000000000006</v>
      </c>
      <c r="D81" s="14">
        <v>365.6</v>
      </c>
      <c r="E81" s="14">
        <v>9.7519999999999996E-2</v>
      </c>
      <c r="F81" s="14">
        <v>5.2630000000000003E-2</v>
      </c>
      <c r="G81" s="14">
        <v>2.7879999999999999E-2</v>
      </c>
      <c r="H81" s="14">
        <v>11.62</v>
      </c>
      <c r="I81" s="14">
        <v>407.5</v>
      </c>
      <c r="J81" s="14">
        <v>9.8610000000000003E-2</v>
      </c>
      <c r="M81" s="16">
        <v>0</v>
      </c>
      <c r="O81" s="12">
        <f t="shared" si="3"/>
        <v>1</v>
      </c>
      <c r="P81" s="12">
        <f t="shared" si="4"/>
        <v>0</v>
      </c>
      <c r="R81" s="19">
        <v>-0.7918588257601088</v>
      </c>
      <c r="S81" s="19">
        <v>0.74424457394257471</v>
      </c>
      <c r="T81" s="19">
        <v>0.75375657596448342</v>
      </c>
      <c r="U81" s="19">
        <v>0.35674572374033947</v>
      </c>
      <c r="V81" s="19">
        <v>0.89455395702467266</v>
      </c>
      <c r="W81" s="19">
        <v>-0.64624687388246316</v>
      </c>
      <c r="X81" s="19">
        <v>-0.8120051332568391</v>
      </c>
      <c r="Y81" s="19">
        <v>0.86186884861401525</v>
      </c>
      <c r="Z81" s="19">
        <v>0.78446207990810324</v>
      </c>
      <c r="AA81" s="19">
        <v>0.92960932259353646</v>
      </c>
      <c r="AB81" s="19">
        <v>-0.76959084807776679</v>
      </c>
      <c r="AC81" s="19">
        <v>0.91040265205353121</v>
      </c>
      <c r="AD81" s="19">
        <v>-0.7131198419203848</v>
      </c>
      <c r="AE81" s="19">
        <v>0.90650547466769793</v>
      </c>
      <c r="AF81" s="19">
        <v>0.86519026228047147</v>
      </c>
      <c r="AG81" s="19">
        <v>0.80961224322707992</v>
      </c>
      <c r="AH81" s="19">
        <v>0.39024597050043847</v>
      </c>
      <c r="AI81" s="19">
        <v>-0.93923760283425661</v>
      </c>
      <c r="AJ81" s="19">
        <v>-0.45401889625126773</v>
      </c>
      <c r="AK81" s="19">
        <v>-0.25374885737380509</v>
      </c>
      <c r="AM81" s="20">
        <v>1.0574110704116544</v>
      </c>
      <c r="AN81" s="20">
        <v>-5.7488488220168769E-2</v>
      </c>
      <c r="AP81" s="21">
        <f t="shared" si="2"/>
        <v>0</v>
      </c>
    </row>
    <row r="82" spans="1:42">
      <c r="A82" s="14">
        <v>20.55</v>
      </c>
      <c r="B82" s="14">
        <v>20.86</v>
      </c>
      <c r="C82" s="14">
        <v>137.80000000000001</v>
      </c>
      <c r="D82" s="14">
        <v>1308</v>
      </c>
      <c r="E82" s="14">
        <v>0.1739</v>
      </c>
      <c r="F82" s="14">
        <v>0.20849999999999999</v>
      </c>
      <c r="G82" s="14">
        <v>0.13220000000000001</v>
      </c>
      <c r="H82" s="14">
        <v>24.3</v>
      </c>
      <c r="I82" s="14">
        <v>1809</v>
      </c>
      <c r="J82" s="14">
        <v>0.21479999999999999</v>
      </c>
      <c r="M82" s="16">
        <v>1</v>
      </c>
      <c r="O82" s="12">
        <f t="shared" si="3"/>
        <v>0</v>
      </c>
      <c r="P82" s="12">
        <f t="shared" si="4"/>
        <v>1</v>
      </c>
      <c r="R82" s="19">
        <v>-0.75122735378268612</v>
      </c>
      <c r="S82" s="19">
        <v>0.72423742678019476</v>
      </c>
      <c r="T82" s="19">
        <v>0.79090553704441147</v>
      </c>
      <c r="U82" s="19">
        <v>0.33053998829603237</v>
      </c>
      <c r="V82" s="19">
        <v>0.88275089738307466</v>
      </c>
      <c r="W82" s="19">
        <v>-0.57887997944037661</v>
      </c>
      <c r="X82" s="19">
        <v>-0.77784319809072211</v>
      </c>
      <c r="Y82" s="19">
        <v>0.86973811920891519</v>
      </c>
      <c r="Z82" s="19">
        <v>0.71877865200265467</v>
      </c>
      <c r="AA82" s="19">
        <v>0.93265914099048253</v>
      </c>
      <c r="AB82" s="19">
        <v>-0.80493226016493036</v>
      </c>
      <c r="AC82" s="19">
        <v>0.91560924287667655</v>
      </c>
      <c r="AD82" s="19">
        <v>-0.70568959820193511</v>
      </c>
      <c r="AE82" s="19">
        <v>0.8913873780394288</v>
      </c>
      <c r="AF82" s="19">
        <v>0.89659836763492939</v>
      </c>
      <c r="AG82" s="19">
        <v>0.84363874503259184</v>
      </c>
      <c r="AH82" s="19">
        <v>0.35760940473747188</v>
      </c>
      <c r="AI82" s="19">
        <v>-0.93524297156063185</v>
      </c>
      <c r="AJ82" s="19">
        <v>-0.43230284542775366</v>
      </c>
      <c r="AK82" s="19">
        <v>-2.0494630843912287E-2</v>
      </c>
      <c r="AM82" s="20">
        <v>0.74037325416986866</v>
      </c>
      <c r="AN82" s="20">
        <v>0.25966448607983283</v>
      </c>
      <c r="AP82" s="21">
        <f t="shared" si="2"/>
        <v>0</v>
      </c>
    </row>
    <row r="83" spans="1:42">
      <c r="A83" s="14">
        <v>14.27</v>
      </c>
      <c r="B83" s="14">
        <v>22.55</v>
      </c>
      <c r="C83" s="14">
        <v>93.77</v>
      </c>
      <c r="D83" s="14">
        <v>629.79999999999995</v>
      </c>
      <c r="E83" s="14">
        <v>0.1154</v>
      </c>
      <c r="F83" s="14">
        <v>0.14630000000000001</v>
      </c>
      <c r="G83" s="14">
        <v>6.139E-2</v>
      </c>
      <c r="H83" s="14">
        <v>15.29</v>
      </c>
      <c r="I83" s="14">
        <v>728.3</v>
      </c>
      <c r="J83" s="14">
        <v>0.13619999999999999</v>
      </c>
      <c r="M83" s="16">
        <v>1</v>
      </c>
      <c r="O83" s="12">
        <f t="shared" si="3"/>
        <v>0</v>
      </c>
      <c r="P83" s="12">
        <f t="shared" si="4"/>
        <v>1</v>
      </c>
      <c r="R83" s="19">
        <v>-0.66202439144728797</v>
      </c>
      <c r="S83" s="19">
        <v>0.65630608820695824</v>
      </c>
      <c r="T83" s="19">
        <v>0.76106291101542889</v>
      </c>
      <c r="U83" s="19">
        <v>0.27713487295161393</v>
      </c>
      <c r="V83" s="19">
        <v>0.83306859729634641</v>
      </c>
      <c r="W83" s="19">
        <v>-0.46950377938628352</v>
      </c>
      <c r="X83" s="19">
        <v>-0.69595259314110802</v>
      </c>
      <c r="Y83" s="19">
        <v>0.83775038811177127</v>
      </c>
      <c r="Z83" s="19">
        <v>0.60118459776979993</v>
      </c>
      <c r="AA83" s="19">
        <v>0.90812614401192859</v>
      </c>
      <c r="AB83" s="19">
        <v>-0.78705735375267249</v>
      </c>
      <c r="AC83" s="19">
        <v>0.8892255366227918</v>
      </c>
      <c r="AD83" s="19">
        <v>-0.64907986694166786</v>
      </c>
      <c r="AE83" s="19">
        <v>0.83884707691414517</v>
      </c>
      <c r="AF83" s="19">
        <v>0.88645712353533157</v>
      </c>
      <c r="AG83" s="19">
        <v>0.8283575517612376</v>
      </c>
      <c r="AH83" s="19">
        <v>0.29665442591911018</v>
      </c>
      <c r="AI83" s="19">
        <v>-0.90387793306758768</v>
      </c>
      <c r="AJ83" s="19">
        <v>-0.37408878211672969</v>
      </c>
      <c r="AK83" s="19">
        <v>-0.36151121228495042</v>
      </c>
      <c r="AM83" s="20">
        <v>2.3707086898618002E-2</v>
      </c>
      <c r="AN83" s="20">
        <v>0.97634662804122363</v>
      </c>
      <c r="AP83" s="21">
        <f t="shared" si="2"/>
        <v>1</v>
      </c>
    </row>
    <row r="84" spans="1:42">
      <c r="A84" s="14">
        <v>11.69</v>
      </c>
      <c r="B84" s="14">
        <v>24.44</v>
      </c>
      <c r="C84" s="14">
        <v>76.37</v>
      </c>
      <c r="D84" s="14">
        <v>406.4</v>
      </c>
      <c r="E84" s="14">
        <v>0.1552</v>
      </c>
      <c r="F84" s="14">
        <v>4.5150000000000003E-2</v>
      </c>
      <c r="G84" s="14">
        <v>4.5310000000000003E-2</v>
      </c>
      <c r="H84" s="14">
        <v>12.98</v>
      </c>
      <c r="I84" s="14">
        <v>487.7</v>
      </c>
      <c r="J84" s="14">
        <v>0.1308</v>
      </c>
      <c r="M84" s="16">
        <v>0</v>
      </c>
      <c r="O84" s="12">
        <f t="shared" si="3"/>
        <v>1</v>
      </c>
      <c r="P84" s="12">
        <f t="shared" si="4"/>
        <v>0</v>
      </c>
      <c r="R84" s="19">
        <v>-0.91660438643210651</v>
      </c>
      <c r="S84" s="19">
        <v>0.75462140309174797</v>
      </c>
      <c r="T84" s="19">
        <v>-0.1273519183234112</v>
      </c>
      <c r="U84" s="19">
        <v>0.45986733750341724</v>
      </c>
      <c r="V84" s="19">
        <v>0.88490559789148648</v>
      </c>
      <c r="W84" s="19">
        <v>-0.89429893584842635</v>
      </c>
      <c r="X84" s="19">
        <v>-0.91113489903362155</v>
      </c>
      <c r="Y84" s="19">
        <v>0.48181867484333329</v>
      </c>
      <c r="Z84" s="19">
        <v>0.9648953358335296</v>
      </c>
      <c r="AA84" s="19">
        <v>0.67586672498308242</v>
      </c>
      <c r="AB84" s="19">
        <v>0.19819047346700258</v>
      </c>
      <c r="AC84" s="19">
        <v>0.58420025407990417</v>
      </c>
      <c r="AD84" s="19">
        <v>-0.5965844667377711</v>
      </c>
      <c r="AE84" s="19">
        <v>0.92755770915695768</v>
      </c>
      <c r="AF84" s="19">
        <v>-0.41865896609180597</v>
      </c>
      <c r="AG84" s="19">
        <v>-0.25942282130353589</v>
      </c>
      <c r="AH84" s="19">
        <v>0.53340270208219243</v>
      </c>
      <c r="AI84" s="19">
        <v>-0.87815210365834584</v>
      </c>
      <c r="AJ84" s="19">
        <v>-0.49704441947352129</v>
      </c>
      <c r="AK84" s="19">
        <v>0.5101174379201987</v>
      </c>
      <c r="AM84" s="20">
        <v>1.0387859507944459</v>
      </c>
      <c r="AN84" s="20">
        <v>-3.8816043503319866E-2</v>
      </c>
      <c r="AP84" s="21">
        <f t="shared" si="2"/>
        <v>0</v>
      </c>
    </row>
    <row r="85" spans="1:42">
      <c r="A85" s="14">
        <v>7.7290000000000001</v>
      </c>
      <c r="B85" s="14">
        <v>25.49</v>
      </c>
      <c r="C85" s="14">
        <v>47.98</v>
      </c>
      <c r="D85" s="14">
        <v>178.8</v>
      </c>
      <c r="E85" s="14">
        <v>4.8779999999999997E-2</v>
      </c>
      <c r="F85" s="14">
        <v>0</v>
      </c>
      <c r="G85" s="14">
        <v>0</v>
      </c>
      <c r="H85" s="14">
        <v>9.077</v>
      </c>
      <c r="I85" s="14">
        <v>248</v>
      </c>
      <c r="J85" s="14">
        <v>0</v>
      </c>
      <c r="M85" s="16">
        <v>0</v>
      </c>
      <c r="O85" s="12">
        <f t="shared" si="3"/>
        <v>1</v>
      </c>
      <c r="P85" s="12">
        <f t="shared" si="4"/>
        <v>0</v>
      </c>
      <c r="R85" s="19">
        <v>-0.67130986281843397</v>
      </c>
      <c r="S85" s="19">
        <v>0.68922675882731887</v>
      </c>
      <c r="T85" s="19">
        <v>0.83126801105962389</v>
      </c>
      <c r="U85" s="19">
        <v>0.28711776944464684</v>
      </c>
      <c r="V85" s="19">
        <v>0.86110205513595683</v>
      </c>
      <c r="W85" s="19">
        <v>-0.45104104398985057</v>
      </c>
      <c r="X85" s="19">
        <v>-0.71120673838531268</v>
      </c>
      <c r="Y85" s="19">
        <v>0.88170575842548038</v>
      </c>
      <c r="Z85" s="19">
        <v>0.5781274135814517</v>
      </c>
      <c r="AA85" s="19">
        <v>0.93740025582037489</v>
      </c>
      <c r="AB85" s="19">
        <v>-0.85208188766787296</v>
      </c>
      <c r="AC85" s="19">
        <v>0.92351260521050993</v>
      </c>
      <c r="AD85" s="19">
        <v>-0.69347622855683966</v>
      </c>
      <c r="AE85" s="19">
        <v>0.86205980924728343</v>
      </c>
      <c r="AF85" s="19">
        <v>0.93330370532177209</v>
      </c>
      <c r="AG85" s="19">
        <v>0.88720074792577075</v>
      </c>
      <c r="AH85" s="19">
        <v>0.3029918798003004</v>
      </c>
      <c r="AI85" s="19">
        <v>-0.92831075052129686</v>
      </c>
      <c r="AJ85" s="19">
        <v>-0.39618404445527811</v>
      </c>
      <c r="AK85" s="19">
        <v>0.28250345084457734</v>
      </c>
      <c r="AM85" s="20">
        <v>1.0106684792071732</v>
      </c>
      <c r="AN85" s="20">
        <v>-1.0679767428063085E-2</v>
      </c>
      <c r="AP85" s="21">
        <f t="shared" si="2"/>
        <v>0</v>
      </c>
    </row>
    <row r="86" spans="1:42">
      <c r="A86" s="14">
        <v>7.6909999999999998</v>
      </c>
      <c r="B86" s="14">
        <v>25.44</v>
      </c>
      <c r="C86" s="14">
        <v>48.34</v>
      </c>
      <c r="D86" s="14">
        <v>170.4</v>
      </c>
      <c r="E86" s="14">
        <v>0.11990000000000001</v>
      </c>
      <c r="F86" s="14">
        <v>9.2520000000000005E-2</v>
      </c>
      <c r="G86" s="14">
        <v>1.3639999999999999E-2</v>
      </c>
      <c r="H86" s="14">
        <v>8.6780000000000008</v>
      </c>
      <c r="I86" s="14">
        <v>223.6</v>
      </c>
      <c r="J86" s="14">
        <v>0.05</v>
      </c>
      <c r="M86" s="16">
        <v>0</v>
      </c>
      <c r="O86" s="12">
        <f t="shared" si="3"/>
        <v>1</v>
      </c>
      <c r="P86" s="12">
        <f t="shared" si="4"/>
        <v>0</v>
      </c>
      <c r="R86" s="19">
        <v>-0.78243844663939888</v>
      </c>
      <c r="S86" s="19">
        <v>0.7344684772991199</v>
      </c>
      <c r="T86" s="19">
        <v>0.77325811867881367</v>
      </c>
      <c r="U86" s="19">
        <v>0.34928043676421522</v>
      </c>
      <c r="V86" s="19">
        <v>0.88790226503082303</v>
      </c>
      <c r="W86" s="19">
        <v>-0.63558327970885675</v>
      </c>
      <c r="X86" s="19">
        <v>-0.80298685545542003</v>
      </c>
      <c r="Y86" s="19">
        <v>0.85443720658014288</v>
      </c>
      <c r="Z86" s="19">
        <v>0.77469006266364393</v>
      </c>
      <c r="AA86" s="19">
        <v>0.92453933496471008</v>
      </c>
      <c r="AB86" s="19">
        <v>-0.76074972052658774</v>
      </c>
      <c r="AC86" s="19">
        <v>0.90453808270576963</v>
      </c>
      <c r="AD86" s="19">
        <v>-0.70325748630372709</v>
      </c>
      <c r="AE86" s="19">
        <v>0.90025660186540857</v>
      </c>
      <c r="AF86" s="19">
        <v>0.85817365993091876</v>
      </c>
      <c r="AG86" s="19">
        <v>0.80135804505060138</v>
      </c>
      <c r="AH86" s="19">
        <v>0.38218366945232557</v>
      </c>
      <c r="AI86" s="19">
        <v>-0.93454728553273791</v>
      </c>
      <c r="AJ86" s="19">
        <v>-0.44519647218861313</v>
      </c>
      <c r="AK86" s="19">
        <v>0.31471556256011096</v>
      </c>
      <c r="AM86" s="20">
        <v>-2.3143162115228936E-2</v>
      </c>
      <c r="AN86" s="20">
        <v>1.0231323733554489</v>
      </c>
      <c r="AP86" s="21">
        <f t="shared" si="2"/>
        <v>1</v>
      </c>
    </row>
    <row r="87" spans="1:42">
      <c r="A87" s="14">
        <v>11.54</v>
      </c>
      <c r="B87" s="14">
        <v>14.44</v>
      </c>
      <c r="C87" s="14">
        <v>74.650000000000006</v>
      </c>
      <c r="D87" s="14">
        <v>402.9</v>
      </c>
      <c r="E87" s="14">
        <v>0.112</v>
      </c>
      <c r="F87" s="14">
        <v>6.7369999999999999E-2</v>
      </c>
      <c r="G87" s="14">
        <v>2.5940000000000001E-2</v>
      </c>
      <c r="H87" s="14">
        <v>12.26</v>
      </c>
      <c r="I87" s="14">
        <v>457.8</v>
      </c>
      <c r="J87" s="14">
        <v>6.9180000000000005E-2</v>
      </c>
      <c r="M87" s="16">
        <v>0</v>
      </c>
      <c r="O87" s="12">
        <f t="shared" si="3"/>
        <v>1</v>
      </c>
      <c r="P87" s="12">
        <f t="shared" si="4"/>
        <v>0</v>
      </c>
      <c r="R87" s="19">
        <v>-0.69424646496301312</v>
      </c>
      <c r="S87" s="19">
        <v>0.66673557592178345</v>
      </c>
      <c r="T87" s="19">
        <v>0.72967234881751941</v>
      </c>
      <c r="U87" s="19">
        <v>0.29259378566351146</v>
      </c>
      <c r="V87" s="19">
        <v>0.83939471724259185</v>
      </c>
      <c r="W87" s="19">
        <v>-0.52206267519770755</v>
      </c>
      <c r="X87" s="19">
        <v>-0.72236284436511056</v>
      </c>
      <c r="Y87" s="19">
        <v>0.82461972214341805</v>
      </c>
      <c r="Z87" s="19">
        <v>0.66026240002357217</v>
      </c>
      <c r="AA87" s="19">
        <v>0.90060850635064749</v>
      </c>
      <c r="AB87" s="19">
        <v>-0.75264623141972786</v>
      </c>
      <c r="AC87" s="19">
        <v>0.87925694234665264</v>
      </c>
      <c r="AD87" s="19">
        <v>-0.64803025498527622</v>
      </c>
      <c r="AE87" s="19">
        <v>0.8495203790651108</v>
      </c>
      <c r="AF87" s="19">
        <v>0.85659212650648897</v>
      </c>
      <c r="AG87" s="19">
        <v>0.79532405975793274</v>
      </c>
      <c r="AH87" s="19">
        <v>0.31696520357891456</v>
      </c>
      <c r="AI87" s="19">
        <v>-0.90376700000478383</v>
      </c>
      <c r="AJ87" s="19">
        <v>-0.38530808770907893</v>
      </c>
      <c r="AK87" s="19">
        <v>-0.11904141406819102</v>
      </c>
      <c r="AM87" s="20">
        <v>0.86743547474839422</v>
      </c>
      <c r="AN87" s="20">
        <v>0.13262406400033314</v>
      </c>
      <c r="AP87" s="21">
        <f t="shared" si="2"/>
        <v>0</v>
      </c>
    </row>
    <row r="88" spans="1:42">
      <c r="A88" s="14">
        <v>14.47</v>
      </c>
      <c r="B88" s="14">
        <v>24.99</v>
      </c>
      <c r="C88" s="14">
        <v>95.81</v>
      </c>
      <c r="D88" s="14">
        <v>656.4</v>
      </c>
      <c r="E88" s="14">
        <v>0.123</v>
      </c>
      <c r="F88" s="14">
        <v>0.1009</v>
      </c>
      <c r="G88" s="14">
        <v>3.8899999999999997E-2</v>
      </c>
      <c r="H88" s="14">
        <v>16.22</v>
      </c>
      <c r="I88" s="14">
        <v>808.9</v>
      </c>
      <c r="J88" s="14">
        <v>0.1205</v>
      </c>
      <c r="M88" s="16">
        <v>0</v>
      </c>
      <c r="O88" s="12">
        <f t="shared" si="3"/>
        <v>1</v>
      </c>
      <c r="P88" s="12">
        <f t="shared" si="4"/>
        <v>0</v>
      </c>
      <c r="R88" s="19">
        <v>-0.62629497683284729</v>
      </c>
      <c r="S88" s="19">
        <v>0.61526912560488078</v>
      </c>
      <c r="T88" s="19">
        <v>0.70630354644102467</v>
      </c>
      <c r="U88" s="19">
        <v>0.25595872133159048</v>
      </c>
      <c r="V88" s="19">
        <v>0.79742475330007945</v>
      </c>
      <c r="W88" s="19">
        <v>-0.44388797703185789</v>
      </c>
      <c r="X88" s="19">
        <v>-0.65901080957467872</v>
      </c>
      <c r="Y88" s="19">
        <v>0.79761737233244812</v>
      </c>
      <c r="Z88" s="19">
        <v>0.5726829409576818</v>
      </c>
      <c r="AA88" s="19">
        <v>0.87808242491363675</v>
      </c>
      <c r="AB88" s="19">
        <v>-0.73843342244839194</v>
      </c>
      <c r="AC88" s="19">
        <v>0.85568419369963311</v>
      </c>
      <c r="AD88" s="19">
        <v>-0.60538079168905856</v>
      </c>
      <c r="AE88" s="19">
        <v>0.80488868585389739</v>
      </c>
      <c r="AF88" s="19">
        <v>0.84780932769913508</v>
      </c>
      <c r="AG88" s="19">
        <v>0.78279115340413785</v>
      </c>
      <c r="AH88" s="19">
        <v>0.2750053955823919</v>
      </c>
      <c r="AI88" s="19">
        <v>-0.87510683211987217</v>
      </c>
      <c r="AJ88" s="19">
        <v>-0.34478573460908868</v>
      </c>
      <c r="AK88" s="19">
        <v>-3.8316120562970998E-2</v>
      </c>
      <c r="AM88" s="20">
        <v>0.51392854031902291</v>
      </c>
      <c r="AN88" s="20">
        <v>0.48618355409655356</v>
      </c>
      <c r="AP88" s="21">
        <f t="shared" si="2"/>
        <v>0</v>
      </c>
    </row>
    <row r="89" spans="1:42">
      <c r="A89" s="14">
        <v>14.74</v>
      </c>
      <c r="B89" s="14">
        <v>25.42</v>
      </c>
      <c r="C89" s="14">
        <v>94.7</v>
      </c>
      <c r="D89" s="14">
        <v>668.6</v>
      </c>
      <c r="E89" s="14">
        <v>7.2139999999999996E-2</v>
      </c>
      <c r="F89" s="14">
        <v>4.1050000000000003E-2</v>
      </c>
      <c r="G89" s="14">
        <v>3.0269999999999998E-2</v>
      </c>
      <c r="H89" s="14">
        <v>16.510000000000002</v>
      </c>
      <c r="I89" s="14">
        <v>826.4</v>
      </c>
      <c r="J89" s="14">
        <v>0.1095</v>
      </c>
      <c r="M89" s="16">
        <v>0</v>
      </c>
      <c r="O89" s="12">
        <f t="shared" si="3"/>
        <v>1</v>
      </c>
      <c r="P89" s="12">
        <f t="shared" si="4"/>
        <v>0</v>
      </c>
      <c r="R89" s="19">
        <v>-0.79437386897815221</v>
      </c>
      <c r="S89" s="19">
        <v>0.72990098571776085</v>
      </c>
      <c r="T89" s="19">
        <v>0.71713822248170267</v>
      </c>
      <c r="U89" s="19">
        <v>0.35514842935212065</v>
      </c>
      <c r="V89" s="19">
        <v>0.88308201797582586</v>
      </c>
      <c r="W89" s="19">
        <v>-0.66567021621349043</v>
      </c>
      <c r="X89" s="19">
        <v>-0.81087592777068951</v>
      </c>
      <c r="Y89" s="19">
        <v>0.82901941371349308</v>
      </c>
      <c r="Z89" s="19">
        <v>0.8027684985853718</v>
      </c>
      <c r="AA89" s="19">
        <v>0.90908123775691718</v>
      </c>
      <c r="AB89" s="19">
        <v>-0.70306566034868723</v>
      </c>
      <c r="AC89" s="19">
        <v>0.88503117844516299</v>
      </c>
      <c r="AD89" s="19">
        <v>-0.68774787891007017</v>
      </c>
      <c r="AE89" s="19">
        <v>0.89898441886444291</v>
      </c>
      <c r="AF89" s="19">
        <v>0.8035518188897891</v>
      </c>
      <c r="AG89" s="19">
        <v>0.74459115728768732</v>
      </c>
      <c r="AH89" s="19">
        <v>0.39204900255169295</v>
      </c>
      <c r="AI89" s="19">
        <v>-0.92720679024764463</v>
      </c>
      <c r="AJ89" s="19">
        <v>-0.44436999329012417</v>
      </c>
      <c r="AK89" s="19">
        <v>0.25897470267511247</v>
      </c>
      <c r="AM89" s="20">
        <v>1.049055211512202</v>
      </c>
      <c r="AN89" s="20">
        <v>-4.9178143487663258E-2</v>
      </c>
      <c r="AP89" s="21">
        <f t="shared" si="2"/>
        <v>0</v>
      </c>
    </row>
    <row r="90" spans="1:42">
      <c r="A90" s="14">
        <v>13.21</v>
      </c>
      <c r="B90" s="14">
        <v>28.06</v>
      </c>
      <c r="C90" s="14">
        <v>84.88</v>
      </c>
      <c r="D90" s="14">
        <v>538.4</v>
      </c>
      <c r="E90" s="14">
        <v>6.8769999999999998E-2</v>
      </c>
      <c r="F90" s="14">
        <v>2.9870000000000001E-2</v>
      </c>
      <c r="G90" s="14">
        <v>3.2750000000000001E-2</v>
      </c>
      <c r="H90" s="14">
        <v>14.37</v>
      </c>
      <c r="I90" s="14">
        <v>629.6</v>
      </c>
      <c r="J90" s="14">
        <v>7.9579999999999998E-2</v>
      </c>
      <c r="M90" s="16">
        <v>0</v>
      </c>
      <c r="O90" s="12">
        <f t="shared" si="3"/>
        <v>1</v>
      </c>
      <c r="P90" s="12">
        <f t="shared" si="4"/>
        <v>0</v>
      </c>
      <c r="R90" s="19">
        <v>-0.72594935005708239</v>
      </c>
      <c r="S90" s="19">
        <v>0.69084262074106739</v>
      </c>
      <c r="T90" s="19">
        <v>0.75175939913798662</v>
      </c>
      <c r="U90" s="19">
        <v>0.3115036814795501</v>
      </c>
      <c r="V90" s="19">
        <v>0.85753768780016537</v>
      </c>
      <c r="W90" s="19">
        <v>-0.56116744785230954</v>
      </c>
      <c r="X90" s="19">
        <v>-0.75154092916671833</v>
      </c>
      <c r="Y90" s="19">
        <v>0.83595705666390152</v>
      </c>
      <c r="Z90" s="19">
        <v>0.70149871457671198</v>
      </c>
      <c r="AA90" s="19">
        <v>0.9098174467600908</v>
      </c>
      <c r="AB90" s="19">
        <v>-0.75709494816545531</v>
      </c>
      <c r="AC90" s="19">
        <v>0.88896066855546541</v>
      </c>
      <c r="AD90" s="19">
        <v>-0.66778289249861522</v>
      </c>
      <c r="AE90" s="19">
        <v>0.86864283159951194</v>
      </c>
      <c r="AF90" s="19">
        <v>0.85864006151071104</v>
      </c>
      <c r="AG90" s="19">
        <v>0.79901348817950502</v>
      </c>
      <c r="AH90" s="19">
        <v>0.33869592617162997</v>
      </c>
      <c r="AI90" s="19">
        <v>-0.91557448562072441</v>
      </c>
      <c r="AJ90" s="19">
        <v>-0.40565108623517782</v>
      </c>
      <c r="AK90" s="19">
        <v>0.38137290374731131</v>
      </c>
      <c r="AM90" s="20">
        <v>-4.0614845202065882E-2</v>
      </c>
      <c r="AN90" s="20">
        <v>1.0406559069818055</v>
      </c>
      <c r="AP90" s="21">
        <f t="shared" si="2"/>
        <v>1</v>
      </c>
    </row>
    <row r="91" spans="1:42">
      <c r="A91" s="14">
        <v>13.87</v>
      </c>
      <c r="B91" s="14">
        <v>20.7</v>
      </c>
      <c r="C91" s="14">
        <v>89.77</v>
      </c>
      <c r="D91" s="14">
        <v>584.79999999999995</v>
      </c>
      <c r="E91" s="14">
        <v>0.1018</v>
      </c>
      <c r="F91" s="14">
        <v>3.6880000000000003E-2</v>
      </c>
      <c r="G91" s="14">
        <v>2.3689999999999999E-2</v>
      </c>
      <c r="H91" s="14">
        <v>15.05</v>
      </c>
      <c r="I91" s="14">
        <v>688.6</v>
      </c>
      <c r="J91" s="14">
        <v>6.8449999999999997E-2</v>
      </c>
      <c r="M91" s="16">
        <v>0</v>
      </c>
      <c r="O91" s="12">
        <f t="shared" si="3"/>
        <v>1</v>
      </c>
      <c r="P91" s="12">
        <f t="shared" si="4"/>
        <v>0</v>
      </c>
      <c r="R91" s="19">
        <v>-0.75376243754824601</v>
      </c>
      <c r="S91" s="19">
        <v>0.72926542101984904</v>
      </c>
      <c r="T91" s="19">
        <v>0.82251475583923572</v>
      </c>
      <c r="U91" s="19">
        <v>0.33288378950330716</v>
      </c>
      <c r="V91" s="19">
        <v>0.88647154828440144</v>
      </c>
      <c r="W91" s="19">
        <v>-0.57882816971309914</v>
      </c>
      <c r="X91" s="19">
        <v>-0.78085411157635287</v>
      </c>
      <c r="Y91" s="19">
        <v>0.8757079744111943</v>
      </c>
      <c r="Z91" s="19">
        <v>0.7185436868240358</v>
      </c>
      <c r="AA91" s="19">
        <v>0.93644129366869366</v>
      </c>
      <c r="AB91" s="19">
        <v>-0.8144652490124632</v>
      </c>
      <c r="AC91" s="19">
        <v>0.92014402009956575</v>
      </c>
      <c r="AD91" s="19">
        <v>-0.71211285224773779</v>
      </c>
      <c r="AE91" s="19">
        <v>0.89452306484544075</v>
      </c>
      <c r="AF91" s="19">
        <v>0.90382754344011174</v>
      </c>
      <c r="AG91" s="19">
        <v>0.85238706444587342</v>
      </c>
      <c r="AH91" s="19">
        <v>0.35961833545816646</v>
      </c>
      <c r="AI91" s="19">
        <v>-0.93825206282061302</v>
      </c>
      <c r="AJ91" s="19">
        <v>-0.43624994760683089</v>
      </c>
      <c r="AK91" s="19">
        <v>0.39814177496335923</v>
      </c>
      <c r="AM91" s="20">
        <v>-2.8096507880392918E-2</v>
      </c>
      <c r="AN91" s="20">
        <v>1.0281113046922339</v>
      </c>
      <c r="AP91" s="21">
        <f t="shared" si="2"/>
        <v>1</v>
      </c>
    </row>
    <row r="92" spans="1:42">
      <c r="A92" s="14">
        <v>13.62</v>
      </c>
      <c r="B92" s="14">
        <v>23.23</v>
      </c>
      <c r="C92" s="14">
        <v>87.19</v>
      </c>
      <c r="D92" s="14">
        <v>573.20000000000005</v>
      </c>
      <c r="E92" s="14">
        <v>6.7470000000000002E-2</v>
      </c>
      <c r="F92" s="14">
        <v>2.9739999999999999E-2</v>
      </c>
      <c r="G92" s="14">
        <v>2.443E-2</v>
      </c>
      <c r="H92" s="14">
        <v>15.35</v>
      </c>
      <c r="I92" s="14">
        <v>729.8</v>
      </c>
      <c r="J92" s="14">
        <v>7.1739999999999998E-2</v>
      </c>
      <c r="M92" s="16">
        <v>0</v>
      </c>
      <c r="O92" s="12">
        <f t="shared" si="3"/>
        <v>1</v>
      </c>
      <c r="P92" s="12">
        <f t="shared" si="4"/>
        <v>0</v>
      </c>
      <c r="R92" s="19">
        <v>-0.71046922909316623</v>
      </c>
      <c r="S92" s="19">
        <v>0.69848275175165053</v>
      </c>
      <c r="T92" s="19">
        <v>0.78598831233596878</v>
      </c>
      <c r="U92" s="19">
        <v>0.30584313963872783</v>
      </c>
      <c r="V92" s="19">
        <v>0.86547126873722213</v>
      </c>
      <c r="W92" s="19">
        <v>-0.52112690010363483</v>
      </c>
      <c r="X92" s="19">
        <v>-0.74199102717149035</v>
      </c>
      <c r="Y92" s="19">
        <v>0.86477385111333427</v>
      </c>
      <c r="Z92" s="19">
        <v>0.65804597550141819</v>
      </c>
      <c r="AA92" s="19">
        <v>0.92794119703295563</v>
      </c>
      <c r="AB92" s="19">
        <v>-0.8127920879083147</v>
      </c>
      <c r="AC92" s="19">
        <v>0.91117711079986208</v>
      </c>
      <c r="AD92" s="19">
        <v>-0.68806596573929257</v>
      </c>
      <c r="AE92" s="19">
        <v>0.87183894358607206</v>
      </c>
      <c r="AF92" s="19">
        <v>0.90435828449717559</v>
      </c>
      <c r="AG92" s="19">
        <v>0.85148128261472045</v>
      </c>
      <c r="AH92" s="19">
        <v>0.32829426882627288</v>
      </c>
      <c r="AI92" s="19">
        <v>-0.92607324277821956</v>
      </c>
      <c r="AJ92" s="19">
        <v>-0.40813998276778413</v>
      </c>
      <c r="AK92" s="19">
        <v>0.11018109972831722</v>
      </c>
      <c r="AM92" s="20">
        <v>0.82402935677246103</v>
      </c>
      <c r="AN92" s="20">
        <v>0.17609593490879666</v>
      </c>
      <c r="AP92" s="21">
        <f t="shared" si="2"/>
        <v>0</v>
      </c>
    </row>
    <row r="93" spans="1:42">
      <c r="A93" s="14">
        <v>10.32</v>
      </c>
      <c r="B93" s="14">
        <v>16.350000000000001</v>
      </c>
      <c r="C93" s="14">
        <v>65.31</v>
      </c>
      <c r="D93" s="14">
        <v>324.89999999999998</v>
      </c>
      <c r="E93" s="14">
        <v>4.9939999999999998E-2</v>
      </c>
      <c r="F93" s="14">
        <v>1.0120000000000001E-2</v>
      </c>
      <c r="G93" s="14">
        <v>5.4949999999999999E-3</v>
      </c>
      <c r="H93" s="14">
        <v>11.25</v>
      </c>
      <c r="I93" s="14">
        <v>384.9</v>
      </c>
      <c r="J93" s="14">
        <v>2.3810000000000001E-2</v>
      </c>
      <c r="M93" s="16">
        <v>0</v>
      </c>
      <c r="O93" s="12">
        <f t="shared" si="3"/>
        <v>1</v>
      </c>
      <c r="P93" s="12">
        <f t="shared" si="4"/>
        <v>0</v>
      </c>
      <c r="R93" s="19">
        <v>-0.77379400384170938</v>
      </c>
      <c r="S93" s="19">
        <v>0.71255526354111332</v>
      </c>
      <c r="T93" s="19">
        <v>0.70016168260645162</v>
      </c>
      <c r="U93" s="19">
        <v>0.33998432054265554</v>
      </c>
      <c r="V93" s="19">
        <v>0.87106331308997442</v>
      </c>
      <c r="W93" s="19">
        <v>-0.63856512852725611</v>
      </c>
      <c r="X93" s="19">
        <v>-0.79190686759842743</v>
      </c>
      <c r="Y93" s="19">
        <v>0.82053389911968355</v>
      </c>
      <c r="Z93" s="19">
        <v>0.77816141566005192</v>
      </c>
      <c r="AA93" s="19">
        <v>0.90224652549730211</v>
      </c>
      <c r="AB93" s="19">
        <v>-0.70115455589570974</v>
      </c>
      <c r="AC93" s="19">
        <v>0.8777504125891924</v>
      </c>
      <c r="AD93" s="19">
        <v>-0.67307506183121824</v>
      </c>
      <c r="AE93" s="19">
        <v>0.88695040951462545</v>
      </c>
      <c r="AF93" s="19">
        <v>0.8036753596196492</v>
      </c>
      <c r="AG93" s="19">
        <v>0.74327391554385203</v>
      </c>
      <c r="AH93" s="19">
        <v>0.37471347271350497</v>
      </c>
      <c r="AI93" s="19">
        <v>-0.91925261408839365</v>
      </c>
      <c r="AJ93" s="19">
        <v>-0.42845567498905113</v>
      </c>
      <c r="AK93" s="19">
        <v>2.8212285059678134E-2</v>
      </c>
      <c r="AM93" s="20">
        <v>1.0262366141877493</v>
      </c>
      <c r="AN93" s="20">
        <v>-2.6251954651490907E-2</v>
      </c>
      <c r="AP93" s="21">
        <f t="shared" si="2"/>
        <v>0</v>
      </c>
    </row>
    <row r="94" spans="1:42">
      <c r="A94" s="14">
        <v>10.26</v>
      </c>
      <c r="B94" s="14">
        <v>16.579999999999998</v>
      </c>
      <c r="C94" s="14">
        <v>65.849999999999994</v>
      </c>
      <c r="D94" s="14">
        <v>320.8</v>
      </c>
      <c r="E94" s="14">
        <v>8.0659999999999996E-2</v>
      </c>
      <c r="F94" s="14">
        <v>4.3580000000000001E-2</v>
      </c>
      <c r="G94" s="14">
        <v>2.4379999999999999E-2</v>
      </c>
      <c r="H94" s="14">
        <v>10.83</v>
      </c>
      <c r="I94" s="14">
        <v>357.4</v>
      </c>
      <c r="J94" s="14">
        <v>8.3330000000000001E-2</v>
      </c>
      <c r="M94" s="16">
        <v>0</v>
      </c>
      <c r="O94" s="12">
        <f t="shared" si="3"/>
        <v>1</v>
      </c>
      <c r="P94" s="12">
        <f t="shared" si="4"/>
        <v>0</v>
      </c>
      <c r="R94" s="19">
        <v>-0.75004482702944542</v>
      </c>
      <c r="S94" s="19">
        <v>0.71228499543133517</v>
      </c>
      <c r="T94" s="19">
        <v>0.74636985660437172</v>
      </c>
      <c r="U94" s="19">
        <v>0.32748607116040102</v>
      </c>
      <c r="V94" s="19">
        <v>0.87323268077159599</v>
      </c>
      <c r="W94" s="19">
        <v>-0.58907097718050527</v>
      </c>
      <c r="X94" s="19">
        <v>-0.77423921590657463</v>
      </c>
      <c r="Y94" s="19">
        <v>0.84971428201542964</v>
      </c>
      <c r="Z94" s="19">
        <v>0.72962428181459493</v>
      </c>
      <c r="AA94" s="19">
        <v>0.91996479131756348</v>
      </c>
      <c r="AB94" s="19">
        <v>-0.76956515181057272</v>
      </c>
      <c r="AC94" s="19">
        <v>0.90023678992651535</v>
      </c>
      <c r="AD94" s="19">
        <v>-0.68755929872395283</v>
      </c>
      <c r="AE94" s="19">
        <v>0.88426938905253494</v>
      </c>
      <c r="AF94" s="19">
        <v>0.86787684632180329</v>
      </c>
      <c r="AG94" s="19">
        <v>0.81045916608039892</v>
      </c>
      <c r="AH94" s="19">
        <v>0.35646228307711164</v>
      </c>
      <c r="AI94" s="19">
        <v>-0.9263827061473523</v>
      </c>
      <c r="AJ94" s="19">
        <v>-0.42392652240558892</v>
      </c>
      <c r="AK94" s="19">
        <v>-3.8078583318249308E-2</v>
      </c>
      <c r="AM94" s="20">
        <v>1.0227811946662047</v>
      </c>
      <c r="AN94" s="20">
        <v>-2.253184438513325E-2</v>
      </c>
      <c r="AP94" s="21">
        <f t="shared" ref="AP94:AP142" si="5">IF(AM94&gt;AN94,0,1)</f>
        <v>0</v>
      </c>
    </row>
    <row r="95" spans="1:42">
      <c r="A95" s="14">
        <v>9.6829999999999998</v>
      </c>
      <c r="B95" s="14">
        <v>19.34</v>
      </c>
      <c r="C95" s="14">
        <v>61.05</v>
      </c>
      <c r="D95" s="14">
        <v>285.7</v>
      </c>
      <c r="E95" s="14">
        <v>5.0299999999999997E-2</v>
      </c>
      <c r="F95" s="14">
        <v>2.3369999999999998E-2</v>
      </c>
      <c r="G95" s="14">
        <v>9.6150000000000003E-3</v>
      </c>
      <c r="H95" s="14">
        <v>10.93</v>
      </c>
      <c r="I95" s="14">
        <v>364.2</v>
      </c>
      <c r="J95" s="14">
        <v>3.8460000000000001E-2</v>
      </c>
      <c r="M95" s="16">
        <v>0</v>
      </c>
      <c r="O95" s="12">
        <f t="shared" si="3"/>
        <v>1</v>
      </c>
      <c r="P95" s="12">
        <f t="shared" si="4"/>
        <v>0</v>
      </c>
      <c r="R95" s="19">
        <v>-0.76713318479199399</v>
      </c>
      <c r="S95" s="19">
        <v>0.72480651108128547</v>
      </c>
      <c r="T95" s="19">
        <v>0.73940778422705755</v>
      </c>
      <c r="U95" s="19">
        <v>0.33890144904370023</v>
      </c>
      <c r="V95" s="19">
        <v>0.88173397632890071</v>
      </c>
      <c r="W95" s="19">
        <v>-0.61244683268377742</v>
      </c>
      <c r="X95" s="19">
        <v>-0.78961647750424269</v>
      </c>
      <c r="Y95" s="19">
        <v>0.85398059330083942</v>
      </c>
      <c r="Z95" s="19">
        <v>0.75259478835503735</v>
      </c>
      <c r="AA95" s="19">
        <v>0.92349739181153456</v>
      </c>
      <c r="AB95" s="19">
        <v>-0.76849073607399077</v>
      </c>
      <c r="AC95" s="19">
        <v>0.90387344333720432</v>
      </c>
      <c r="AD95" s="19">
        <v>-0.69723700080808704</v>
      </c>
      <c r="AE95" s="19">
        <v>0.8932935476282623</v>
      </c>
      <c r="AF95" s="19">
        <v>0.86590940113431891</v>
      </c>
      <c r="AG95" s="19">
        <v>0.80909586855113569</v>
      </c>
      <c r="AH95" s="19">
        <v>0.3697366662867565</v>
      </c>
      <c r="AI95" s="19">
        <v>-0.93143618553215302</v>
      </c>
      <c r="AJ95" s="19">
        <v>-0.43555497278986388</v>
      </c>
      <c r="AK95" s="19">
        <v>0.18492440058266257</v>
      </c>
      <c r="AM95" s="20">
        <v>-2.6082573575942652E-2</v>
      </c>
      <c r="AN95" s="20">
        <v>1.0261349794023094</v>
      </c>
      <c r="AP95" s="21">
        <f t="shared" si="5"/>
        <v>1</v>
      </c>
    </row>
    <row r="96" spans="1:42">
      <c r="A96" s="14">
        <v>10.82</v>
      </c>
      <c r="B96" s="14">
        <v>24.21</v>
      </c>
      <c r="C96" s="14">
        <v>68.89</v>
      </c>
      <c r="D96" s="14">
        <v>361.6</v>
      </c>
      <c r="E96" s="14">
        <v>6.6019999999999995E-2</v>
      </c>
      <c r="F96" s="14">
        <v>1.5480000000000001E-2</v>
      </c>
      <c r="G96" s="14">
        <v>8.1600000000000006E-3</v>
      </c>
      <c r="H96" s="14">
        <v>13.03</v>
      </c>
      <c r="I96" s="14">
        <v>505.6</v>
      </c>
      <c r="J96" s="14">
        <v>3.2640000000000002E-2</v>
      </c>
      <c r="M96" s="16">
        <v>0</v>
      </c>
      <c r="O96" s="12">
        <f t="shared" si="3"/>
        <v>1</v>
      </c>
      <c r="P96" s="12">
        <f t="shared" si="4"/>
        <v>0</v>
      </c>
      <c r="R96" s="19">
        <v>-0.88196759635285948</v>
      </c>
      <c r="S96" s="19">
        <v>0.77000975945884764</v>
      </c>
      <c r="T96" s="19">
        <v>0.59914328276925721</v>
      </c>
      <c r="U96" s="19">
        <v>0.4268683849724062</v>
      </c>
      <c r="V96" s="19">
        <v>0.90383121489749652</v>
      </c>
      <c r="W96" s="19">
        <v>-0.81986050360849205</v>
      </c>
      <c r="X96" s="19">
        <v>-0.88480107790974016</v>
      </c>
      <c r="Y96" s="19">
        <v>0.74629237182919494</v>
      </c>
      <c r="Z96" s="19">
        <v>0.92235079180657331</v>
      </c>
      <c r="AA96" s="19">
        <v>0.86347201053586931</v>
      </c>
      <c r="AB96" s="19">
        <v>-0.41268692972218207</v>
      </c>
      <c r="AC96" s="19">
        <v>0.82133632550426439</v>
      </c>
      <c r="AD96" s="19">
        <v>-0.68147867769424253</v>
      </c>
      <c r="AE96" s="19">
        <v>0.92914289903264446</v>
      </c>
      <c r="AF96" s="19">
        <v>0.43709334931744986</v>
      </c>
      <c r="AG96" s="19">
        <v>0.43182647505014371</v>
      </c>
      <c r="AH96" s="19">
        <v>0.48338737381820401</v>
      </c>
      <c r="AI96" s="19">
        <v>-0.9260687335034582</v>
      </c>
      <c r="AJ96" s="19">
        <v>-0.49534561891500506</v>
      </c>
      <c r="AK96" s="19">
        <v>0.57314111364494158</v>
      </c>
      <c r="AM96" s="20">
        <v>0.99666337748207612</v>
      </c>
      <c r="AN96" s="20">
        <v>3.3443242761065101E-3</v>
      </c>
      <c r="AP96" s="21">
        <f t="shared" si="5"/>
        <v>0</v>
      </c>
    </row>
    <row r="97" spans="1:42">
      <c r="A97" s="14">
        <v>10.86</v>
      </c>
      <c r="B97" s="14">
        <v>21.48</v>
      </c>
      <c r="C97" s="14">
        <v>68.510000000000005</v>
      </c>
      <c r="D97" s="14">
        <v>360.5</v>
      </c>
      <c r="E97" s="14">
        <v>4.2270000000000002E-2</v>
      </c>
      <c r="F97" s="14">
        <v>0</v>
      </c>
      <c r="G97" s="14">
        <v>0</v>
      </c>
      <c r="H97" s="14">
        <v>11.66</v>
      </c>
      <c r="I97" s="14">
        <v>412.3</v>
      </c>
      <c r="J97" s="14">
        <v>0</v>
      </c>
      <c r="M97" s="16">
        <v>0</v>
      </c>
      <c r="O97" s="12">
        <f t="shared" si="3"/>
        <v>1</v>
      </c>
      <c r="P97" s="12">
        <f t="shared" si="4"/>
        <v>0</v>
      </c>
      <c r="R97" s="19">
        <v>-0.70317752342713147</v>
      </c>
      <c r="S97" s="19">
        <v>0.68526744698298769</v>
      </c>
      <c r="T97" s="19">
        <v>0.78770235923070619</v>
      </c>
      <c r="U97" s="19">
        <v>0.30000265624254852</v>
      </c>
      <c r="V97" s="19">
        <v>0.85491962300977475</v>
      </c>
      <c r="W97" s="19">
        <v>-0.52057602445624929</v>
      </c>
      <c r="X97" s="19">
        <v>-0.73343120552339136</v>
      </c>
      <c r="Y97" s="19">
        <v>0.84927179381304252</v>
      </c>
      <c r="Z97" s="19">
        <v>0.65794431442298529</v>
      </c>
      <c r="AA97" s="19">
        <v>0.9175858980041709</v>
      </c>
      <c r="AB97" s="19">
        <v>-0.78988335843022361</v>
      </c>
      <c r="AC97" s="19">
        <v>0.8990400330288113</v>
      </c>
      <c r="AD97" s="19">
        <v>-0.67172496881587129</v>
      </c>
      <c r="AE97" s="19">
        <v>0.86268216191841618</v>
      </c>
      <c r="AF97" s="19">
        <v>0.88695719488264013</v>
      </c>
      <c r="AG97" s="19">
        <v>0.83040276253055312</v>
      </c>
      <c r="AH97" s="19">
        <v>0.32316961052286652</v>
      </c>
      <c r="AI97" s="19">
        <v>-0.91737752762567426</v>
      </c>
      <c r="AJ97" s="19">
        <v>-0.39839642880082493</v>
      </c>
      <c r="AK97" s="19">
        <v>0.21944772880408231</v>
      </c>
      <c r="AM97" s="20">
        <v>0.85533134532690114</v>
      </c>
      <c r="AN97" s="20">
        <v>0.14468878068090613</v>
      </c>
      <c r="AP97" s="21">
        <f t="shared" si="5"/>
        <v>0</v>
      </c>
    </row>
    <row r="98" spans="1:42">
      <c r="A98" s="14">
        <v>11.13</v>
      </c>
      <c r="B98" s="14">
        <v>22.44</v>
      </c>
      <c r="C98" s="14">
        <v>71.489999999999995</v>
      </c>
      <c r="D98" s="14">
        <v>378.4</v>
      </c>
      <c r="E98" s="14">
        <v>8.1939999999999999E-2</v>
      </c>
      <c r="F98" s="14">
        <v>4.8239999999999998E-2</v>
      </c>
      <c r="G98" s="14">
        <v>2.257E-2</v>
      </c>
      <c r="H98" s="14">
        <v>12.02</v>
      </c>
      <c r="I98" s="14">
        <v>436.6</v>
      </c>
      <c r="J98" s="14">
        <v>6.4130000000000006E-2</v>
      </c>
      <c r="M98" s="16">
        <v>0</v>
      </c>
      <c r="O98" s="12">
        <f t="shared" si="3"/>
        <v>1</v>
      </c>
      <c r="P98" s="12">
        <f t="shared" si="4"/>
        <v>0</v>
      </c>
      <c r="R98" s="19">
        <v>-0.90430088308323986</v>
      </c>
      <c r="S98" s="19">
        <v>0.76967929117687706</v>
      </c>
      <c r="T98" s="19">
        <v>0.24594171448518645</v>
      </c>
      <c r="U98" s="19">
        <v>0.44892254937585174</v>
      </c>
      <c r="V98" s="19">
        <v>0.8999261673779988</v>
      </c>
      <c r="W98" s="19">
        <v>-0.86510993419141624</v>
      </c>
      <c r="X98" s="19">
        <v>-0.90263839237379939</v>
      </c>
      <c r="Y98" s="19">
        <v>0.64651911617860836</v>
      </c>
      <c r="Z98" s="19">
        <v>0.94955003177212138</v>
      </c>
      <c r="AA98" s="19">
        <v>0.79871134757797779</v>
      </c>
      <c r="AB98" s="19">
        <v>-0.13762887917235161</v>
      </c>
      <c r="AC98" s="19">
        <v>0.73681441027326544</v>
      </c>
      <c r="AD98" s="19">
        <v>-0.65060871446546686</v>
      </c>
      <c r="AE98" s="19">
        <v>0.93206054644270253</v>
      </c>
      <c r="AF98" s="19">
        <v>3.6538690266132968E-2</v>
      </c>
      <c r="AG98" s="19">
        <v>0.11933307530121576</v>
      </c>
      <c r="AH98" s="19">
        <v>0.51430284812506899</v>
      </c>
      <c r="AI98" s="19">
        <v>-0.91056207221040064</v>
      </c>
      <c r="AJ98" s="19">
        <v>-0.50289737569415804</v>
      </c>
      <c r="AK98" s="19">
        <v>0.57493997377710282</v>
      </c>
      <c r="AM98" s="20">
        <v>1.0581178535142901</v>
      </c>
      <c r="AN98" s="20">
        <v>-5.805356087198868E-2</v>
      </c>
      <c r="AP98" s="21">
        <f t="shared" si="5"/>
        <v>0</v>
      </c>
    </row>
    <row r="99" spans="1:42">
      <c r="A99" s="14">
        <v>12.77</v>
      </c>
      <c r="B99" s="14">
        <v>29.43</v>
      </c>
      <c r="C99" s="14">
        <v>81.349999999999994</v>
      </c>
      <c r="D99" s="14">
        <v>507.9</v>
      </c>
      <c r="E99" s="14">
        <v>4.2340000000000003E-2</v>
      </c>
      <c r="F99" s="14">
        <v>1.9970000000000002E-2</v>
      </c>
      <c r="G99" s="14">
        <v>1.499E-2</v>
      </c>
      <c r="H99" s="14">
        <v>13.87</v>
      </c>
      <c r="I99" s="14">
        <v>594.70000000000005</v>
      </c>
      <c r="J99" s="14">
        <v>6.4979999999999996E-2</v>
      </c>
      <c r="M99" s="16">
        <v>0</v>
      </c>
      <c r="O99" s="12">
        <f t="shared" si="3"/>
        <v>1</v>
      </c>
      <c r="P99" s="12">
        <f t="shared" si="4"/>
        <v>0</v>
      </c>
      <c r="R99" s="19">
        <v>-0.81421464267435339</v>
      </c>
      <c r="S99" s="19">
        <v>0.74861955558962567</v>
      </c>
      <c r="T99" s="19">
        <v>0.75507509833748765</v>
      </c>
      <c r="U99" s="19">
        <v>0.37121265607574749</v>
      </c>
      <c r="V99" s="19">
        <v>0.89568692423226681</v>
      </c>
      <c r="W99" s="19">
        <v>-0.69107413152621799</v>
      </c>
      <c r="X99" s="19">
        <v>-0.82942657109220619</v>
      </c>
      <c r="Y99" s="19">
        <v>0.84073495188075631</v>
      </c>
      <c r="Z99" s="19">
        <v>0.82481223157310679</v>
      </c>
      <c r="AA99" s="19">
        <v>0.91777188287705702</v>
      </c>
      <c r="AB99" s="19">
        <v>-0.71166820829353516</v>
      </c>
      <c r="AC99" s="19">
        <v>0.89472155054601099</v>
      </c>
      <c r="AD99" s="19">
        <v>-0.7050314869902411</v>
      </c>
      <c r="AE99" s="19">
        <v>0.91107233987069791</v>
      </c>
      <c r="AF99" s="19">
        <v>0.80990203281260553</v>
      </c>
      <c r="AG99" s="19">
        <v>0.75254207663742601</v>
      </c>
      <c r="AH99" s="19">
        <v>0.41002105141906742</v>
      </c>
      <c r="AI99" s="19">
        <v>-0.93589370182481313</v>
      </c>
      <c r="AJ99" s="19">
        <v>-0.4618504370805247</v>
      </c>
      <c r="AK99" s="19">
        <v>0.44181987643758747</v>
      </c>
      <c r="AM99" s="20">
        <v>1.119846798901605</v>
      </c>
      <c r="AN99" s="20">
        <v>-0.11965887959331528</v>
      </c>
      <c r="AP99" s="21">
        <f t="shared" si="5"/>
        <v>0</v>
      </c>
    </row>
    <row r="100" spans="1:42">
      <c r="A100" s="14">
        <v>9.3330000000000002</v>
      </c>
      <c r="B100" s="14">
        <v>21.94</v>
      </c>
      <c r="C100" s="14">
        <v>59.01</v>
      </c>
      <c r="D100" s="14">
        <v>264</v>
      </c>
      <c r="E100" s="14">
        <v>5.6050000000000003E-2</v>
      </c>
      <c r="F100" s="14">
        <v>3.9960000000000002E-2</v>
      </c>
      <c r="G100" s="14">
        <v>1.282E-2</v>
      </c>
      <c r="H100" s="14">
        <v>9.8450000000000006</v>
      </c>
      <c r="I100" s="14">
        <v>295.8</v>
      </c>
      <c r="J100" s="14">
        <v>2.564E-2</v>
      </c>
      <c r="M100" s="16">
        <v>0</v>
      </c>
      <c r="O100" s="12">
        <f t="shared" si="3"/>
        <v>1</v>
      </c>
      <c r="P100" s="12">
        <f t="shared" si="4"/>
        <v>0</v>
      </c>
      <c r="R100" s="19">
        <v>-0.79486162399757609</v>
      </c>
      <c r="S100" s="19">
        <v>0.73340765236707683</v>
      </c>
      <c r="T100" s="19">
        <v>0.76637040546839152</v>
      </c>
      <c r="U100" s="19">
        <v>0.35616961892968407</v>
      </c>
      <c r="V100" s="19">
        <v>0.88582842062966782</v>
      </c>
      <c r="W100" s="19">
        <v>-0.6634214054503792</v>
      </c>
      <c r="X100" s="19">
        <v>-0.81195791831144004</v>
      </c>
      <c r="Y100" s="19">
        <v>0.83596606893970149</v>
      </c>
      <c r="Z100" s="19">
        <v>0.80063227046479102</v>
      </c>
      <c r="AA100" s="19">
        <v>0.91356551672090092</v>
      </c>
      <c r="AB100" s="19">
        <v>-0.71653780092780905</v>
      </c>
      <c r="AC100" s="19">
        <v>0.89050542067247929</v>
      </c>
      <c r="AD100" s="19">
        <v>-0.69325430826435275</v>
      </c>
      <c r="AE100" s="19">
        <v>0.90095674798251291</v>
      </c>
      <c r="AF100" s="19">
        <v>0.81656849643491114</v>
      </c>
      <c r="AG100" s="19">
        <v>0.75794631689292891</v>
      </c>
      <c r="AH100" s="19">
        <v>0.39254479653271618</v>
      </c>
      <c r="AI100" s="19">
        <v>-0.92994254357102002</v>
      </c>
      <c r="AJ100" s="19">
        <v>-0.44691913207717732</v>
      </c>
      <c r="AK100" s="19">
        <v>-2.3913694945247792E-2</v>
      </c>
      <c r="AM100" s="20">
        <v>0.7008486948679663</v>
      </c>
      <c r="AN100" s="20">
        <v>0.29911210583819053</v>
      </c>
      <c r="AP100" s="21">
        <f t="shared" si="5"/>
        <v>0</v>
      </c>
    </row>
    <row r="101" spans="1:42">
      <c r="A101" s="14">
        <v>12.88</v>
      </c>
      <c r="B101" s="14">
        <v>28.92</v>
      </c>
      <c r="C101" s="14">
        <v>82.5</v>
      </c>
      <c r="D101" s="14">
        <v>514.29999999999995</v>
      </c>
      <c r="E101" s="14">
        <v>5.824E-2</v>
      </c>
      <c r="F101" s="14">
        <v>6.1949999999999998E-2</v>
      </c>
      <c r="G101" s="14">
        <v>2.3429999999999999E-2</v>
      </c>
      <c r="H101" s="14">
        <v>13.89</v>
      </c>
      <c r="I101" s="14">
        <v>595.70000000000005</v>
      </c>
      <c r="J101" s="14">
        <v>6.4930000000000002E-2</v>
      </c>
      <c r="M101" s="16">
        <v>0</v>
      </c>
      <c r="O101" s="12">
        <f t="shared" si="3"/>
        <v>1</v>
      </c>
      <c r="P101" s="12">
        <f t="shared" si="4"/>
        <v>0</v>
      </c>
      <c r="R101" s="19">
        <v>-0.67142175958049655</v>
      </c>
      <c r="S101" s="19">
        <v>0.64364761806494464</v>
      </c>
      <c r="T101" s="19">
        <v>0.70978801961169979</v>
      </c>
      <c r="U101" s="19">
        <v>0.27873674268617255</v>
      </c>
      <c r="V101" s="19">
        <v>0.82031463019926631</v>
      </c>
      <c r="W101" s="19">
        <v>-0.50083798557419135</v>
      </c>
      <c r="X101" s="19">
        <v>-0.6997948764632419</v>
      </c>
      <c r="Y101" s="19">
        <v>0.80467834099906743</v>
      </c>
      <c r="Z101" s="19">
        <v>0.63748341894871963</v>
      </c>
      <c r="AA101" s="19">
        <v>0.88551379841914057</v>
      </c>
      <c r="AB101" s="19">
        <v>-0.73017305371829977</v>
      </c>
      <c r="AC101" s="19">
        <v>0.86248454765894189</v>
      </c>
      <c r="AD101" s="19">
        <v>-0.6248704208257424</v>
      </c>
      <c r="AE101" s="19">
        <v>0.83101584723558175</v>
      </c>
      <c r="AF101" s="19">
        <v>0.83817468222661184</v>
      </c>
      <c r="AG101" s="19">
        <v>0.77405195290707929</v>
      </c>
      <c r="AH101" s="19">
        <v>0.30213102863595975</v>
      </c>
      <c r="AI101" s="19">
        <v>-0.88900096876450352</v>
      </c>
      <c r="AJ101" s="19">
        <v>-0.36779951065726896</v>
      </c>
      <c r="AK101" s="19">
        <v>-0.42271839671496525</v>
      </c>
      <c r="AM101" s="20">
        <v>1.0155697781804143</v>
      </c>
      <c r="AN101" s="20">
        <v>-1.5699579966918287E-2</v>
      </c>
      <c r="AP101" s="21">
        <f t="shared" si="5"/>
        <v>0</v>
      </c>
    </row>
    <row r="102" spans="1:42">
      <c r="A102" s="14">
        <v>10.29</v>
      </c>
      <c r="B102" s="14">
        <v>27.61</v>
      </c>
      <c r="C102" s="14">
        <v>65.67</v>
      </c>
      <c r="D102" s="14">
        <v>321.39999999999998</v>
      </c>
      <c r="E102" s="14">
        <v>7.6579999999999995E-2</v>
      </c>
      <c r="F102" s="14">
        <v>5.9990000000000002E-2</v>
      </c>
      <c r="G102" s="14">
        <v>2.7380000000000002E-2</v>
      </c>
      <c r="H102" s="14">
        <v>10.84</v>
      </c>
      <c r="I102" s="14">
        <v>357.6</v>
      </c>
      <c r="J102" s="14">
        <v>9.1270000000000004E-2</v>
      </c>
      <c r="M102" s="16">
        <v>0</v>
      </c>
      <c r="O102" s="12">
        <f t="shared" si="3"/>
        <v>1</v>
      </c>
      <c r="P102" s="12">
        <f t="shared" si="4"/>
        <v>0</v>
      </c>
      <c r="R102" s="19">
        <v>-0.68024780413248587</v>
      </c>
      <c r="S102" s="19">
        <v>0.67253321070954897</v>
      </c>
      <c r="T102" s="19">
        <v>0.77369351978443179</v>
      </c>
      <c r="U102" s="19">
        <v>0.28766202710792216</v>
      </c>
      <c r="V102" s="19">
        <v>0.84593894055778085</v>
      </c>
      <c r="W102" s="19">
        <v>-0.48807429917194517</v>
      </c>
      <c r="X102" s="19">
        <v>-0.71344719837154658</v>
      </c>
      <c r="Y102" s="19">
        <v>0.84882530536058531</v>
      </c>
      <c r="Z102" s="19">
        <v>0.62193808423147012</v>
      </c>
      <c r="AA102" s="19">
        <v>0.91634605360556642</v>
      </c>
      <c r="AB102" s="19">
        <v>-0.79794936366094238</v>
      </c>
      <c r="AC102" s="19">
        <v>0.89830962518688307</v>
      </c>
      <c r="AD102" s="19">
        <v>-0.66429801560489399</v>
      </c>
      <c r="AE102" s="19">
        <v>0.85189585894404751</v>
      </c>
      <c r="AF102" s="19">
        <v>0.89422987514933372</v>
      </c>
      <c r="AG102" s="19">
        <v>0.83822604441204662</v>
      </c>
      <c r="AH102" s="19">
        <v>0.30818447958235801</v>
      </c>
      <c r="AI102" s="19">
        <v>-0.91294302651046377</v>
      </c>
      <c r="AJ102" s="19">
        <v>-0.3868142806872007</v>
      </c>
      <c r="AK102" s="19">
        <v>-0.75969274884710714</v>
      </c>
      <c r="AM102" s="20">
        <v>0.9940855275189342</v>
      </c>
      <c r="AN102" s="20">
        <v>5.9476749595282659E-3</v>
      </c>
      <c r="AP102" s="21">
        <f t="shared" si="5"/>
        <v>0</v>
      </c>
    </row>
    <row r="103" spans="1:42">
      <c r="A103" s="14">
        <v>10.16</v>
      </c>
      <c r="B103" s="14">
        <v>19.59</v>
      </c>
      <c r="C103" s="14">
        <v>64.73</v>
      </c>
      <c r="D103" s="14">
        <v>311.7</v>
      </c>
      <c r="E103" s="14">
        <v>7.5039999999999996E-2</v>
      </c>
      <c r="F103" s="14">
        <v>5.025E-3</v>
      </c>
      <c r="G103" s="14">
        <v>1.116E-2</v>
      </c>
      <c r="H103" s="14">
        <v>10.65</v>
      </c>
      <c r="I103" s="14">
        <v>347.3</v>
      </c>
      <c r="J103" s="14">
        <v>2.232E-2</v>
      </c>
      <c r="M103" s="16">
        <v>0</v>
      </c>
      <c r="O103" s="12">
        <f t="shared" si="3"/>
        <v>1</v>
      </c>
      <c r="P103" s="12">
        <f t="shared" si="4"/>
        <v>0</v>
      </c>
      <c r="R103" s="19">
        <v>-0.66881115894167509</v>
      </c>
      <c r="S103" s="19">
        <v>0.69630752002800977</v>
      </c>
      <c r="T103" s="19">
        <v>0.84202894647401272</v>
      </c>
      <c r="U103" s="19">
        <v>0.28748318366294151</v>
      </c>
      <c r="V103" s="19">
        <v>0.86717429605249807</v>
      </c>
      <c r="W103" s="19">
        <v>-0.43736997546200873</v>
      </c>
      <c r="X103" s="19">
        <v>-0.71128081131948862</v>
      </c>
      <c r="Y103" s="19">
        <v>0.89294001422977409</v>
      </c>
      <c r="Z103" s="19">
        <v>0.56148760504455575</v>
      </c>
      <c r="AA103" s="19">
        <v>0.94436678089956949</v>
      </c>
      <c r="AB103" s="19">
        <v>-0.86955698639718604</v>
      </c>
      <c r="AC103" s="19">
        <v>0.93187012909843192</v>
      </c>
      <c r="AD103" s="19">
        <v>-0.70491543696870951</v>
      </c>
      <c r="AE103" s="19">
        <v>0.86643648843245757</v>
      </c>
      <c r="AF103" s="19">
        <v>0.94452964034370357</v>
      </c>
      <c r="AG103" s="19">
        <v>0.90241936159731229</v>
      </c>
      <c r="AH103" s="19">
        <v>0.30161444138961924</v>
      </c>
      <c r="AI103" s="19">
        <v>-0.93388262762194707</v>
      </c>
      <c r="AJ103" s="19">
        <v>-0.40046636433455113</v>
      </c>
      <c r="AK103" s="19">
        <v>-1.7859182011911345E-2</v>
      </c>
      <c r="AM103" s="20">
        <v>1.059890707018297</v>
      </c>
      <c r="AN103" s="20">
        <v>-5.9963004961114563E-2</v>
      </c>
      <c r="AP103" s="21">
        <f t="shared" si="5"/>
        <v>0</v>
      </c>
    </row>
    <row r="104" spans="1:42">
      <c r="A104" s="14">
        <v>9.423</v>
      </c>
      <c r="B104" s="14">
        <v>27.88</v>
      </c>
      <c r="C104" s="14">
        <v>59.26</v>
      </c>
      <c r="D104" s="14">
        <v>271.3</v>
      </c>
      <c r="E104" s="14">
        <v>4.9709999999999997E-2</v>
      </c>
      <c r="F104" s="14">
        <v>0</v>
      </c>
      <c r="G104" s="14">
        <v>0</v>
      </c>
      <c r="H104" s="14">
        <v>10.49</v>
      </c>
      <c r="I104" s="14">
        <v>330.6</v>
      </c>
      <c r="J104" s="14">
        <v>0</v>
      </c>
      <c r="M104" s="16">
        <v>0</v>
      </c>
      <c r="O104" s="12">
        <f t="shared" si="3"/>
        <v>1</v>
      </c>
      <c r="P104" s="12">
        <f t="shared" si="4"/>
        <v>0</v>
      </c>
      <c r="R104" s="19">
        <v>-0.81980161326986645</v>
      </c>
      <c r="S104" s="19">
        <v>0.74399704517382526</v>
      </c>
      <c r="T104" s="19">
        <v>0.71713350849687685</v>
      </c>
      <c r="U104" s="19">
        <v>0.37378713754211501</v>
      </c>
      <c r="V104" s="19">
        <v>0.89151095772080091</v>
      </c>
      <c r="W104" s="19">
        <v>-0.70735324672540112</v>
      </c>
      <c r="X104" s="19">
        <v>-0.83270543191325175</v>
      </c>
      <c r="Y104" s="19">
        <v>0.82103621519432191</v>
      </c>
      <c r="Z104" s="19">
        <v>0.83884082546891503</v>
      </c>
      <c r="AA104" s="19">
        <v>0.90569224987112151</v>
      </c>
      <c r="AB104" s="19">
        <v>-0.66573401731080983</v>
      </c>
      <c r="AC104" s="19">
        <v>0.87944536749964675</v>
      </c>
      <c r="AD104" s="19">
        <v>-0.69291767954433181</v>
      </c>
      <c r="AE104" s="19">
        <v>0.90927020614045284</v>
      </c>
      <c r="AF104" s="19">
        <v>0.76263016417085761</v>
      </c>
      <c r="AG104" s="19">
        <v>0.70614281880164254</v>
      </c>
      <c r="AH104" s="19">
        <v>0.41509650415781979</v>
      </c>
      <c r="AI104" s="19">
        <v>-0.9302323522489282</v>
      </c>
      <c r="AJ104" s="19">
        <v>-0.45976238585918933</v>
      </c>
      <c r="AK104" s="19">
        <v>0.43319273616320703</v>
      </c>
      <c r="AM104" s="20">
        <v>0.81878653149924507</v>
      </c>
      <c r="AN104" s="20">
        <v>0.18108315528178343</v>
      </c>
      <c r="AP104" s="21">
        <f t="shared" si="5"/>
        <v>0</v>
      </c>
    </row>
    <row r="105" spans="1:42">
      <c r="A105" s="14">
        <v>14.59</v>
      </c>
      <c r="B105" s="14">
        <v>22.68</v>
      </c>
      <c r="C105" s="14">
        <v>96.39</v>
      </c>
      <c r="D105" s="14">
        <v>657.1</v>
      </c>
      <c r="E105" s="14">
        <v>0.13300000000000001</v>
      </c>
      <c r="F105" s="14">
        <v>0.10290000000000001</v>
      </c>
      <c r="G105" s="14">
        <v>3.7359999999999997E-2</v>
      </c>
      <c r="H105" s="14">
        <v>15.48</v>
      </c>
      <c r="I105" s="14">
        <v>733.5</v>
      </c>
      <c r="J105" s="14">
        <v>0.1105</v>
      </c>
      <c r="M105" s="16">
        <v>0</v>
      </c>
      <c r="O105" s="12">
        <f t="shared" si="3"/>
        <v>1</v>
      </c>
      <c r="P105" s="12">
        <f t="shared" si="4"/>
        <v>0</v>
      </c>
      <c r="R105" s="19">
        <v>-0.82724580349857846</v>
      </c>
      <c r="S105" s="19">
        <v>0.75639183734158999</v>
      </c>
      <c r="T105" s="19">
        <v>0.74949771976189417</v>
      </c>
      <c r="U105" s="19">
        <v>0.38140267949428674</v>
      </c>
      <c r="V105" s="19">
        <v>0.90022992033951177</v>
      </c>
      <c r="W105" s="19">
        <v>-0.71255709734123029</v>
      </c>
      <c r="X105" s="19">
        <v>-0.84065384334786819</v>
      </c>
      <c r="Y105" s="19">
        <v>0.83771411494631731</v>
      </c>
      <c r="Z105" s="19">
        <v>0.84290834626805333</v>
      </c>
      <c r="AA105" s="19">
        <v>0.91674432822056418</v>
      </c>
      <c r="AB105" s="19">
        <v>-0.69438399536716799</v>
      </c>
      <c r="AC105" s="19">
        <v>0.89274037133458761</v>
      </c>
      <c r="AD105" s="19">
        <v>-0.70850991862165058</v>
      </c>
      <c r="AE105" s="19">
        <v>0.91639342517956324</v>
      </c>
      <c r="AF105" s="19">
        <v>0.7912220094880843</v>
      </c>
      <c r="AG105" s="19">
        <v>0.73484007667783424</v>
      </c>
      <c r="AH105" s="19">
        <v>0.42247963134542788</v>
      </c>
      <c r="AI105" s="19">
        <v>-0.93772343500671307</v>
      </c>
      <c r="AJ105" s="19">
        <v>-0.47046285647311747</v>
      </c>
      <c r="AK105" s="19">
        <v>0.41701633938552124</v>
      </c>
      <c r="AM105" s="20">
        <v>1.0072859379073027</v>
      </c>
      <c r="AN105" s="20">
        <v>-7.4091591109367227E-3</v>
      </c>
      <c r="AP105" s="21">
        <f t="shared" si="5"/>
        <v>0</v>
      </c>
    </row>
    <row r="106" spans="1:42">
      <c r="A106" s="14">
        <v>11.51</v>
      </c>
      <c r="B106" s="14">
        <v>23.93</v>
      </c>
      <c r="C106" s="14">
        <v>74.52</v>
      </c>
      <c r="D106" s="14">
        <v>403.5</v>
      </c>
      <c r="E106" s="14">
        <v>0.1021</v>
      </c>
      <c r="F106" s="14">
        <v>0.11119999999999999</v>
      </c>
      <c r="G106" s="14">
        <v>4.1050000000000003E-2</v>
      </c>
      <c r="H106" s="14">
        <v>12.48</v>
      </c>
      <c r="I106" s="14">
        <v>474.2</v>
      </c>
      <c r="J106" s="14">
        <v>9.6530000000000005E-2</v>
      </c>
      <c r="M106" s="16">
        <v>0</v>
      </c>
      <c r="O106" s="12">
        <f t="shared" si="3"/>
        <v>1</v>
      </c>
      <c r="P106" s="12">
        <f t="shared" si="4"/>
        <v>0</v>
      </c>
      <c r="R106" s="19">
        <v>-0.80337926308700114</v>
      </c>
      <c r="S106" s="19">
        <v>0.74345080940365471</v>
      </c>
      <c r="T106" s="19">
        <v>0.77627312674875304</v>
      </c>
      <c r="U106" s="19">
        <v>0.36338697160199585</v>
      </c>
      <c r="V106" s="19">
        <v>0.89281969431232566</v>
      </c>
      <c r="W106" s="19">
        <v>-0.67228551531324454</v>
      </c>
      <c r="X106" s="19">
        <v>-0.82033951307825825</v>
      </c>
      <c r="Y106" s="19">
        <v>0.84535151872515746</v>
      </c>
      <c r="Z106" s="19">
        <v>0.80836524281653166</v>
      </c>
      <c r="AA106" s="19">
        <v>0.91999877375215611</v>
      </c>
      <c r="AB106" s="19">
        <v>-0.72926685358563847</v>
      </c>
      <c r="AC106" s="19">
        <v>0.89801778642184704</v>
      </c>
      <c r="AD106" s="19">
        <v>-0.70407795853566058</v>
      </c>
      <c r="AE106" s="19">
        <v>0.9072439886718876</v>
      </c>
      <c r="AF106" s="19">
        <v>0.82785491766769259</v>
      </c>
      <c r="AG106" s="19">
        <v>0.77024848595795248</v>
      </c>
      <c r="AH106" s="19">
        <v>0.40016235534583067</v>
      </c>
      <c r="AI106" s="19">
        <v>-0.93526609905807778</v>
      </c>
      <c r="AJ106" s="19">
        <v>-0.45580323696738578</v>
      </c>
      <c r="AK106" s="19">
        <v>0.44806526770226279</v>
      </c>
      <c r="AM106" s="20">
        <v>0.94146922830658208</v>
      </c>
      <c r="AN106" s="20">
        <v>5.8475719299794907E-2</v>
      </c>
      <c r="AP106" s="21">
        <f t="shared" si="5"/>
        <v>0</v>
      </c>
    </row>
    <row r="107" spans="1:42">
      <c r="A107" s="14">
        <v>14.05</v>
      </c>
      <c r="B107" s="14">
        <v>27.15</v>
      </c>
      <c r="C107" s="14">
        <v>91.38</v>
      </c>
      <c r="D107" s="14">
        <v>600.4</v>
      </c>
      <c r="E107" s="14">
        <v>0.11260000000000001</v>
      </c>
      <c r="F107" s="14">
        <v>4.462E-2</v>
      </c>
      <c r="G107" s="14">
        <v>4.3040000000000002E-2</v>
      </c>
      <c r="H107" s="14">
        <v>15.3</v>
      </c>
      <c r="I107" s="14">
        <v>706.7</v>
      </c>
      <c r="J107" s="14">
        <v>0.1048</v>
      </c>
      <c r="M107" s="16">
        <v>0</v>
      </c>
      <c r="O107" s="12">
        <f t="shared" si="3"/>
        <v>1</v>
      </c>
      <c r="P107" s="12">
        <f t="shared" si="4"/>
        <v>0</v>
      </c>
      <c r="R107" s="19">
        <v>-0.7508927703375935</v>
      </c>
      <c r="S107" s="19">
        <v>0.7378760131497849</v>
      </c>
      <c r="T107" s="19">
        <v>0.84212171315053563</v>
      </c>
      <c r="U107" s="19">
        <v>0.33328020766240996</v>
      </c>
      <c r="V107" s="19">
        <v>0.89331705278757922</v>
      </c>
      <c r="W107" s="19">
        <v>-0.56272191408406569</v>
      </c>
      <c r="X107" s="19">
        <v>-0.7808079120048026</v>
      </c>
      <c r="Y107" s="19">
        <v>0.89169721535946955</v>
      </c>
      <c r="Z107" s="19">
        <v>0.70141381874061604</v>
      </c>
      <c r="AA107" s="19">
        <v>0.94600438281113219</v>
      </c>
      <c r="AB107" s="19">
        <v>-0.84366061455010521</v>
      </c>
      <c r="AC107" s="19">
        <v>0.93193881555143165</v>
      </c>
      <c r="AD107" s="19">
        <v>-0.7269857547155042</v>
      </c>
      <c r="AE107" s="19">
        <v>0.89914070637501575</v>
      </c>
      <c r="AF107" s="19">
        <v>0.92526597066145611</v>
      </c>
      <c r="AG107" s="19">
        <v>0.87886922894458674</v>
      </c>
      <c r="AH107" s="19">
        <v>0.35767906153882989</v>
      </c>
      <c r="AI107" s="19">
        <v>-0.9447988190699077</v>
      </c>
      <c r="AJ107" s="19">
        <v>-0.44184573685858369</v>
      </c>
      <c r="AK107" s="19">
        <v>0.26967158218638843</v>
      </c>
      <c r="AM107" s="20">
        <v>-3.9508463959433596E-2</v>
      </c>
      <c r="AN107" s="20">
        <v>1.0395425743305293</v>
      </c>
      <c r="AP107" s="21">
        <f t="shared" si="5"/>
        <v>1</v>
      </c>
    </row>
    <row r="108" spans="1:42">
      <c r="A108" s="14">
        <v>11.2</v>
      </c>
      <c r="B108" s="14">
        <v>29.37</v>
      </c>
      <c r="C108" s="14">
        <v>70.67</v>
      </c>
      <c r="D108" s="14">
        <v>386</v>
      </c>
      <c r="E108" s="14">
        <v>3.5580000000000001E-2</v>
      </c>
      <c r="F108" s="14">
        <v>0</v>
      </c>
      <c r="G108" s="14">
        <v>0</v>
      </c>
      <c r="H108" s="14">
        <v>11.92</v>
      </c>
      <c r="I108" s="14">
        <v>439.6</v>
      </c>
      <c r="J108" s="14">
        <v>0</v>
      </c>
      <c r="M108" s="16">
        <v>0</v>
      </c>
      <c r="O108" s="12">
        <f t="shared" si="3"/>
        <v>1</v>
      </c>
      <c r="P108" s="12">
        <f t="shared" si="4"/>
        <v>0</v>
      </c>
      <c r="R108" s="19">
        <v>-0.7882914313475119</v>
      </c>
      <c r="S108" s="19">
        <v>0.74173704197657353</v>
      </c>
      <c r="T108" s="19">
        <v>0.76995349741290919</v>
      </c>
      <c r="U108" s="19">
        <v>0.35415007125315168</v>
      </c>
      <c r="V108" s="19">
        <v>0.89297378984310938</v>
      </c>
      <c r="W108" s="19">
        <v>-0.6409624467424343</v>
      </c>
      <c r="X108" s="19">
        <v>-0.80885041388055801</v>
      </c>
      <c r="Y108" s="19">
        <v>0.86135553854129077</v>
      </c>
      <c r="Z108" s="19">
        <v>0.7795674061582637</v>
      </c>
      <c r="AA108" s="19">
        <v>0.92911950363583995</v>
      </c>
      <c r="AB108" s="19">
        <v>-0.77068187734337512</v>
      </c>
      <c r="AC108" s="19">
        <v>0.90994006758379864</v>
      </c>
      <c r="AD108" s="19">
        <v>-0.71132968786853623</v>
      </c>
      <c r="AE108" s="19">
        <v>0.90480560915772013</v>
      </c>
      <c r="AF108" s="19">
        <v>0.86638032139468468</v>
      </c>
      <c r="AG108" s="19">
        <v>0.81073382231249203</v>
      </c>
      <c r="AH108" s="19">
        <v>0.38719100109715199</v>
      </c>
      <c r="AI108" s="19">
        <v>-0.93837378680670447</v>
      </c>
      <c r="AJ108" s="19">
        <v>-0.451508680485256</v>
      </c>
      <c r="AK108" s="19">
        <v>0.23262799679409837</v>
      </c>
      <c r="AM108" s="20">
        <v>1.046460660808499</v>
      </c>
      <c r="AN108" s="20">
        <v>-4.6508808493090477E-2</v>
      </c>
      <c r="AP108" s="21">
        <f t="shared" si="5"/>
        <v>0</v>
      </c>
    </row>
    <row r="109" spans="1:42">
      <c r="A109" s="14">
        <v>15.22</v>
      </c>
      <c r="B109" s="14">
        <v>30.62</v>
      </c>
      <c r="C109" s="14">
        <v>103.4</v>
      </c>
      <c r="D109" s="14">
        <v>716.9</v>
      </c>
      <c r="E109" s="14">
        <v>0.2087</v>
      </c>
      <c r="F109" s="14">
        <v>0.255</v>
      </c>
      <c r="G109" s="14">
        <v>9.4289999999999999E-2</v>
      </c>
      <c r="H109" s="14">
        <v>17.52</v>
      </c>
      <c r="I109" s="14">
        <v>915</v>
      </c>
      <c r="J109" s="14">
        <v>0.2356</v>
      </c>
      <c r="M109" s="16">
        <v>1</v>
      </c>
      <c r="O109" s="12">
        <f t="shared" si="3"/>
        <v>0</v>
      </c>
      <c r="P109" s="12">
        <f t="shared" si="4"/>
        <v>1</v>
      </c>
      <c r="R109" s="19">
        <v>-0.64261978107933826</v>
      </c>
      <c r="S109" s="19">
        <v>0.66689659651678346</v>
      </c>
      <c r="T109" s="19">
        <v>0.80566753593161</v>
      </c>
      <c r="U109" s="19">
        <v>0.27135589710152269</v>
      </c>
      <c r="V109" s="19">
        <v>0.84434272194266935</v>
      </c>
      <c r="W109" s="19">
        <v>-0.41947610950894687</v>
      </c>
      <c r="X109" s="19">
        <v>-0.68448210992753189</v>
      </c>
      <c r="Y109" s="19">
        <v>0.87035597844151524</v>
      </c>
      <c r="Z109" s="19">
        <v>0.54119625021520967</v>
      </c>
      <c r="AA109" s="19">
        <v>0.92922033806512983</v>
      </c>
      <c r="AB109" s="19">
        <v>-0.84283555094126539</v>
      </c>
      <c r="AC109" s="19">
        <v>0.91452410089544145</v>
      </c>
      <c r="AD109" s="19">
        <v>-0.674068178267623</v>
      </c>
      <c r="AE109" s="19">
        <v>0.84417251824531703</v>
      </c>
      <c r="AF109" s="19">
        <v>0.92786157094405408</v>
      </c>
      <c r="AG109" s="19">
        <v>0.87931915586048948</v>
      </c>
      <c r="AH109" s="19">
        <v>0.28537419044146012</v>
      </c>
      <c r="AI109" s="19">
        <v>-0.91782760181064249</v>
      </c>
      <c r="AJ109" s="19">
        <v>-0.3779200323205178</v>
      </c>
      <c r="AK109" s="19">
        <v>5.9218633641575723E-2</v>
      </c>
      <c r="AM109" s="20">
        <v>-4.6786283035462124E-2</v>
      </c>
      <c r="AN109" s="20">
        <v>1.0466335052689331</v>
      </c>
      <c r="AP109" s="21">
        <f t="shared" si="5"/>
        <v>1</v>
      </c>
    </row>
    <row r="110" spans="1:42">
      <c r="A110" s="14">
        <v>20.92</v>
      </c>
      <c r="B110" s="14">
        <v>25.09</v>
      </c>
      <c r="C110" s="14">
        <v>143</v>
      </c>
      <c r="D110" s="14">
        <v>1347</v>
      </c>
      <c r="E110" s="14">
        <v>0.22359999999999999</v>
      </c>
      <c r="F110" s="14">
        <v>0.31740000000000002</v>
      </c>
      <c r="G110" s="14">
        <v>0.1474</v>
      </c>
      <c r="H110" s="14">
        <v>24.29</v>
      </c>
      <c r="I110" s="14">
        <v>1819</v>
      </c>
      <c r="J110" s="14">
        <v>0.25419999999999998</v>
      </c>
      <c r="M110" s="16">
        <v>1</v>
      </c>
      <c r="O110" s="12">
        <f t="shared" si="3"/>
        <v>0</v>
      </c>
      <c r="P110" s="12">
        <f t="shared" si="4"/>
        <v>1</v>
      </c>
      <c r="R110" s="19">
        <v>-0.67214473845095124</v>
      </c>
      <c r="S110" s="19">
        <v>0.66545000402805266</v>
      </c>
      <c r="T110" s="19">
        <v>0.77810763597737365</v>
      </c>
      <c r="U110" s="19">
        <v>0.28295808356713048</v>
      </c>
      <c r="V110" s="19">
        <v>0.84039108229513881</v>
      </c>
      <c r="W110" s="19">
        <v>-0.47961219312245984</v>
      </c>
      <c r="X110" s="19">
        <v>-0.70571404560418116</v>
      </c>
      <c r="Y110" s="19">
        <v>0.84417403827830417</v>
      </c>
      <c r="Z110" s="19">
        <v>0.61251523538340347</v>
      </c>
      <c r="AA110" s="19">
        <v>0.91290203069774178</v>
      </c>
      <c r="AB110" s="19">
        <v>-0.79349863604959492</v>
      </c>
      <c r="AC110" s="19">
        <v>0.89450564908274199</v>
      </c>
      <c r="AD110" s="19">
        <v>-0.65773082890989709</v>
      </c>
      <c r="AE110" s="19">
        <v>0.84624491039471617</v>
      </c>
      <c r="AF110" s="19">
        <v>0.89109870231879218</v>
      </c>
      <c r="AG110" s="19">
        <v>0.83421126791655376</v>
      </c>
      <c r="AH110" s="19">
        <v>0.30300800054634658</v>
      </c>
      <c r="AI110" s="19">
        <v>-0.90909297528491217</v>
      </c>
      <c r="AJ110" s="19">
        <v>-0.38119311345088031</v>
      </c>
      <c r="AK110" s="19">
        <v>0.21142464405444542</v>
      </c>
      <c r="AM110" s="20">
        <v>0.55862020640809407</v>
      </c>
      <c r="AN110" s="20">
        <v>0.44147735188160325</v>
      </c>
      <c r="AP110" s="21">
        <f t="shared" si="5"/>
        <v>0</v>
      </c>
    </row>
    <row r="111" spans="1:42">
      <c r="A111" s="14">
        <v>21.56</v>
      </c>
      <c r="B111" s="14">
        <v>22.39</v>
      </c>
      <c r="C111" s="14">
        <v>142</v>
      </c>
      <c r="D111" s="14">
        <v>1479</v>
      </c>
      <c r="E111" s="14">
        <v>0.1159</v>
      </c>
      <c r="F111" s="14">
        <v>0.24390000000000001</v>
      </c>
      <c r="G111" s="14">
        <v>0.1389</v>
      </c>
      <c r="H111" s="14">
        <v>25.45</v>
      </c>
      <c r="I111" s="14">
        <v>2027</v>
      </c>
      <c r="J111" s="14">
        <v>0.22159999999999999</v>
      </c>
      <c r="M111" s="16">
        <v>1</v>
      </c>
      <c r="O111" s="12">
        <f t="shared" si="3"/>
        <v>0</v>
      </c>
      <c r="P111" s="12">
        <f t="shared" si="4"/>
        <v>1</v>
      </c>
      <c r="R111" s="19">
        <v>-0.68658330740820062</v>
      </c>
      <c r="S111" s="19">
        <v>0.66954915354735789</v>
      </c>
      <c r="T111" s="19">
        <v>0.74565547786847064</v>
      </c>
      <c r="U111" s="19">
        <v>0.28980022927354737</v>
      </c>
      <c r="V111" s="19">
        <v>0.84268305080874506</v>
      </c>
      <c r="W111" s="19">
        <v>-0.50391618304822006</v>
      </c>
      <c r="X111" s="19">
        <v>-0.71737390136291512</v>
      </c>
      <c r="Y111" s="19">
        <v>0.83767662565242984</v>
      </c>
      <c r="Z111" s="19">
        <v>0.63999144550041398</v>
      </c>
      <c r="AA111" s="19">
        <v>0.90913567191374633</v>
      </c>
      <c r="AB111" s="19">
        <v>-0.77748387121409901</v>
      </c>
      <c r="AC111" s="19">
        <v>0.88958926616973355</v>
      </c>
      <c r="AD111" s="19">
        <v>-0.65647911661777103</v>
      </c>
      <c r="AE111" s="19">
        <v>0.85056981119826947</v>
      </c>
      <c r="AF111" s="19">
        <v>0.87774469622749041</v>
      </c>
      <c r="AG111" s="19">
        <v>0.81903600125664811</v>
      </c>
      <c r="AH111" s="19">
        <v>0.31211736166692244</v>
      </c>
      <c r="AI111" s="19">
        <v>-0.9085908824780714</v>
      </c>
      <c r="AJ111" s="19">
        <v>-0.38589186172927159</v>
      </c>
      <c r="AK111" s="19">
        <v>-0.10284755932130209</v>
      </c>
      <c r="AM111" s="20">
        <v>0.7356844038939464</v>
      </c>
      <c r="AN111" s="20">
        <v>0.26431033444595814</v>
      </c>
      <c r="AP111" s="21">
        <f t="shared" si="5"/>
        <v>0</v>
      </c>
    </row>
    <row r="112" spans="1:42">
      <c r="A112" s="14">
        <v>20.13</v>
      </c>
      <c r="B112" s="14">
        <v>28.25</v>
      </c>
      <c r="C112" s="14">
        <v>131.19999999999999</v>
      </c>
      <c r="D112" s="14">
        <v>1261</v>
      </c>
      <c r="E112" s="14">
        <v>0.10340000000000001</v>
      </c>
      <c r="F112" s="14">
        <v>0.14399999999999999</v>
      </c>
      <c r="G112" s="14">
        <v>9.7909999999999997E-2</v>
      </c>
      <c r="H112" s="14">
        <v>23.69</v>
      </c>
      <c r="I112" s="14">
        <v>1731</v>
      </c>
      <c r="J112" s="14">
        <v>0.1628</v>
      </c>
      <c r="M112" s="16">
        <v>1</v>
      </c>
      <c r="O112" s="12">
        <f t="shared" si="3"/>
        <v>0</v>
      </c>
      <c r="P112" s="12">
        <f t="shared" si="4"/>
        <v>1</v>
      </c>
      <c r="R112" s="19">
        <v>-0.76590953536288464</v>
      </c>
      <c r="S112" s="19">
        <v>0.71285329950328347</v>
      </c>
      <c r="T112" s="19">
        <v>0.71293099791076187</v>
      </c>
      <c r="U112" s="19">
        <v>0.33580576617906238</v>
      </c>
      <c r="V112" s="19">
        <v>0.87213202948941415</v>
      </c>
      <c r="W112" s="19">
        <v>-0.62181756781772135</v>
      </c>
      <c r="X112" s="19">
        <v>-0.78609667628774493</v>
      </c>
      <c r="Y112" s="19">
        <v>0.83184648505831149</v>
      </c>
      <c r="Z112" s="19">
        <v>0.76212102727045128</v>
      </c>
      <c r="AA112" s="19">
        <v>0.90921255231753173</v>
      </c>
      <c r="AB112" s="19">
        <v>-0.72775644666658679</v>
      </c>
      <c r="AC112" s="19">
        <v>0.88656182161788499</v>
      </c>
      <c r="AD112" s="19">
        <v>-0.67871766931311106</v>
      </c>
      <c r="AE112" s="19">
        <v>0.8862690849306234</v>
      </c>
      <c r="AF112" s="19">
        <v>0.82966354677346121</v>
      </c>
      <c r="AG112" s="19">
        <v>0.76974281314268445</v>
      </c>
      <c r="AH112" s="19">
        <v>0.36851778588025169</v>
      </c>
      <c r="AI112" s="19">
        <v>-0.92209176446628383</v>
      </c>
      <c r="AJ112" s="19">
        <v>-0.42717330314289703</v>
      </c>
      <c r="AK112" s="19">
        <v>-0.27763610914435477</v>
      </c>
      <c r="AM112" s="20">
        <v>1.1231087789802441</v>
      </c>
      <c r="AN112" s="20">
        <v>-0.12284781308648926</v>
      </c>
      <c r="AP112" s="21">
        <f t="shared" si="5"/>
        <v>0</v>
      </c>
    </row>
    <row r="113" spans="1:42">
      <c r="A113" s="14">
        <v>16.600000000000001</v>
      </c>
      <c r="B113" s="14">
        <v>28.08</v>
      </c>
      <c r="C113" s="14">
        <v>108.3</v>
      </c>
      <c r="D113" s="14">
        <v>858.1</v>
      </c>
      <c r="E113" s="14">
        <v>0.1023</v>
      </c>
      <c r="F113" s="14">
        <v>9.2509999999999995E-2</v>
      </c>
      <c r="G113" s="14">
        <v>5.3019999999999998E-2</v>
      </c>
      <c r="H113" s="14">
        <v>18.98</v>
      </c>
      <c r="I113" s="14">
        <v>1124</v>
      </c>
      <c r="J113" s="14">
        <v>0.14180000000000001</v>
      </c>
      <c r="M113" s="16">
        <v>1</v>
      </c>
      <c r="O113" s="12">
        <f t="shared" si="3"/>
        <v>0</v>
      </c>
      <c r="P113" s="12">
        <f t="shared" si="4"/>
        <v>1</v>
      </c>
      <c r="R113" s="19">
        <v>-0.66289609543220362</v>
      </c>
      <c r="S113" s="19">
        <v>0.69097629521574078</v>
      </c>
      <c r="T113" s="19">
        <v>0.83966216351315548</v>
      </c>
      <c r="U113" s="19">
        <v>0.28401828752737518</v>
      </c>
      <c r="V113" s="19">
        <v>0.86324818002746273</v>
      </c>
      <c r="W113" s="19">
        <v>-0.43171886269077331</v>
      </c>
      <c r="X113" s="19">
        <v>-0.70559906592681088</v>
      </c>
      <c r="Y113" s="19">
        <v>0.88975971143960786</v>
      </c>
      <c r="Z113" s="19">
        <v>0.55493332333598766</v>
      </c>
      <c r="AA113" s="19">
        <v>0.94222859616622667</v>
      </c>
      <c r="AB113" s="19">
        <v>-0.86627296833823486</v>
      </c>
      <c r="AC113" s="19">
        <v>0.9294461291215651</v>
      </c>
      <c r="AD113" s="19">
        <v>-0.6998474245910481</v>
      </c>
      <c r="AE113" s="19">
        <v>0.86240441208698326</v>
      </c>
      <c r="AF113" s="19">
        <v>0.94260879462837099</v>
      </c>
      <c r="AG113" s="19">
        <v>0.8996373804578206</v>
      </c>
      <c r="AH113" s="19">
        <v>0.29790262893699915</v>
      </c>
      <c r="AI113" s="19">
        <v>-0.93136748230847666</v>
      </c>
      <c r="AJ113" s="19">
        <v>-0.3961263250189459</v>
      </c>
      <c r="AK113" s="19">
        <v>0.10050148957175678</v>
      </c>
      <c r="AM113" s="20">
        <v>1.065925354750461</v>
      </c>
      <c r="AN113" s="20">
        <v>-6.5822564732658212E-2</v>
      </c>
      <c r="AP113" s="21">
        <f t="shared" si="5"/>
        <v>0</v>
      </c>
    </row>
    <row r="114" spans="1:42">
      <c r="A114" s="14">
        <v>20.6</v>
      </c>
      <c r="B114" s="14">
        <v>29.33</v>
      </c>
      <c r="C114" s="14">
        <v>140.1</v>
      </c>
      <c r="D114" s="14">
        <v>1265</v>
      </c>
      <c r="E114" s="14">
        <v>0.27700000000000002</v>
      </c>
      <c r="F114" s="14">
        <v>0.35139999999999999</v>
      </c>
      <c r="G114" s="14">
        <v>0.152</v>
      </c>
      <c r="H114" s="14">
        <v>25.74</v>
      </c>
      <c r="I114" s="14">
        <v>1821</v>
      </c>
      <c r="J114" s="14">
        <v>0.26500000000000001</v>
      </c>
      <c r="M114" s="16">
        <v>1</v>
      </c>
      <c r="O114" s="12">
        <f t="shared" si="3"/>
        <v>0</v>
      </c>
      <c r="P114" s="12">
        <f t="shared" si="4"/>
        <v>1</v>
      </c>
      <c r="R114" s="19">
        <v>-0.72735544133916141</v>
      </c>
      <c r="S114" s="19">
        <v>0.70482109027378481</v>
      </c>
      <c r="T114" s="19">
        <v>0.79339816846702282</v>
      </c>
      <c r="U114" s="19">
        <v>0.31491001388060763</v>
      </c>
      <c r="V114" s="19">
        <v>0.8692082780226783</v>
      </c>
      <c r="W114" s="19">
        <v>-0.54935255464370425</v>
      </c>
      <c r="X114" s="19">
        <v>-0.75585640806775367</v>
      </c>
      <c r="Y114" s="19">
        <v>0.85976870812578721</v>
      </c>
      <c r="Z114" s="19">
        <v>0.68847569908091333</v>
      </c>
      <c r="AA114" s="19">
        <v>0.9254056216776263</v>
      </c>
      <c r="AB114" s="19">
        <v>-0.79770177553708976</v>
      </c>
      <c r="AC114" s="19">
        <v>0.90760269422505757</v>
      </c>
      <c r="AD114" s="19">
        <v>-0.68877350740523435</v>
      </c>
      <c r="AE114" s="19">
        <v>0.87746226426845875</v>
      </c>
      <c r="AF114" s="19">
        <v>0.89204654428578434</v>
      </c>
      <c r="AG114" s="19">
        <v>0.83731270389290124</v>
      </c>
      <c r="AH114" s="19">
        <v>0.33997637909426842</v>
      </c>
      <c r="AI114" s="19">
        <v>-0.9266649144488438</v>
      </c>
      <c r="AJ114" s="19">
        <v>-0.41506277102134792</v>
      </c>
      <c r="AK114" s="19">
        <v>0.11949708620788686</v>
      </c>
      <c r="AM114" s="20">
        <v>0.98185782366981522</v>
      </c>
      <c r="AN114" s="20">
        <v>1.8066087522218006E-2</v>
      </c>
      <c r="AP114" s="21">
        <f t="shared" si="5"/>
        <v>0</v>
      </c>
    </row>
    <row r="115" spans="1:42">
      <c r="A115" s="14">
        <v>7.76</v>
      </c>
      <c r="B115" s="14">
        <v>24.54</v>
      </c>
      <c r="C115" s="14">
        <v>47.92</v>
      </c>
      <c r="D115" s="14">
        <v>181</v>
      </c>
      <c r="E115" s="14">
        <v>4.3619999999999999E-2</v>
      </c>
      <c r="F115" s="14">
        <v>0</v>
      </c>
      <c r="G115" s="14">
        <v>0</v>
      </c>
      <c r="H115" s="14">
        <v>9.4559999999999995</v>
      </c>
      <c r="I115" s="14">
        <v>268.60000000000002</v>
      </c>
      <c r="J115" s="14">
        <v>0</v>
      </c>
      <c r="M115" s="16">
        <v>0</v>
      </c>
      <c r="O115" s="12">
        <f t="shared" si="3"/>
        <v>1</v>
      </c>
      <c r="P115" s="12">
        <f t="shared" si="4"/>
        <v>0</v>
      </c>
      <c r="R115" s="19">
        <v>-0.78934314451338805</v>
      </c>
      <c r="S115" s="19">
        <v>0.73506241309297027</v>
      </c>
      <c r="T115" s="19">
        <v>0.77782050727352248</v>
      </c>
      <c r="U115" s="19">
        <v>0.3533193549088976</v>
      </c>
      <c r="V115" s="19">
        <v>0.88769275570705197</v>
      </c>
      <c r="W115" s="19">
        <v>-0.64994176030641737</v>
      </c>
      <c r="X115" s="19">
        <v>-0.80820862133174509</v>
      </c>
      <c r="Y115" s="19">
        <v>0.84694284005022469</v>
      </c>
      <c r="Z115" s="19">
        <v>0.78818434039349627</v>
      </c>
      <c r="AA115" s="19">
        <v>0.92020276623539965</v>
      </c>
      <c r="AB115" s="19">
        <v>-0.74195751026386558</v>
      </c>
      <c r="AC115" s="19">
        <v>0.89891588222872454</v>
      </c>
      <c r="AD115" s="19">
        <v>-0.69973091153938649</v>
      </c>
      <c r="AE115" s="19">
        <v>0.90128569087450117</v>
      </c>
      <c r="AF115" s="19">
        <v>0.84084163800292999</v>
      </c>
      <c r="AG115" s="19">
        <v>0.78302759619641638</v>
      </c>
      <c r="AH115" s="19">
        <v>0.38791500002500545</v>
      </c>
      <c r="AI115" s="19">
        <v>-0.93298277340968072</v>
      </c>
      <c r="AJ115" s="19">
        <v>-0.44697153445113685</v>
      </c>
      <c r="AK115" s="19">
        <v>0.46046414148785225</v>
      </c>
      <c r="AM115" s="20">
        <v>0.45670123955690523</v>
      </c>
      <c r="AN115" s="20">
        <v>0.54335255063528487</v>
      </c>
      <c r="AP115" s="21">
        <f t="shared" si="5"/>
        <v>1</v>
      </c>
    </row>
    <row r="116" spans="1:42">
      <c r="R116" s="19">
        <v>-0.65189081939750437</v>
      </c>
      <c r="S116" s="19">
        <v>0.66521830977922158</v>
      </c>
      <c r="T116" s="19">
        <v>0.79572703968928338</v>
      </c>
      <c r="U116" s="19">
        <v>0.27469426462123597</v>
      </c>
      <c r="V116" s="19">
        <v>0.84204471666771108</v>
      </c>
      <c r="W116" s="19">
        <v>-0.4397521810305593</v>
      </c>
      <c r="X116" s="19">
        <v>-0.69080041856591823</v>
      </c>
      <c r="Y116" s="19">
        <v>0.86090806475363968</v>
      </c>
      <c r="Z116" s="19">
        <v>0.56573635793163413</v>
      </c>
      <c r="AA116" s="19">
        <v>0.92331015922261428</v>
      </c>
      <c r="AB116" s="19">
        <v>-0.82613050364131602</v>
      </c>
      <c r="AC116" s="19">
        <v>0.90733945943083649</v>
      </c>
      <c r="AD116" s="19">
        <v>-0.6673066903013779</v>
      </c>
      <c r="AE116" s="19">
        <v>0.84395814657707402</v>
      </c>
      <c r="AF116" s="19">
        <v>0.91607212253035164</v>
      </c>
      <c r="AG116" s="19">
        <v>0.86430686288980174</v>
      </c>
      <c r="AH116" s="19">
        <v>0.29077879792684341</v>
      </c>
      <c r="AI116" s="19">
        <v>-0.91422848780635857</v>
      </c>
      <c r="AJ116" s="19">
        <v>-0.3781550084089233</v>
      </c>
      <c r="AK116" s="19">
        <v>-2.0865594119315246E-2</v>
      </c>
      <c r="AM116" s="20">
        <v>0.41750535542050132</v>
      </c>
      <c r="AN116" s="20">
        <v>0.58261203049301824</v>
      </c>
      <c r="AP116" s="21">
        <f t="shared" si="5"/>
        <v>1</v>
      </c>
    </row>
    <row r="117" spans="1:42">
      <c r="R117" s="19">
        <v>-0.79005058225094227</v>
      </c>
      <c r="S117" s="19">
        <v>0.74313895114117479</v>
      </c>
      <c r="T117" s="19">
        <v>0.79356354676469576</v>
      </c>
      <c r="U117" s="19">
        <v>0.35546231058671574</v>
      </c>
      <c r="V117" s="19">
        <v>0.8938808386572723</v>
      </c>
      <c r="W117" s="19">
        <v>-0.64339490920571629</v>
      </c>
      <c r="X117" s="19">
        <v>-0.81044180503134167</v>
      </c>
      <c r="Y117" s="19">
        <v>0.86192592014491476</v>
      </c>
      <c r="Z117" s="19">
        <v>0.78181778008514735</v>
      </c>
      <c r="AA117" s="19">
        <v>0.92955583898795779</v>
      </c>
      <c r="AB117" s="19">
        <v>-0.77076484646282928</v>
      </c>
      <c r="AC117" s="19">
        <v>0.91040881914771665</v>
      </c>
      <c r="AD117" s="19">
        <v>-0.7124829868335949</v>
      </c>
      <c r="AE117" s="19">
        <v>0.90573429724444521</v>
      </c>
      <c r="AF117" s="19">
        <v>0.8663292853407365</v>
      </c>
      <c r="AG117" s="19">
        <v>0.81077379608016298</v>
      </c>
      <c r="AH117" s="19">
        <v>0.38869676336171555</v>
      </c>
      <c r="AI117" s="19">
        <v>-0.93892309421820963</v>
      </c>
      <c r="AJ117" s="19">
        <v>-0.45286313107690918</v>
      </c>
      <c r="AK117" s="19">
        <v>0.3380488204467833</v>
      </c>
      <c r="AM117" s="20">
        <v>0.67068127839192282</v>
      </c>
      <c r="AN117" s="20">
        <v>0.32939217042478314</v>
      </c>
      <c r="AP117" s="21">
        <f t="shared" si="5"/>
        <v>0</v>
      </c>
    </row>
    <row r="118" spans="1:42">
      <c r="R118" s="19">
        <v>-0.7510776832164231</v>
      </c>
      <c r="S118" s="19">
        <v>0.70340046710925141</v>
      </c>
      <c r="T118" s="19">
        <v>0.75856811247170663</v>
      </c>
      <c r="U118" s="19">
        <v>0.32623369344759301</v>
      </c>
      <c r="V118" s="19">
        <v>0.86573581118607856</v>
      </c>
      <c r="W118" s="19">
        <v>-0.60021820437120732</v>
      </c>
      <c r="X118" s="19">
        <v>-0.77300968161846528</v>
      </c>
      <c r="Y118" s="19">
        <v>0.83125239589096467</v>
      </c>
      <c r="Z118" s="19">
        <v>0.74114567154713118</v>
      </c>
      <c r="AA118" s="19">
        <v>0.90800069386067361</v>
      </c>
      <c r="AB118" s="19">
        <v>-0.73543593975654553</v>
      </c>
      <c r="AC118" s="19">
        <v>0.88575409704400387</v>
      </c>
      <c r="AD118" s="19">
        <v>-0.67276990086030797</v>
      </c>
      <c r="AE118" s="19">
        <v>0.87906970308492904</v>
      </c>
      <c r="AF118" s="19">
        <v>0.83783443741794728</v>
      </c>
      <c r="AG118" s="19">
        <v>0.77758502840432331</v>
      </c>
      <c r="AH118" s="19">
        <v>0.35703595356188578</v>
      </c>
      <c r="AI118" s="19">
        <v>-0.918693174952942</v>
      </c>
      <c r="AJ118" s="19">
        <v>-0.41817471730597311</v>
      </c>
      <c r="AK118" s="19">
        <v>0.17473060280554667</v>
      </c>
      <c r="AM118" s="20">
        <v>0.92478505295514257</v>
      </c>
      <c r="AN118" s="20">
        <v>7.5377188847017745E-2</v>
      </c>
      <c r="AP118" s="21">
        <f t="shared" si="5"/>
        <v>0</v>
      </c>
    </row>
    <row r="119" spans="1:42">
      <c r="R119" s="19">
        <v>-0.63147438383124643</v>
      </c>
      <c r="S119" s="19">
        <v>0.67216457228781479</v>
      </c>
      <c r="T119" s="19">
        <v>0.83783508453777966</v>
      </c>
      <c r="U119" s="19">
        <v>0.2680443740736132</v>
      </c>
      <c r="V119" s="19">
        <v>0.84986773102676527</v>
      </c>
      <c r="W119" s="19">
        <v>-0.39112905619053706</v>
      </c>
      <c r="X119" s="19">
        <v>-0.67782552957980136</v>
      </c>
      <c r="Y119" s="19">
        <v>0.88507102604792531</v>
      </c>
      <c r="Z119" s="19">
        <v>0.50603392938744873</v>
      </c>
      <c r="AA119" s="19">
        <v>0.93841758172443845</v>
      </c>
      <c r="AB119" s="19">
        <v>-0.86679268129239229</v>
      </c>
      <c r="AC119" s="19">
        <v>0.92559569314449019</v>
      </c>
      <c r="AD119" s="19">
        <v>-0.68660132678119135</v>
      </c>
      <c r="AE119" s="19">
        <v>0.84671471904004725</v>
      </c>
      <c r="AF119" s="19">
        <v>0.94356120970131252</v>
      </c>
      <c r="AG119" s="19">
        <v>0.90033762707253551</v>
      </c>
      <c r="AH119" s="19">
        <v>0.27906588056453208</v>
      </c>
      <c r="AI119" s="19">
        <v>-0.92434611710734271</v>
      </c>
      <c r="AJ119" s="19">
        <v>-0.37972621393818734</v>
      </c>
      <c r="AK119" s="19">
        <v>7.8976815335569356E-2</v>
      </c>
      <c r="AM119" s="20">
        <v>0.82904598563184417</v>
      </c>
      <c r="AN119" s="20">
        <v>0.1710510244980076</v>
      </c>
      <c r="AP119" s="21">
        <f t="shared" si="5"/>
        <v>0</v>
      </c>
    </row>
    <row r="120" spans="1:42">
      <c r="R120" s="19">
        <v>-0.69799684441718357</v>
      </c>
      <c r="S120" s="19">
        <v>0.68492805576889515</v>
      </c>
      <c r="T120" s="19">
        <v>0.78421555680570987</v>
      </c>
      <c r="U120" s="19">
        <v>0.2976473596435717</v>
      </c>
      <c r="V120" s="19">
        <v>0.85510966326704008</v>
      </c>
      <c r="W120" s="19">
        <v>-0.5104027680818749</v>
      </c>
      <c r="X120" s="19">
        <v>-0.72954554530559845</v>
      </c>
      <c r="Y120" s="19">
        <v>0.85355576428554125</v>
      </c>
      <c r="Z120" s="19">
        <v>0.64666597786350499</v>
      </c>
      <c r="AA120" s="19">
        <v>0.92018709146226285</v>
      </c>
      <c r="AB120" s="19">
        <v>-0.79898626908596349</v>
      </c>
      <c r="AC120" s="19">
        <v>0.90230285734369498</v>
      </c>
      <c r="AD120" s="19">
        <v>-0.67393713007295586</v>
      </c>
      <c r="AE120" s="19">
        <v>0.86192395913931452</v>
      </c>
      <c r="AF120" s="19">
        <v>0.89431949801723409</v>
      </c>
      <c r="AG120" s="19">
        <v>0.83893976819876415</v>
      </c>
      <c r="AH120" s="19">
        <v>0.31977107982786729</v>
      </c>
      <c r="AI120" s="19">
        <v>-0.91849919175173445</v>
      </c>
      <c r="AJ120" s="19">
        <v>-0.39737541980138302</v>
      </c>
      <c r="AK120" s="19">
        <v>-0.14233796008491889</v>
      </c>
      <c r="AM120" s="20">
        <v>0.96973913837872361</v>
      </c>
      <c r="AN120" s="20">
        <v>3.0478757437265774E-2</v>
      </c>
      <c r="AP120" s="21">
        <f t="shared" si="5"/>
        <v>0</v>
      </c>
    </row>
    <row r="121" spans="1:42">
      <c r="R121" s="19">
        <v>-0.78088702053843073</v>
      </c>
      <c r="S121" s="19">
        <v>0.74146068544866095</v>
      </c>
      <c r="T121" s="19">
        <v>0.82404274831077584</v>
      </c>
      <c r="U121" s="19">
        <v>0.34991893349960601</v>
      </c>
      <c r="V121" s="19">
        <v>0.89344964707079788</v>
      </c>
      <c r="W121" s="19">
        <v>-0.62496347994097623</v>
      </c>
      <c r="X121" s="19">
        <v>-0.80336802317843925</v>
      </c>
      <c r="Y121" s="19">
        <v>0.86925659226850949</v>
      </c>
      <c r="Z121" s="19">
        <v>0.76427523710298606</v>
      </c>
      <c r="AA121" s="19">
        <v>0.93361574906805678</v>
      </c>
      <c r="AB121" s="19">
        <v>-0.78989766684288187</v>
      </c>
      <c r="AC121" s="19">
        <v>0.91576720687817414</v>
      </c>
      <c r="AD121" s="19">
        <v>-0.71552094829320811</v>
      </c>
      <c r="AE121" s="19">
        <v>0.90393171196214672</v>
      </c>
      <c r="AF121" s="19">
        <v>0.88299790135996881</v>
      </c>
      <c r="AG121" s="19">
        <v>0.82908617315867295</v>
      </c>
      <c r="AH121" s="19">
        <v>0.38108055970874777</v>
      </c>
      <c r="AI121" s="19">
        <v>-0.94015858503452887</v>
      </c>
      <c r="AJ121" s="19">
        <v>-0.44987124395733091</v>
      </c>
      <c r="AK121" s="19">
        <v>0.48099394067137347</v>
      </c>
      <c r="AM121" s="20">
        <v>1.0093610303378693</v>
      </c>
      <c r="AN121" s="20">
        <v>-9.2060323417481344E-3</v>
      </c>
      <c r="AP121" s="21">
        <f t="shared" si="5"/>
        <v>0</v>
      </c>
    </row>
    <row r="122" spans="1:42">
      <c r="R122" s="19">
        <v>-0.77249354495220268</v>
      </c>
      <c r="S122" s="19">
        <v>0.72683547292118478</v>
      </c>
      <c r="T122" s="19">
        <v>0.76568696460680941</v>
      </c>
      <c r="U122" s="19">
        <v>0.34219951678019783</v>
      </c>
      <c r="V122" s="19">
        <v>0.88283694063823748</v>
      </c>
      <c r="W122" s="19">
        <v>-0.62186633574405425</v>
      </c>
      <c r="X122" s="19">
        <v>-0.79400812964492595</v>
      </c>
      <c r="Y122" s="19">
        <v>0.8516061903221942</v>
      </c>
      <c r="Z122" s="19">
        <v>0.76173946143083093</v>
      </c>
      <c r="AA122" s="19">
        <v>0.92226133040646219</v>
      </c>
      <c r="AB122" s="19">
        <v>-0.76108684957860295</v>
      </c>
      <c r="AC122" s="19">
        <v>0.90215208965979998</v>
      </c>
      <c r="AD122" s="19">
        <v>-0.6971839987487527</v>
      </c>
      <c r="AE122" s="19">
        <v>0.89498939939800959</v>
      </c>
      <c r="AF122" s="19">
        <v>0.85916312565715136</v>
      </c>
      <c r="AG122" s="19">
        <v>0.80190197000536201</v>
      </c>
      <c r="AH122" s="19">
        <v>0.37399765210661051</v>
      </c>
      <c r="AI122" s="19">
        <v>-0.93149226921618611</v>
      </c>
      <c r="AJ122" s="19">
        <v>-0.43795889594217619</v>
      </c>
      <c r="AK122" s="19">
        <v>5.33744173015634E-3</v>
      </c>
      <c r="AM122" s="20">
        <v>1.0451879048805925</v>
      </c>
      <c r="AN122" s="20">
        <v>-4.5111664726031883E-2</v>
      </c>
      <c r="AP122" s="21">
        <f t="shared" si="5"/>
        <v>0</v>
      </c>
    </row>
    <row r="123" spans="1:42">
      <c r="R123" s="19">
        <v>-0.815288608213108</v>
      </c>
      <c r="S123" s="19">
        <v>0.75601536026217842</v>
      </c>
      <c r="T123" s="19">
        <v>0.79230499792511078</v>
      </c>
      <c r="U123" s="19">
        <v>0.37353049786150894</v>
      </c>
      <c r="V123" s="19">
        <v>0.90117117366825528</v>
      </c>
      <c r="W123" s="19">
        <v>-0.68644694096713443</v>
      </c>
      <c r="X123" s="19">
        <v>-0.83169648728511003</v>
      </c>
      <c r="Y123" s="19">
        <v>0.85499326847771917</v>
      </c>
      <c r="Z123" s="19">
        <v>0.82058231133697257</v>
      </c>
      <c r="AA123" s="19">
        <v>0.92664054207587787</v>
      </c>
      <c r="AB123" s="19">
        <v>-0.74038273980914848</v>
      </c>
      <c r="AC123" s="19">
        <v>0.9057011731760487</v>
      </c>
      <c r="AD123" s="19">
        <v>-0.71673608361140528</v>
      </c>
      <c r="AE123" s="19">
        <v>0.91497815941023808</v>
      </c>
      <c r="AF123" s="19">
        <v>0.83712164973090886</v>
      </c>
      <c r="AG123" s="19">
        <v>0.78079758746704331</v>
      </c>
      <c r="AH123" s="19">
        <v>0.41118495850501607</v>
      </c>
      <c r="AI123" s="19">
        <v>-0.94121190984189729</v>
      </c>
      <c r="AJ123" s="19">
        <v>-0.4674975940945173</v>
      </c>
      <c r="AK123" s="19">
        <v>0.40530515109690413</v>
      </c>
      <c r="AM123" s="20">
        <v>0.90921657192564853</v>
      </c>
      <c r="AN123" s="20">
        <v>9.0650441809295421E-2</v>
      </c>
      <c r="AP123" s="21">
        <f t="shared" si="5"/>
        <v>0</v>
      </c>
    </row>
    <row r="124" spans="1:42">
      <c r="R124" s="19">
        <v>-0.7144663048451626</v>
      </c>
      <c r="S124" s="19">
        <v>0.71424194860179835</v>
      </c>
      <c r="T124" s="19">
        <v>0.83455726158045995</v>
      </c>
      <c r="U124" s="19">
        <v>0.3108350742090038</v>
      </c>
      <c r="V124" s="19">
        <v>0.87797675886694004</v>
      </c>
      <c r="W124" s="19">
        <v>-0.51150553615259919</v>
      </c>
      <c r="X124" s="19">
        <v>-0.74878769487980268</v>
      </c>
      <c r="Y124" s="19">
        <v>0.88574093353211547</v>
      </c>
      <c r="Z124" s="19">
        <v>0.64672024529765004</v>
      </c>
      <c r="AA124" s="19">
        <v>0.94123621237949029</v>
      </c>
      <c r="AB124" s="19">
        <v>-0.84586291225696864</v>
      </c>
      <c r="AC124" s="19">
        <v>0.92706760928901655</v>
      </c>
      <c r="AD124" s="19">
        <v>-0.70984504349952127</v>
      </c>
      <c r="AE124" s="19">
        <v>0.88195365885875743</v>
      </c>
      <c r="AF124" s="19">
        <v>0.92795927160103497</v>
      </c>
      <c r="AG124" s="19">
        <v>0.88126487673996268</v>
      </c>
      <c r="AH124" s="19">
        <v>0.33133307386659883</v>
      </c>
      <c r="AI124" s="19">
        <v>-0.93672177784360267</v>
      </c>
      <c r="AJ124" s="19">
        <v>-0.41933198759332674</v>
      </c>
      <c r="AK124" s="19">
        <v>0.22262087958477392</v>
      </c>
      <c r="AM124" s="20">
        <v>0.98760765113268356</v>
      </c>
      <c r="AN124" s="20">
        <v>1.2347497509715571E-2</v>
      </c>
      <c r="AP124" s="21">
        <f t="shared" si="5"/>
        <v>0</v>
      </c>
    </row>
    <row r="125" spans="1:42">
      <c r="R125" s="19">
        <v>-0.90495310454144351</v>
      </c>
      <c r="S125" s="19">
        <v>0.78723054024511985</v>
      </c>
      <c r="T125" s="19">
        <v>0.51056647976495051</v>
      </c>
      <c r="U125" s="19">
        <v>0.45358914423360813</v>
      </c>
      <c r="V125" s="19">
        <v>0.91330048061582569</v>
      </c>
      <c r="W125" s="19">
        <v>-0.85743146679276316</v>
      </c>
      <c r="X125" s="19">
        <v>-0.90543547987489625</v>
      </c>
      <c r="Y125" s="19">
        <v>0.72127777736152143</v>
      </c>
      <c r="Z125" s="19">
        <v>0.9450617971847296</v>
      </c>
      <c r="AA125" s="19">
        <v>0.85086535906757954</v>
      </c>
      <c r="AB125" s="19">
        <v>-0.3006246098912711</v>
      </c>
      <c r="AC125" s="19">
        <v>0.80202642660068568</v>
      </c>
      <c r="AD125" s="19">
        <v>-0.68611534957927345</v>
      </c>
      <c r="AE125" s="19">
        <v>0.9395596075334165</v>
      </c>
      <c r="AF125" s="19">
        <v>0.2696865939655092</v>
      </c>
      <c r="AG125" s="19">
        <v>0.30399341777072858</v>
      </c>
      <c r="AH125" s="19">
        <v>0.51569169850263652</v>
      </c>
      <c r="AI125" s="19">
        <v>-0.92910467607988489</v>
      </c>
      <c r="AJ125" s="19">
        <v>-0.51650805603621452</v>
      </c>
      <c r="AK125" s="19">
        <v>0.19171906097441452</v>
      </c>
      <c r="AM125" s="20">
        <v>1.0573529752545578</v>
      </c>
      <c r="AN125" s="20">
        <v>-5.7459350441832424E-2</v>
      </c>
      <c r="AP125" s="21">
        <f t="shared" si="5"/>
        <v>0</v>
      </c>
    </row>
    <row r="126" spans="1:42">
      <c r="R126" s="19">
        <v>-0.91655168937320208</v>
      </c>
      <c r="S126" s="19">
        <v>0.77755347427854804</v>
      </c>
      <c r="T126" s="19">
        <v>0.19570037792607883</v>
      </c>
      <c r="U126" s="19">
        <v>0.46467671953688416</v>
      </c>
      <c r="V126" s="19">
        <v>0.90379631314564635</v>
      </c>
      <c r="W126" s="19">
        <v>-0.88516572449580766</v>
      </c>
      <c r="X126" s="19">
        <v>-0.91368417114292821</v>
      </c>
      <c r="Y126" s="19">
        <v>0.61034134441708743</v>
      </c>
      <c r="Z126" s="19">
        <v>0.96018384483524</v>
      </c>
      <c r="AA126" s="19">
        <v>0.77599850011410221</v>
      </c>
      <c r="AB126" s="19">
        <v>-2.6046425051393571E-2</v>
      </c>
      <c r="AC126" s="19">
        <v>0.70568580396322134</v>
      </c>
      <c r="AD126" s="19">
        <v>-0.64706764655394078</v>
      </c>
      <c r="AE126" s="19">
        <v>0.93724898031974058</v>
      </c>
      <c r="AF126" s="19">
        <v>-0.12770640669611522</v>
      </c>
      <c r="AG126" s="19">
        <v>-8.9798180521509924E-3</v>
      </c>
      <c r="AH126" s="19">
        <v>0.53381028804445707</v>
      </c>
      <c r="AI126" s="19">
        <v>-0.90916073579844414</v>
      </c>
      <c r="AJ126" s="19">
        <v>-0.51377372825770284</v>
      </c>
      <c r="AK126" s="19">
        <v>0.64898406899681793</v>
      </c>
      <c r="AM126" s="20">
        <v>0.78532540248540672</v>
      </c>
      <c r="AN126" s="20">
        <v>0.21468522540284216</v>
      </c>
      <c r="AP126" s="21">
        <f t="shared" si="5"/>
        <v>0</v>
      </c>
    </row>
    <row r="127" spans="1:42">
      <c r="R127" s="19">
        <v>-0.91733487200573216</v>
      </c>
      <c r="S127" s="19">
        <v>0.76882876833209923</v>
      </c>
      <c r="T127" s="19">
        <v>0.11356571501732833</v>
      </c>
      <c r="U127" s="19">
        <v>0.46373146822732891</v>
      </c>
      <c r="V127" s="19">
        <v>0.89663097465860708</v>
      </c>
      <c r="W127" s="19">
        <v>-0.89022866449928528</v>
      </c>
      <c r="X127" s="19">
        <v>-0.91333771042169376</v>
      </c>
      <c r="Y127" s="19">
        <v>0.55752080858399555</v>
      </c>
      <c r="Z127" s="19">
        <v>0.96280009957829715</v>
      </c>
      <c r="AA127" s="19">
        <v>0.73646846959779222</v>
      </c>
      <c r="AB127" s="19">
        <v>7.5270409475706276E-2</v>
      </c>
      <c r="AC127" s="19">
        <v>0.65690851409559425</v>
      </c>
      <c r="AD127" s="19">
        <v>-0.62654140185229046</v>
      </c>
      <c r="AE127" s="19">
        <v>0.93374972381737231</v>
      </c>
      <c r="AF127" s="19">
        <v>-0.26451742500276054</v>
      </c>
      <c r="AG127" s="19">
        <v>-0.12317422483919756</v>
      </c>
      <c r="AH127" s="19">
        <v>0.53492350094014962</v>
      </c>
      <c r="AI127" s="19">
        <v>-0.8972479270405832</v>
      </c>
      <c r="AJ127" s="19">
        <v>-0.50761851155449422</v>
      </c>
      <c r="AK127" s="19">
        <v>0.51749180364676794</v>
      </c>
      <c r="AM127" s="20">
        <v>0.97897348641863757</v>
      </c>
      <c r="AN127" s="20">
        <v>2.126165500989843E-2</v>
      </c>
      <c r="AP127" s="21">
        <f t="shared" si="5"/>
        <v>0</v>
      </c>
    </row>
    <row r="128" spans="1:42">
      <c r="R128" s="19">
        <v>-0.90634212628235433</v>
      </c>
      <c r="S128" s="19">
        <v>0.79100500728933754</v>
      </c>
      <c r="T128" s="19">
        <v>0.43232013043206496</v>
      </c>
      <c r="U128" s="19">
        <v>0.45598901055107693</v>
      </c>
      <c r="V128" s="19">
        <v>0.91586271859924517</v>
      </c>
      <c r="W128" s="19">
        <v>-0.85824626066051002</v>
      </c>
      <c r="X128" s="19">
        <v>-0.90704384916874536</v>
      </c>
      <c r="Y128" s="19">
        <v>0.73056085469381182</v>
      </c>
      <c r="Z128" s="19">
        <v>0.94549017433105031</v>
      </c>
      <c r="AA128" s="19">
        <v>0.85731206187668163</v>
      </c>
      <c r="AB128" s="19">
        <v>-0.31869611129340319</v>
      </c>
      <c r="AC128" s="19">
        <v>0.80997989764831102</v>
      </c>
      <c r="AD128" s="19">
        <v>-0.69190604379816667</v>
      </c>
      <c r="AE128" s="19">
        <v>0.94129240338594156</v>
      </c>
      <c r="AF128" s="19">
        <v>0.29468967715010502</v>
      </c>
      <c r="AG128" s="19">
        <v>0.32418902158745921</v>
      </c>
      <c r="AH128" s="19">
        <v>0.51788786669503428</v>
      </c>
      <c r="AI128" s="19">
        <v>-0.93193503964906821</v>
      </c>
      <c r="AJ128" s="19">
        <v>-0.52000176651428476</v>
      </c>
      <c r="AK128" s="19">
        <v>0.39378460865066023</v>
      </c>
      <c r="AM128" s="20">
        <v>0.81326756789524757</v>
      </c>
      <c r="AN128" s="20">
        <v>0.18684097287512016</v>
      </c>
      <c r="AP128" s="21">
        <f t="shared" si="5"/>
        <v>0</v>
      </c>
    </row>
    <row r="129" spans="18:42">
      <c r="R129" s="19">
        <v>-0.86543172581927941</v>
      </c>
      <c r="S129" s="19">
        <v>0.77313120135343372</v>
      </c>
      <c r="T129" s="19">
        <v>0.65079124397974242</v>
      </c>
      <c r="U129" s="19">
        <v>0.41333572662618029</v>
      </c>
      <c r="V129" s="19">
        <v>0.90839007048272979</v>
      </c>
      <c r="W129" s="19">
        <v>-0.78244823886088632</v>
      </c>
      <c r="X129" s="19">
        <v>-0.87247723217750184</v>
      </c>
      <c r="Y129" s="19">
        <v>0.80464388572440049</v>
      </c>
      <c r="Z129" s="19">
        <v>0.89681303248416655</v>
      </c>
      <c r="AA129" s="19">
        <v>0.89924100864708667</v>
      </c>
      <c r="AB129" s="19">
        <v>-0.57693016444020317</v>
      </c>
      <c r="AC129" s="19">
        <v>0.86810951120818702</v>
      </c>
      <c r="AD129" s="19">
        <v>-0.70521390199796086</v>
      </c>
      <c r="AE129" s="19">
        <v>0.92857831366266541</v>
      </c>
      <c r="AF129" s="19">
        <v>0.65417478605214308</v>
      </c>
      <c r="AG129" s="19">
        <v>0.61157258736257736</v>
      </c>
      <c r="AH129" s="19">
        <v>0.46328177845279656</v>
      </c>
      <c r="AI129" s="19">
        <v>-0.9369898318570522</v>
      </c>
      <c r="AJ129" s="19">
        <v>-0.49274846486972729</v>
      </c>
      <c r="AK129" s="19">
        <v>0.45745034858125988</v>
      </c>
      <c r="AM129" s="20">
        <v>0.95307558601498787</v>
      </c>
      <c r="AN129" s="20">
        <v>4.6765059529216807E-2</v>
      </c>
      <c r="AP129" s="21">
        <f t="shared" si="5"/>
        <v>0</v>
      </c>
    </row>
    <row r="130" spans="18:42">
      <c r="R130" s="19">
        <v>-0.95130557820819428</v>
      </c>
      <c r="S130" s="19">
        <v>0.83377162881045741</v>
      </c>
      <c r="T130" s="19">
        <v>0.12126224527755633</v>
      </c>
      <c r="U130" s="19">
        <v>0.52992389605753432</v>
      </c>
      <c r="V130" s="19">
        <v>0.93761459052924079</v>
      </c>
      <c r="W130" s="19">
        <v>-0.93100263984163523</v>
      </c>
      <c r="X130" s="19">
        <v>-0.94864526700006524</v>
      </c>
      <c r="Y130" s="19">
        <v>0.6401232342559936</v>
      </c>
      <c r="Z130" s="19">
        <v>0.98090579607352246</v>
      </c>
      <c r="AA130" s="19">
        <v>0.81087373898488913</v>
      </c>
      <c r="AB130" s="19">
        <v>6.4161638217718295E-2</v>
      </c>
      <c r="AC130" s="19">
        <v>0.73831066389460742</v>
      </c>
      <c r="AD130" s="19">
        <v>-0.7026385362012687</v>
      </c>
      <c r="AE130" s="19">
        <v>0.96318923833173997</v>
      </c>
      <c r="AF130" s="19">
        <v>-0.27669436866446712</v>
      </c>
      <c r="AG130" s="19">
        <v>-0.11734536447139568</v>
      </c>
      <c r="AH130" s="19">
        <v>0.60495547621434875</v>
      </c>
      <c r="AI130" s="19">
        <v>-0.93883206150099752</v>
      </c>
      <c r="AJ130" s="19">
        <v>-0.57786164872320767</v>
      </c>
      <c r="AK130" s="19">
        <v>-0.45097229591235227</v>
      </c>
      <c r="AM130" s="20">
        <v>1.0044906618386236</v>
      </c>
      <c r="AN130" s="20">
        <v>-4.4382474834561937E-3</v>
      </c>
      <c r="AP130" s="21">
        <f t="shared" si="5"/>
        <v>0</v>
      </c>
    </row>
    <row r="131" spans="18:42">
      <c r="R131" s="19">
        <v>-0.68913110319590309</v>
      </c>
      <c r="S131" s="19">
        <v>0.64768368703686563</v>
      </c>
      <c r="T131" s="19">
        <v>0.68126764037465948</v>
      </c>
      <c r="U131" s="19">
        <v>0.2869447221190996</v>
      </c>
      <c r="V131" s="19">
        <v>0.82225628552481123</v>
      </c>
      <c r="W131" s="19">
        <v>-0.53099869433418101</v>
      </c>
      <c r="X131" s="19">
        <v>-0.71401806990380456</v>
      </c>
      <c r="Y131" s="19">
        <v>0.79219554543662818</v>
      </c>
      <c r="Z131" s="19">
        <v>0.67069223796282518</v>
      </c>
      <c r="AA131" s="19">
        <v>0.87759276951529619</v>
      </c>
      <c r="AB131" s="19">
        <v>-0.70078794306432235</v>
      </c>
      <c r="AC131" s="19">
        <v>0.85249313941868554</v>
      </c>
      <c r="AD131" s="19">
        <v>-0.62124949943048624</v>
      </c>
      <c r="AE131" s="19">
        <v>0.83592346645862581</v>
      </c>
      <c r="AF131" s="19">
        <v>0.81005720071977283</v>
      </c>
      <c r="AG131" s="19">
        <v>0.74491790800809043</v>
      </c>
      <c r="AH131" s="19">
        <v>0.31330485291174459</v>
      </c>
      <c r="AI131" s="19">
        <v>-0.88697354860244126</v>
      </c>
      <c r="AJ131" s="19">
        <v>-0.37288602507640511</v>
      </c>
      <c r="AK131" s="19">
        <v>-0.51006918183090333</v>
      </c>
      <c r="AM131" s="20">
        <v>1.0607320641168563</v>
      </c>
      <c r="AN131" s="20">
        <v>-6.075344996180819E-2</v>
      </c>
      <c r="AP131" s="21">
        <f t="shared" si="5"/>
        <v>0</v>
      </c>
    </row>
    <row r="132" spans="18:42">
      <c r="AM132" s="20">
        <v>0.87351403651426274</v>
      </c>
      <c r="AN132" s="20">
        <v>0.12660090222689993</v>
      </c>
      <c r="AP132" s="21">
        <f t="shared" si="5"/>
        <v>0</v>
      </c>
    </row>
    <row r="133" spans="18:42">
      <c r="AM133" s="20">
        <v>0.92055670331230399</v>
      </c>
      <c r="AN133" s="20">
        <v>7.9402404039137134E-2</v>
      </c>
      <c r="AP133" s="21">
        <f t="shared" si="5"/>
        <v>0</v>
      </c>
    </row>
    <row r="134" spans="18:42">
      <c r="AM134" s="20">
        <v>0.57060712761432153</v>
      </c>
      <c r="AN134" s="20">
        <v>0.42954857935790713</v>
      </c>
      <c r="AP134" s="21">
        <f t="shared" si="5"/>
        <v>0</v>
      </c>
    </row>
    <row r="135" spans="18:42">
      <c r="AM135" s="20">
        <v>1.0147353489164019</v>
      </c>
      <c r="AN135" s="20">
        <v>-1.4759771679595145E-2</v>
      </c>
      <c r="AP135" s="21">
        <f t="shared" si="5"/>
        <v>0</v>
      </c>
    </row>
    <row r="136" spans="18:42">
      <c r="AM136" s="20">
        <v>2.5220830549901728E-2</v>
      </c>
      <c r="AN136" s="20">
        <v>0.97482689544854106</v>
      </c>
      <c r="AP136" s="21">
        <f t="shared" si="5"/>
        <v>1</v>
      </c>
    </row>
    <row r="137" spans="18:42">
      <c r="AM137" s="20">
        <v>-2.6964967829421628E-2</v>
      </c>
      <c r="AN137" s="20">
        <v>1.0268479293810968</v>
      </c>
      <c r="AP137" s="21">
        <f t="shared" si="5"/>
        <v>1</v>
      </c>
    </row>
    <row r="138" spans="18:42">
      <c r="AM138" s="20">
        <v>-7.8760120216134724E-2</v>
      </c>
      <c r="AN138" s="20">
        <v>1.0785471992626317</v>
      </c>
      <c r="AP138" s="21">
        <f t="shared" si="5"/>
        <v>1</v>
      </c>
    </row>
    <row r="139" spans="18:42">
      <c r="AM139" s="20">
        <v>-1.7150913555680387E-3</v>
      </c>
      <c r="AN139" s="20">
        <v>1.0017348668249004</v>
      </c>
      <c r="AP139" s="21">
        <f t="shared" si="5"/>
        <v>1</v>
      </c>
    </row>
    <row r="140" spans="18:42">
      <c r="AM140" s="20">
        <v>-7.2889834767247974E-3</v>
      </c>
      <c r="AN140" s="20">
        <v>1.0072981262031875</v>
      </c>
      <c r="AP140" s="21">
        <f t="shared" si="5"/>
        <v>1</v>
      </c>
    </row>
    <row r="141" spans="18:42">
      <c r="AM141" s="20">
        <v>5.7722020594295695E-3</v>
      </c>
      <c r="AN141" s="20">
        <v>0.9947733402157557</v>
      </c>
      <c r="AP141" s="21">
        <f t="shared" si="5"/>
        <v>1</v>
      </c>
    </row>
    <row r="142" spans="18:42">
      <c r="AM142" s="20">
        <v>1.1587083693465288</v>
      </c>
      <c r="AN142" s="20">
        <v>-0.15846116876265648</v>
      </c>
      <c r="AP142" s="21">
        <f t="shared" si="5"/>
        <v>0</v>
      </c>
    </row>
  </sheetData>
  <mergeCells count="6">
    <mergeCell ref="O1:P1"/>
    <mergeCell ref="R5:AK5"/>
    <mergeCell ref="R17:AK17"/>
    <mergeCell ref="AM5:AN5"/>
    <mergeCell ref="AM28:AN28"/>
    <mergeCell ref="W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Training_section</vt:lpstr>
      <vt:lpstr>Testing_Section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</cp:lastModifiedBy>
  <dcterms:created xsi:type="dcterms:W3CDTF">2026-06-11T08:52:11Z</dcterms:created>
  <dcterms:modified xsi:type="dcterms:W3CDTF">2026-06-12T08:21:24Z</dcterms:modified>
</cp:coreProperties>
</file>