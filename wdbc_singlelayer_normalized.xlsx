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Desktop/Soman Sir Notes/latest_neural_breast cancer/"/>
    </mc:Choice>
  </mc:AlternateContent>
  <xr:revisionPtr revIDLastSave="0" documentId="13_ncr:1_{94407B8F-7FA6-374E-9979-11100B37B4B9}" xr6:coauthVersionLast="47" xr6:coauthVersionMax="47" xr10:uidLastSave="{00000000-0000-0000-0000-000000000000}"/>
  <bookViews>
    <workbookView xWindow="0" yWindow="660" windowWidth="29400" windowHeight="16920" xr2:uid="{2B675BA4-F247-824D-86BC-7582B285DFC4}"/>
  </bookViews>
  <sheets>
    <sheet name="Training_section" sheetId="6" r:id="rId1"/>
    <sheet name="Testing_Sec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P3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O71" i="4"/>
  <c r="P71" i="4"/>
  <c r="O72" i="4"/>
  <c r="P72" i="4"/>
  <c r="O73" i="4"/>
  <c r="P73" i="4"/>
  <c r="O74" i="4"/>
  <c r="P74" i="4"/>
  <c r="O75" i="4"/>
  <c r="P75" i="4"/>
  <c r="O76" i="4"/>
  <c r="P76" i="4"/>
  <c r="O77" i="4"/>
  <c r="P77" i="4"/>
  <c r="O78" i="4"/>
  <c r="P78" i="4"/>
  <c r="O79" i="4"/>
  <c r="P79" i="4"/>
  <c r="O80" i="4"/>
  <c r="P80" i="4"/>
  <c r="O81" i="4"/>
  <c r="P81" i="4"/>
  <c r="O82" i="4"/>
  <c r="P82" i="4"/>
  <c r="O83" i="4"/>
  <c r="P83" i="4"/>
  <c r="O84" i="4"/>
  <c r="P84" i="4"/>
  <c r="O85" i="4"/>
  <c r="P85" i="4"/>
  <c r="O86" i="4"/>
  <c r="P86" i="4"/>
  <c r="O87" i="4"/>
  <c r="P87" i="4"/>
  <c r="O88" i="4"/>
  <c r="P88" i="4"/>
  <c r="O89" i="4"/>
  <c r="P89" i="4"/>
  <c r="O90" i="4"/>
  <c r="P90" i="4"/>
  <c r="O91" i="4"/>
  <c r="P91" i="4"/>
  <c r="O92" i="4"/>
  <c r="P92" i="4"/>
  <c r="O93" i="4"/>
  <c r="P93" i="4"/>
  <c r="O94" i="4"/>
  <c r="P94" i="4"/>
  <c r="O95" i="4"/>
  <c r="P95" i="4"/>
  <c r="O96" i="4"/>
  <c r="P96" i="4"/>
  <c r="O97" i="4"/>
  <c r="P97" i="4"/>
  <c r="O98" i="4"/>
  <c r="P98" i="4"/>
  <c r="O99" i="4"/>
  <c r="P99" i="4"/>
  <c r="O100" i="4"/>
  <c r="P100" i="4"/>
  <c r="O101" i="4"/>
  <c r="P101" i="4"/>
  <c r="O102" i="4"/>
  <c r="P102" i="4"/>
  <c r="O103" i="4"/>
  <c r="P103" i="4"/>
  <c r="O104" i="4"/>
  <c r="P104" i="4"/>
  <c r="O105" i="4"/>
  <c r="P105" i="4"/>
  <c r="O106" i="4"/>
  <c r="P106" i="4"/>
  <c r="O107" i="4"/>
  <c r="P107" i="4"/>
  <c r="O108" i="4"/>
  <c r="P108" i="4"/>
  <c r="O109" i="4"/>
  <c r="P109" i="4"/>
  <c r="O110" i="4"/>
  <c r="P110" i="4"/>
  <c r="O111" i="4"/>
  <c r="P111" i="4"/>
  <c r="O112" i="4"/>
  <c r="P112" i="4"/>
  <c r="O113" i="4"/>
  <c r="P113" i="4"/>
  <c r="O114" i="4"/>
  <c r="P114" i="4"/>
  <c r="O115" i="4"/>
  <c r="P115" i="4"/>
  <c r="P2" i="4"/>
  <c r="O2" i="4"/>
  <c r="AM18" i="6" a="1"/>
  <c r="R34" i="6" a="1"/>
  <c r="P456" i="6"/>
  <c r="O456" i="6"/>
  <c r="P455" i="6"/>
  <c r="O455" i="6"/>
  <c r="P454" i="6"/>
  <c r="O454" i="6"/>
  <c r="P453" i="6"/>
  <c r="O453" i="6"/>
  <c r="P452" i="6"/>
  <c r="O452" i="6"/>
  <c r="P451" i="6"/>
  <c r="O451" i="6"/>
  <c r="P450" i="6"/>
  <c r="O450" i="6"/>
  <c r="P449" i="6"/>
  <c r="O449" i="6"/>
  <c r="P448" i="6"/>
  <c r="O448" i="6"/>
  <c r="P447" i="6"/>
  <c r="O447" i="6"/>
  <c r="P446" i="6"/>
  <c r="O446" i="6"/>
  <c r="P445" i="6"/>
  <c r="O445" i="6"/>
  <c r="P444" i="6"/>
  <c r="O444" i="6"/>
  <c r="P443" i="6"/>
  <c r="O443" i="6"/>
  <c r="P442" i="6"/>
  <c r="O442" i="6"/>
  <c r="P441" i="6"/>
  <c r="O441" i="6"/>
  <c r="P440" i="6"/>
  <c r="O440" i="6"/>
  <c r="P439" i="6"/>
  <c r="O439" i="6"/>
  <c r="P438" i="6"/>
  <c r="O438" i="6"/>
  <c r="P437" i="6"/>
  <c r="O437" i="6"/>
  <c r="P436" i="6"/>
  <c r="O436" i="6"/>
  <c r="P435" i="6"/>
  <c r="O435" i="6"/>
  <c r="P434" i="6"/>
  <c r="O434" i="6"/>
  <c r="P433" i="6"/>
  <c r="O433" i="6"/>
  <c r="P432" i="6"/>
  <c r="O432" i="6"/>
  <c r="P431" i="6"/>
  <c r="O431" i="6"/>
  <c r="P430" i="6"/>
  <c r="O430" i="6"/>
  <c r="P429" i="6"/>
  <c r="O429" i="6"/>
  <c r="P428" i="6"/>
  <c r="O428" i="6"/>
  <c r="P427" i="6"/>
  <c r="O427" i="6"/>
  <c r="P426" i="6"/>
  <c r="O426" i="6"/>
  <c r="P425" i="6"/>
  <c r="O425" i="6"/>
  <c r="P424" i="6"/>
  <c r="O424" i="6"/>
  <c r="P423" i="6"/>
  <c r="O423" i="6"/>
  <c r="P422" i="6"/>
  <c r="O422" i="6"/>
  <c r="P421" i="6"/>
  <c r="O421" i="6"/>
  <c r="P420" i="6"/>
  <c r="O420" i="6"/>
  <c r="P419" i="6"/>
  <c r="O419" i="6"/>
  <c r="P418" i="6"/>
  <c r="O418" i="6"/>
  <c r="P417" i="6"/>
  <c r="O417" i="6"/>
  <c r="P416" i="6"/>
  <c r="O416" i="6"/>
  <c r="P415" i="6"/>
  <c r="O415" i="6"/>
  <c r="P414" i="6"/>
  <c r="O414" i="6"/>
  <c r="P413" i="6"/>
  <c r="O413" i="6"/>
  <c r="P412" i="6"/>
  <c r="O412" i="6"/>
  <c r="P411" i="6"/>
  <c r="O411" i="6"/>
  <c r="P410" i="6"/>
  <c r="O410" i="6"/>
  <c r="P409" i="6"/>
  <c r="O409" i="6"/>
  <c r="P408" i="6"/>
  <c r="O408" i="6"/>
  <c r="P407" i="6"/>
  <c r="O407" i="6"/>
  <c r="P406" i="6"/>
  <c r="O406" i="6"/>
  <c r="P405" i="6"/>
  <c r="O405" i="6"/>
  <c r="P404" i="6"/>
  <c r="O404" i="6"/>
  <c r="P403" i="6"/>
  <c r="O403" i="6"/>
  <c r="P402" i="6"/>
  <c r="O402" i="6"/>
  <c r="P401" i="6"/>
  <c r="O401" i="6"/>
  <c r="P400" i="6"/>
  <c r="O400" i="6"/>
  <c r="P399" i="6"/>
  <c r="O399" i="6"/>
  <c r="P398" i="6"/>
  <c r="O398" i="6"/>
  <c r="P397" i="6"/>
  <c r="O397" i="6"/>
  <c r="P396" i="6"/>
  <c r="O396" i="6"/>
  <c r="P395" i="6"/>
  <c r="O395" i="6"/>
  <c r="P394" i="6"/>
  <c r="O394" i="6"/>
  <c r="P393" i="6"/>
  <c r="O393" i="6"/>
  <c r="P392" i="6"/>
  <c r="O392" i="6"/>
  <c r="P391" i="6"/>
  <c r="O391" i="6"/>
  <c r="P390" i="6"/>
  <c r="O390" i="6"/>
  <c r="P389" i="6"/>
  <c r="O389" i="6"/>
  <c r="P388" i="6"/>
  <c r="O388" i="6"/>
  <c r="P387" i="6"/>
  <c r="O387" i="6"/>
  <c r="P386" i="6"/>
  <c r="O386" i="6"/>
  <c r="P385" i="6"/>
  <c r="O385" i="6"/>
  <c r="P384" i="6"/>
  <c r="O384" i="6"/>
  <c r="P383" i="6"/>
  <c r="O383" i="6"/>
  <c r="P382" i="6"/>
  <c r="O382" i="6"/>
  <c r="P381" i="6"/>
  <c r="O381" i="6"/>
  <c r="P380" i="6"/>
  <c r="O380" i="6"/>
  <c r="P379" i="6"/>
  <c r="O379" i="6"/>
  <c r="P378" i="6"/>
  <c r="O378" i="6"/>
  <c r="P377" i="6"/>
  <c r="O377" i="6"/>
  <c r="P376" i="6"/>
  <c r="O376" i="6"/>
  <c r="P375" i="6"/>
  <c r="O375" i="6"/>
  <c r="P374" i="6"/>
  <c r="O374" i="6"/>
  <c r="P373" i="6"/>
  <c r="O373" i="6"/>
  <c r="P372" i="6"/>
  <c r="O372" i="6"/>
  <c r="P371" i="6"/>
  <c r="O371" i="6"/>
  <c r="P370" i="6"/>
  <c r="O370" i="6"/>
  <c r="P369" i="6"/>
  <c r="O369" i="6"/>
  <c r="P368" i="6"/>
  <c r="O368" i="6"/>
  <c r="P367" i="6"/>
  <c r="O367" i="6"/>
  <c r="P366" i="6"/>
  <c r="O366" i="6"/>
  <c r="P365" i="6"/>
  <c r="O365" i="6"/>
  <c r="P364" i="6"/>
  <c r="O364" i="6"/>
  <c r="P363" i="6"/>
  <c r="O363" i="6"/>
  <c r="P362" i="6"/>
  <c r="O362" i="6"/>
  <c r="P361" i="6"/>
  <c r="O361" i="6"/>
  <c r="P360" i="6"/>
  <c r="O360" i="6"/>
  <c r="P359" i="6"/>
  <c r="O359" i="6"/>
  <c r="P358" i="6"/>
  <c r="O358" i="6"/>
  <c r="P357" i="6"/>
  <c r="O357" i="6"/>
  <c r="P356" i="6"/>
  <c r="O356" i="6"/>
  <c r="P355" i="6"/>
  <c r="O355" i="6"/>
  <c r="P354" i="6"/>
  <c r="O354" i="6"/>
  <c r="P353" i="6"/>
  <c r="O353" i="6"/>
  <c r="P352" i="6"/>
  <c r="O352" i="6"/>
  <c r="P351" i="6"/>
  <c r="O351" i="6"/>
  <c r="P350" i="6"/>
  <c r="O350" i="6"/>
  <c r="P349" i="6"/>
  <c r="O349" i="6"/>
  <c r="P348" i="6"/>
  <c r="O348" i="6"/>
  <c r="P347" i="6"/>
  <c r="O347" i="6"/>
  <c r="P346" i="6"/>
  <c r="O346" i="6"/>
  <c r="P345" i="6"/>
  <c r="O345" i="6"/>
  <c r="P344" i="6"/>
  <c r="O344" i="6"/>
  <c r="P343" i="6"/>
  <c r="O343" i="6"/>
  <c r="P342" i="6"/>
  <c r="O342" i="6"/>
  <c r="P341" i="6"/>
  <c r="O341" i="6"/>
  <c r="P340" i="6"/>
  <c r="O340" i="6"/>
  <c r="P339" i="6"/>
  <c r="O339" i="6"/>
  <c r="P338" i="6"/>
  <c r="O338" i="6"/>
  <c r="P337" i="6"/>
  <c r="O337" i="6"/>
  <c r="P336" i="6"/>
  <c r="O336" i="6"/>
  <c r="P335" i="6"/>
  <c r="O335" i="6"/>
  <c r="P334" i="6"/>
  <c r="O334" i="6"/>
  <c r="P333" i="6"/>
  <c r="O333" i="6"/>
  <c r="P332" i="6"/>
  <c r="O332" i="6"/>
  <c r="P331" i="6"/>
  <c r="O331" i="6"/>
  <c r="P330" i="6"/>
  <c r="O330" i="6"/>
  <c r="P329" i="6"/>
  <c r="O329" i="6"/>
  <c r="P328" i="6"/>
  <c r="O328" i="6"/>
  <c r="P327" i="6"/>
  <c r="O327" i="6"/>
  <c r="P326" i="6"/>
  <c r="O326" i="6"/>
  <c r="P325" i="6"/>
  <c r="O325" i="6"/>
  <c r="P324" i="6"/>
  <c r="O324" i="6"/>
  <c r="P323" i="6"/>
  <c r="O323" i="6"/>
  <c r="P322" i="6"/>
  <c r="O322" i="6"/>
  <c r="P321" i="6"/>
  <c r="O321" i="6"/>
  <c r="P320" i="6"/>
  <c r="O320" i="6"/>
  <c r="P319" i="6"/>
  <c r="O319" i="6"/>
  <c r="P318" i="6"/>
  <c r="O318" i="6"/>
  <c r="P317" i="6"/>
  <c r="O317" i="6"/>
  <c r="P316" i="6"/>
  <c r="O316" i="6"/>
  <c r="P315" i="6"/>
  <c r="O315" i="6"/>
  <c r="P314" i="6"/>
  <c r="O314" i="6"/>
  <c r="P313" i="6"/>
  <c r="O313" i="6"/>
  <c r="P312" i="6"/>
  <c r="O312" i="6"/>
  <c r="P311" i="6"/>
  <c r="O311" i="6"/>
  <c r="P310" i="6"/>
  <c r="O310" i="6"/>
  <c r="P309" i="6"/>
  <c r="O309" i="6"/>
  <c r="P308" i="6"/>
  <c r="O308" i="6"/>
  <c r="P307" i="6"/>
  <c r="O307" i="6"/>
  <c r="P306" i="6"/>
  <c r="O306" i="6"/>
  <c r="P305" i="6"/>
  <c r="O305" i="6"/>
  <c r="P304" i="6"/>
  <c r="O304" i="6"/>
  <c r="P303" i="6"/>
  <c r="O303" i="6"/>
  <c r="P302" i="6"/>
  <c r="O302" i="6"/>
  <c r="P301" i="6"/>
  <c r="O301" i="6"/>
  <c r="P300" i="6"/>
  <c r="O300" i="6"/>
  <c r="P299" i="6"/>
  <c r="O299" i="6"/>
  <c r="P298" i="6"/>
  <c r="O298" i="6"/>
  <c r="P297" i="6"/>
  <c r="O297" i="6"/>
  <c r="P296" i="6"/>
  <c r="O296" i="6"/>
  <c r="P295" i="6"/>
  <c r="O295" i="6"/>
  <c r="P294" i="6"/>
  <c r="O294" i="6"/>
  <c r="P293" i="6"/>
  <c r="O293" i="6"/>
  <c r="P292" i="6"/>
  <c r="O292" i="6"/>
  <c r="P291" i="6"/>
  <c r="O291" i="6"/>
  <c r="P290" i="6"/>
  <c r="O290" i="6"/>
  <c r="P289" i="6"/>
  <c r="O289" i="6"/>
  <c r="P288" i="6"/>
  <c r="O288" i="6"/>
  <c r="P287" i="6"/>
  <c r="O287" i="6"/>
  <c r="P286" i="6"/>
  <c r="O286" i="6"/>
  <c r="P285" i="6"/>
  <c r="O285" i="6"/>
  <c r="P284" i="6"/>
  <c r="O284" i="6"/>
  <c r="P283" i="6"/>
  <c r="O283" i="6"/>
  <c r="P282" i="6"/>
  <c r="O282" i="6"/>
  <c r="P281" i="6"/>
  <c r="O281" i="6"/>
  <c r="P280" i="6"/>
  <c r="O280" i="6"/>
  <c r="P279" i="6"/>
  <c r="O279" i="6"/>
  <c r="P278" i="6"/>
  <c r="O278" i="6"/>
  <c r="P277" i="6"/>
  <c r="O277" i="6"/>
  <c r="P276" i="6"/>
  <c r="O276" i="6"/>
  <c r="P275" i="6"/>
  <c r="O275" i="6"/>
  <c r="P274" i="6"/>
  <c r="O274" i="6"/>
  <c r="P273" i="6"/>
  <c r="O273" i="6"/>
  <c r="P272" i="6"/>
  <c r="O272" i="6"/>
  <c r="P271" i="6"/>
  <c r="O271" i="6"/>
  <c r="P270" i="6"/>
  <c r="O270" i="6"/>
  <c r="P269" i="6"/>
  <c r="O269" i="6"/>
  <c r="P268" i="6"/>
  <c r="O268" i="6"/>
  <c r="P267" i="6"/>
  <c r="O267" i="6"/>
  <c r="P266" i="6"/>
  <c r="O266" i="6"/>
  <c r="P265" i="6"/>
  <c r="O265" i="6"/>
  <c r="P264" i="6"/>
  <c r="O264" i="6"/>
  <c r="P263" i="6"/>
  <c r="O263" i="6"/>
  <c r="P262" i="6"/>
  <c r="O262" i="6"/>
  <c r="P261" i="6"/>
  <c r="O261" i="6"/>
  <c r="P260" i="6"/>
  <c r="O260" i="6"/>
  <c r="P259" i="6"/>
  <c r="O259" i="6"/>
  <c r="P258" i="6"/>
  <c r="O258" i="6"/>
  <c r="P257" i="6"/>
  <c r="O257" i="6"/>
  <c r="P256" i="6"/>
  <c r="O256" i="6"/>
  <c r="P255" i="6"/>
  <c r="O255" i="6"/>
  <c r="P254" i="6"/>
  <c r="O254" i="6"/>
  <c r="P253" i="6"/>
  <c r="O253" i="6"/>
  <c r="P252" i="6"/>
  <c r="O252" i="6"/>
  <c r="P251" i="6"/>
  <c r="O251" i="6"/>
  <c r="P250" i="6"/>
  <c r="O250" i="6"/>
  <c r="P249" i="6"/>
  <c r="O249" i="6"/>
  <c r="P248" i="6"/>
  <c r="O248" i="6"/>
  <c r="P247" i="6"/>
  <c r="O247" i="6"/>
  <c r="P246" i="6"/>
  <c r="O246" i="6"/>
  <c r="P245" i="6"/>
  <c r="O245" i="6"/>
  <c r="P244" i="6"/>
  <c r="O244" i="6"/>
  <c r="P243" i="6"/>
  <c r="O243" i="6"/>
  <c r="P242" i="6"/>
  <c r="O242" i="6"/>
  <c r="P241" i="6"/>
  <c r="O241" i="6"/>
  <c r="P240" i="6"/>
  <c r="O240" i="6"/>
  <c r="P239" i="6"/>
  <c r="O239" i="6"/>
  <c r="P238" i="6"/>
  <c r="O238" i="6"/>
  <c r="P237" i="6"/>
  <c r="O237" i="6"/>
  <c r="P236" i="6"/>
  <c r="O236" i="6"/>
  <c r="P235" i="6"/>
  <c r="O235" i="6"/>
  <c r="P234" i="6"/>
  <c r="O234" i="6"/>
  <c r="P233" i="6"/>
  <c r="O233" i="6"/>
  <c r="P232" i="6"/>
  <c r="O232" i="6"/>
  <c r="P231" i="6"/>
  <c r="O231" i="6"/>
  <c r="P230" i="6"/>
  <c r="O230" i="6"/>
  <c r="P229" i="6"/>
  <c r="O229" i="6"/>
  <c r="P228" i="6"/>
  <c r="O228" i="6"/>
  <c r="P227" i="6"/>
  <c r="O227" i="6"/>
  <c r="P226" i="6"/>
  <c r="O226" i="6"/>
  <c r="P225" i="6"/>
  <c r="O225" i="6"/>
  <c r="P224" i="6"/>
  <c r="O224" i="6"/>
  <c r="P223" i="6"/>
  <c r="O223" i="6"/>
  <c r="P222" i="6"/>
  <c r="O222" i="6"/>
  <c r="P221" i="6"/>
  <c r="O221" i="6"/>
  <c r="P220" i="6"/>
  <c r="O220" i="6"/>
  <c r="P219" i="6"/>
  <c r="O219" i="6"/>
  <c r="P218" i="6"/>
  <c r="O218" i="6"/>
  <c r="P217" i="6"/>
  <c r="O217" i="6"/>
  <c r="P216" i="6"/>
  <c r="O216" i="6"/>
  <c r="P215" i="6"/>
  <c r="O215" i="6"/>
  <c r="P214" i="6"/>
  <c r="O214" i="6"/>
  <c r="P213" i="6"/>
  <c r="O213" i="6"/>
  <c r="P212" i="6"/>
  <c r="O212" i="6"/>
  <c r="P211" i="6"/>
  <c r="O211" i="6"/>
  <c r="P210" i="6"/>
  <c r="O210" i="6"/>
  <c r="P209" i="6"/>
  <c r="O209" i="6"/>
  <c r="P208" i="6"/>
  <c r="O208" i="6"/>
  <c r="P207" i="6"/>
  <c r="O207" i="6"/>
  <c r="P206" i="6"/>
  <c r="O206" i="6"/>
  <c r="P205" i="6"/>
  <c r="O205" i="6"/>
  <c r="P204" i="6"/>
  <c r="O204" i="6"/>
  <c r="P203" i="6"/>
  <c r="O203" i="6"/>
  <c r="P202" i="6"/>
  <c r="O202" i="6"/>
  <c r="P201" i="6"/>
  <c r="O201" i="6"/>
  <c r="P200" i="6"/>
  <c r="O200" i="6"/>
  <c r="P199" i="6"/>
  <c r="O199" i="6"/>
  <c r="P198" i="6"/>
  <c r="O198" i="6"/>
  <c r="P197" i="6"/>
  <c r="O197" i="6"/>
  <c r="P196" i="6"/>
  <c r="O196" i="6"/>
  <c r="P195" i="6"/>
  <c r="O195" i="6"/>
  <c r="P194" i="6"/>
  <c r="O194" i="6"/>
  <c r="P193" i="6"/>
  <c r="O193" i="6"/>
  <c r="P192" i="6"/>
  <c r="O192" i="6"/>
  <c r="P191" i="6"/>
  <c r="O191" i="6"/>
  <c r="P190" i="6"/>
  <c r="O190" i="6"/>
  <c r="P189" i="6"/>
  <c r="O189" i="6"/>
  <c r="P188" i="6"/>
  <c r="O188" i="6"/>
  <c r="P187" i="6"/>
  <c r="O187" i="6"/>
  <c r="P186" i="6"/>
  <c r="O186" i="6"/>
  <c r="P185" i="6"/>
  <c r="O185" i="6"/>
  <c r="P184" i="6"/>
  <c r="O184" i="6"/>
  <c r="P183" i="6"/>
  <c r="O183" i="6"/>
  <c r="P182" i="6"/>
  <c r="O182" i="6"/>
  <c r="P181" i="6"/>
  <c r="O181" i="6"/>
  <c r="P180" i="6"/>
  <c r="O180" i="6"/>
  <c r="P179" i="6"/>
  <c r="O179" i="6"/>
  <c r="P178" i="6"/>
  <c r="O178" i="6"/>
  <c r="P177" i="6"/>
  <c r="O177" i="6"/>
  <c r="P176" i="6"/>
  <c r="O176" i="6"/>
  <c r="P175" i="6"/>
  <c r="O175" i="6"/>
  <c r="P174" i="6"/>
  <c r="O174" i="6"/>
  <c r="P173" i="6"/>
  <c r="O173" i="6"/>
  <c r="P172" i="6"/>
  <c r="O172" i="6"/>
  <c r="P171" i="6"/>
  <c r="O171" i="6"/>
  <c r="P170" i="6"/>
  <c r="O170" i="6"/>
  <c r="P169" i="6"/>
  <c r="O169" i="6"/>
  <c r="P168" i="6"/>
  <c r="O168" i="6"/>
  <c r="P167" i="6"/>
  <c r="O167" i="6"/>
  <c r="P166" i="6"/>
  <c r="O166" i="6"/>
  <c r="P165" i="6"/>
  <c r="O165" i="6"/>
  <c r="P164" i="6"/>
  <c r="O164" i="6"/>
  <c r="P163" i="6"/>
  <c r="O163" i="6"/>
  <c r="P162" i="6"/>
  <c r="O162" i="6"/>
  <c r="P161" i="6"/>
  <c r="O161" i="6"/>
  <c r="P160" i="6"/>
  <c r="O160" i="6"/>
  <c r="P159" i="6"/>
  <c r="O159" i="6"/>
  <c r="P158" i="6"/>
  <c r="O158" i="6"/>
  <c r="P157" i="6"/>
  <c r="O157" i="6"/>
  <c r="P156" i="6"/>
  <c r="O156" i="6"/>
  <c r="P155" i="6"/>
  <c r="O155" i="6"/>
  <c r="P154" i="6"/>
  <c r="O154" i="6"/>
  <c r="P153" i="6"/>
  <c r="O153" i="6"/>
  <c r="P152" i="6"/>
  <c r="O152" i="6"/>
  <c r="P151" i="6"/>
  <c r="O151" i="6"/>
  <c r="P150" i="6"/>
  <c r="O150" i="6"/>
  <c r="P149" i="6"/>
  <c r="O149" i="6"/>
  <c r="P148" i="6"/>
  <c r="O148" i="6"/>
  <c r="P147" i="6"/>
  <c r="O147" i="6"/>
  <c r="P146" i="6"/>
  <c r="O146" i="6"/>
  <c r="P145" i="6"/>
  <c r="O145" i="6"/>
  <c r="P144" i="6"/>
  <c r="O144" i="6"/>
  <c r="P143" i="6"/>
  <c r="O143" i="6"/>
  <c r="P142" i="6"/>
  <c r="O142" i="6"/>
  <c r="P141" i="6"/>
  <c r="O141" i="6"/>
  <c r="P140" i="6"/>
  <c r="O140" i="6"/>
  <c r="P139" i="6"/>
  <c r="O139" i="6"/>
  <c r="P138" i="6"/>
  <c r="O138" i="6"/>
  <c r="P137" i="6"/>
  <c r="O137" i="6"/>
  <c r="P136" i="6"/>
  <c r="O136" i="6"/>
  <c r="P135" i="6"/>
  <c r="O135" i="6"/>
  <c r="P134" i="6"/>
  <c r="O134" i="6"/>
  <c r="P133" i="6"/>
  <c r="O133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6" i="6"/>
  <c r="O126" i="6"/>
  <c r="P125" i="6"/>
  <c r="O125" i="6"/>
  <c r="P124" i="6"/>
  <c r="O124" i="6"/>
  <c r="P123" i="6"/>
  <c r="O123" i="6"/>
  <c r="P122" i="6"/>
  <c r="O122" i="6"/>
  <c r="P121" i="6"/>
  <c r="O121" i="6"/>
  <c r="P120" i="6"/>
  <c r="O120" i="6"/>
  <c r="P119" i="6"/>
  <c r="O119" i="6"/>
  <c r="P118" i="6"/>
  <c r="O118" i="6"/>
  <c r="P117" i="6"/>
  <c r="O117" i="6"/>
  <c r="P116" i="6"/>
  <c r="O116" i="6"/>
  <c r="P115" i="6"/>
  <c r="O115" i="6"/>
  <c r="P114" i="6"/>
  <c r="O114" i="6"/>
  <c r="P113" i="6"/>
  <c r="O113" i="6"/>
  <c r="P112" i="6"/>
  <c r="O112" i="6"/>
  <c r="P111" i="6"/>
  <c r="O111" i="6"/>
  <c r="P110" i="6"/>
  <c r="O110" i="6"/>
  <c r="P109" i="6"/>
  <c r="O109" i="6"/>
  <c r="P108" i="6"/>
  <c r="O108" i="6"/>
  <c r="P107" i="6"/>
  <c r="O107" i="6"/>
  <c r="P106" i="6"/>
  <c r="O106" i="6"/>
  <c r="P105" i="6"/>
  <c r="O105" i="6"/>
  <c r="P104" i="6"/>
  <c r="O104" i="6"/>
  <c r="P103" i="6"/>
  <c r="O103" i="6"/>
  <c r="P102" i="6"/>
  <c r="O102" i="6"/>
  <c r="P101" i="6"/>
  <c r="O101" i="6"/>
  <c r="P100" i="6"/>
  <c r="O100" i="6"/>
  <c r="P99" i="6"/>
  <c r="O99" i="6"/>
  <c r="P98" i="6"/>
  <c r="O98" i="6"/>
  <c r="P97" i="6"/>
  <c r="O97" i="6"/>
  <c r="P96" i="6"/>
  <c r="O96" i="6"/>
  <c r="P95" i="6"/>
  <c r="O95" i="6"/>
  <c r="P94" i="6"/>
  <c r="O94" i="6"/>
  <c r="P93" i="6"/>
  <c r="O93" i="6"/>
  <c r="P92" i="6"/>
  <c r="O92" i="6"/>
  <c r="P91" i="6"/>
  <c r="O91" i="6"/>
  <c r="P90" i="6"/>
  <c r="O90" i="6"/>
  <c r="P89" i="6"/>
  <c r="O89" i="6"/>
  <c r="P88" i="6"/>
  <c r="O88" i="6"/>
  <c r="P87" i="6"/>
  <c r="O87" i="6"/>
  <c r="P86" i="6"/>
  <c r="O86" i="6"/>
  <c r="P85" i="6"/>
  <c r="O85" i="6"/>
  <c r="P84" i="6"/>
  <c r="O84" i="6"/>
  <c r="P83" i="6"/>
  <c r="O83" i="6"/>
  <c r="P82" i="6"/>
  <c r="O82" i="6"/>
  <c r="P81" i="6"/>
  <c r="O81" i="6"/>
  <c r="P80" i="6"/>
  <c r="O80" i="6"/>
  <c r="P79" i="6"/>
  <c r="O79" i="6"/>
  <c r="P78" i="6"/>
  <c r="O78" i="6"/>
  <c r="P77" i="6"/>
  <c r="O77" i="6"/>
  <c r="P76" i="6"/>
  <c r="O76" i="6"/>
  <c r="P75" i="6"/>
  <c r="O75" i="6"/>
  <c r="P74" i="6"/>
  <c r="O74" i="6"/>
  <c r="P73" i="6"/>
  <c r="O73" i="6"/>
  <c r="P72" i="6"/>
  <c r="O72" i="6"/>
  <c r="P71" i="6"/>
  <c r="O71" i="6"/>
  <c r="P70" i="6"/>
  <c r="O70" i="6"/>
  <c r="P69" i="6"/>
  <c r="O69" i="6"/>
  <c r="P68" i="6"/>
  <c r="O68" i="6"/>
  <c r="P67" i="6"/>
  <c r="O67" i="6"/>
  <c r="P66" i="6"/>
  <c r="O66" i="6"/>
  <c r="P65" i="6"/>
  <c r="O65" i="6"/>
  <c r="P64" i="6"/>
  <c r="O64" i="6"/>
  <c r="P63" i="6"/>
  <c r="O63" i="6"/>
  <c r="P62" i="6"/>
  <c r="O62" i="6"/>
  <c r="P61" i="6"/>
  <c r="O61" i="6"/>
  <c r="P60" i="6"/>
  <c r="O60" i="6"/>
  <c r="P59" i="6"/>
  <c r="O59" i="6"/>
  <c r="P58" i="6"/>
  <c r="O58" i="6"/>
  <c r="P57" i="6"/>
  <c r="O57" i="6"/>
  <c r="P56" i="6"/>
  <c r="O56" i="6"/>
  <c r="P55" i="6"/>
  <c r="O55" i="6"/>
  <c r="P54" i="6"/>
  <c r="O54" i="6"/>
  <c r="P53" i="6"/>
  <c r="O53" i="6"/>
  <c r="P52" i="6"/>
  <c r="O52" i="6"/>
  <c r="P51" i="6"/>
  <c r="O51" i="6"/>
  <c r="P50" i="6"/>
  <c r="O50" i="6"/>
  <c r="P49" i="6"/>
  <c r="O49" i="6"/>
  <c r="P48" i="6"/>
  <c r="O48" i="6"/>
  <c r="P47" i="6"/>
  <c r="O47" i="6"/>
  <c r="P46" i="6"/>
  <c r="O46" i="6"/>
  <c r="P45" i="6"/>
  <c r="O45" i="6"/>
  <c r="P44" i="6"/>
  <c r="O44" i="6"/>
  <c r="P43" i="6"/>
  <c r="O43" i="6"/>
  <c r="P42" i="6"/>
  <c r="O42" i="6"/>
  <c r="P41" i="6"/>
  <c r="O41" i="6"/>
  <c r="P40" i="6"/>
  <c r="O40" i="6"/>
  <c r="P39" i="6"/>
  <c r="O39" i="6"/>
  <c r="P38" i="6"/>
  <c r="O38" i="6"/>
  <c r="P37" i="6"/>
  <c r="O37" i="6"/>
  <c r="P36" i="6"/>
  <c r="O36" i="6"/>
  <c r="P35" i="6"/>
  <c r="O35" i="6"/>
  <c r="P34" i="6"/>
  <c r="O34" i="6"/>
  <c r="P33" i="6"/>
  <c r="O33" i="6"/>
  <c r="P32" i="6"/>
  <c r="O32" i="6"/>
  <c r="P31" i="6"/>
  <c r="O31" i="6"/>
  <c r="P30" i="6"/>
  <c r="O30" i="6"/>
  <c r="P29" i="6"/>
  <c r="O29" i="6"/>
  <c r="P28" i="6"/>
  <c r="O28" i="6"/>
  <c r="P27" i="6"/>
  <c r="O27" i="6"/>
  <c r="P26" i="6"/>
  <c r="O26" i="6"/>
  <c r="P25" i="6"/>
  <c r="O25" i="6"/>
  <c r="P24" i="6"/>
  <c r="O24" i="6"/>
  <c r="P23" i="6"/>
  <c r="O23" i="6"/>
  <c r="P22" i="6"/>
  <c r="O22" i="6"/>
  <c r="P21" i="6"/>
  <c r="O21" i="6"/>
  <c r="P20" i="6"/>
  <c r="O20" i="6"/>
  <c r="P19" i="6"/>
  <c r="O19" i="6"/>
  <c r="P18" i="6"/>
  <c r="O18" i="6"/>
  <c r="P17" i="6"/>
  <c r="O17" i="6"/>
  <c r="P16" i="6"/>
  <c r="O16" i="6"/>
  <c r="P15" i="6"/>
  <c r="O15" i="6"/>
  <c r="P14" i="6"/>
  <c r="O14" i="6"/>
  <c r="P13" i="6"/>
  <c r="O13" i="6"/>
  <c r="P12" i="6"/>
  <c r="O12" i="6"/>
  <c r="P11" i="6"/>
  <c r="O11" i="6"/>
  <c r="P10" i="6"/>
  <c r="O10" i="6"/>
  <c r="P9" i="6"/>
  <c r="O9" i="6"/>
  <c r="P8" i="6"/>
  <c r="O8" i="6"/>
  <c r="P7" i="6"/>
  <c r="O7" i="6"/>
  <c r="P6" i="6"/>
  <c r="O6" i="6"/>
  <c r="P5" i="6"/>
  <c r="O5" i="6"/>
  <c r="P4" i="6"/>
  <c r="O4" i="6"/>
  <c r="P3" i="6"/>
  <c r="O3" i="6"/>
  <c r="P2" i="6"/>
  <c r="O2" i="6"/>
  <c r="R18" i="4" l="1" a="1"/>
  <c r="AM30" i="6" a="1"/>
  <c r="AM29" i="4" l="1" a="1"/>
  <c r="BH18" i="6" a="1"/>
  <c r="AP96" i="4" l="1"/>
  <c r="AP93" i="4"/>
  <c r="AP88" i="4"/>
  <c r="AP87" i="4"/>
  <c r="AP86" i="4"/>
  <c r="AP85" i="4"/>
  <c r="AP81" i="4"/>
  <c r="AP80" i="4"/>
  <c r="AP79" i="4"/>
  <c r="AP77" i="4"/>
  <c r="AP73" i="4"/>
  <c r="AP71" i="4"/>
  <c r="AP69" i="4"/>
  <c r="AP66" i="4"/>
  <c r="AP64" i="4"/>
  <c r="AP61" i="4"/>
  <c r="AP59" i="4"/>
  <c r="AP57" i="4"/>
  <c r="AP54" i="4"/>
  <c r="AP52" i="4"/>
  <c r="AP51" i="4"/>
  <c r="AP49" i="4"/>
  <c r="AP48" i="4"/>
  <c r="AP47" i="4"/>
  <c r="AP45" i="4"/>
  <c r="AP43" i="4"/>
  <c r="AP40" i="4"/>
  <c r="AP39" i="4"/>
  <c r="AP37" i="4"/>
  <c r="AP58" i="4"/>
  <c r="AP70" i="4"/>
  <c r="AP135" i="4"/>
  <c r="AP133" i="4"/>
  <c r="AP107" i="4"/>
  <c r="AP99" i="4"/>
  <c r="AP36" i="4"/>
  <c r="AP34" i="4"/>
  <c r="AP32" i="4"/>
  <c r="AP31" i="4"/>
  <c r="AP29" i="4"/>
  <c r="AP140" i="4"/>
  <c r="AP139" i="4"/>
  <c r="AP138" i="4"/>
  <c r="AP137" i="4"/>
  <c r="AP132" i="4"/>
  <c r="AP130" i="4"/>
  <c r="AP128" i="4"/>
  <c r="AP125" i="4"/>
  <c r="AP121" i="4"/>
  <c r="AP116" i="4"/>
  <c r="AP117" i="4"/>
  <c r="AP119" i="4"/>
  <c r="AP122" i="4"/>
  <c r="AP129" i="4"/>
  <c r="AP30" i="4"/>
  <c r="AP33" i="4"/>
  <c r="AP35" i="4"/>
  <c r="AP50" i="4"/>
  <c r="AP74" i="4"/>
  <c r="AP141" i="4"/>
  <c r="AP131" i="4"/>
  <c r="AP127" i="4"/>
  <c r="AP124" i="4"/>
  <c r="AP102" i="4"/>
  <c r="AP115" i="4"/>
  <c r="AP113" i="4"/>
  <c r="AP111" i="4"/>
  <c r="AP109" i="4"/>
  <c r="AP106" i="4"/>
  <c r="AP104" i="4"/>
  <c r="AP101" i="4"/>
  <c r="AP98" i="4"/>
  <c r="AP95" i="4"/>
  <c r="AP82" i="4"/>
  <c r="AP78" i="4"/>
  <c r="AP68" i="4"/>
  <c r="AP38" i="4"/>
  <c r="AP41" i="4"/>
  <c r="AP92" i="4"/>
  <c r="AP94" i="4"/>
  <c r="AP108" i="4"/>
  <c r="AP110" i="4"/>
  <c r="AP118" i="4"/>
  <c r="AP120" i="4"/>
  <c r="AP126" i="4"/>
  <c r="AP142" i="4"/>
  <c r="AP65" i="4"/>
  <c r="AP136" i="4"/>
  <c r="AP134" i="4"/>
  <c r="AP114" i="4"/>
  <c r="AP105" i="4"/>
  <c r="AP46" i="4"/>
  <c r="AP53" i="4"/>
  <c r="AP56" i="4"/>
  <c r="AP60" i="4"/>
  <c r="AP63" i="4"/>
  <c r="AP67" i="4"/>
  <c r="AP72" i="4"/>
  <c r="AP75" i="4"/>
  <c r="AP76" i="4"/>
  <c r="AP83" i="4"/>
  <c r="AP84" i="4"/>
  <c r="AP89" i="4"/>
  <c r="AP90" i="4"/>
  <c r="AP91" i="4"/>
  <c r="AP97" i="4"/>
  <c r="AP100" i="4"/>
  <c r="AP103" i="4"/>
  <c r="AP112" i="4"/>
  <c r="AP123" i="4"/>
  <c r="AP42" i="4"/>
  <c r="AP44" i="4"/>
  <c r="AP55" i="4"/>
  <c r="AP62" i="4"/>
  <c r="BK18" i="6" a="1"/>
  <c r="W3" i="4" l="1" a="1"/>
  <c r="X2" i="4" a="1"/>
  <c r="X3" i="4" a="1"/>
  <c r="T3" i="4" a="1"/>
  <c r="W2" i="4" a="1"/>
  <c r="T2" i="4" a="1"/>
  <c r="BN18" i="6"/>
  <c r="BN464" i="6"/>
  <c r="BN461" i="6"/>
  <c r="BN458" i="6"/>
  <c r="BN456" i="6"/>
  <c r="BN449" i="6"/>
  <c r="BN446" i="6"/>
  <c r="BN439" i="6"/>
  <c r="BN436" i="6"/>
  <c r="BN435" i="6"/>
  <c r="BN428" i="6"/>
  <c r="BN425" i="6"/>
  <c r="BN422" i="6"/>
  <c r="BN409" i="6"/>
  <c r="BN397" i="6"/>
  <c r="BN391" i="6"/>
  <c r="BN389" i="6"/>
  <c r="BN381" i="6"/>
  <c r="BN366" i="6"/>
  <c r="BN363" i="6"/>
  <c r="BN353" i="6"/>
  <c r="BN348" i="6"/>
  <c r="BN340" i="6"/>
  <c r="BN331" i="6"/>
  <c r="BN328" i="6"/>
  <c r="BN318" i="6"/>
  <c r="BN303" i="6"/>
  <c r="BN290" i="6"/>
  <c r="BN289" i="6"/>
  <c r="BN283" i="6"/>
  <c r="BN280" i="6"/>
  <c r="BN276" i="6"/>
  <c r="BN275" i="6"/>
  <c r="BN270" i="6"/>
  <c r="BN269" i="6"/>
  <c r="BN263" i="6"/>
  <c r="BN260" i="6"/>
  <c r="BN258" i="6"/>
  <c r="BN256" i="6"/>
  <c r="BN245" i="6"/>
  <c r="BN230" i="6"/>
  <c r="BN228" i="6"/>
  <c r="BN211" i="6"/>
  <c r="BN199" i="6"/>
  <c r="BN196" i="6"/>
  <c r="BN194" i="6"/>
  <c r="BN192" i="6"/>
  <c r="BN168" i="6"/>
  <c r="BN163" i="6"/>
  <c r="BN160" i="6"/>
  <c r="BN139" i="6"/>
  <c r="BN106" i="6"/>
  <c r="BN103" i="6"/>
  <c r="BN82" i="6"/>
  <c r="BN80" i="6"/>
  <c r="BN73" i="6"/>
  <c r="BN53" i="6"/>
  <c r="BN43" i="6"/>
  <c r="BN34" i="6"/>
  <c r="BN32" i="6"/>
  <c r="BN22" i="6"/>
  <c r="BN20" i="6"/>
  <c r="BN470" i="6"/>
  <c r="BN432" i="6"/>
  <c r="BN426" i="6"/>
  <c r="BN418" i="6"/>
  <c r="BN414" i="6"/>
  <c r="BN410" i="6"/>
  <c r="BN407" i="6"/>
  <c r="BN399" i="6"/>
  <c r="BN388" i="6"/>
  <c r="BN384" i="6"/>
  <c r="BN380" i="6"/>
  <c r="BN372" i="6"/>
  <c r="BN357" i="6"/>
  <c r="BN352" i="6"/>
  <c r="BN336" i="6"/>
  <c r="BN329" i="6"/>
  <c r="BN325" i="6"/>
  <c r="BN320" i="6"/>
  <c r="BN314" i="6"/>
  <c r="BN310" i="6"/>
  <c r="BN305" i="6"/>
  <c r="BN299" i="6"/>
  <c r="BN293" i="6"/>
  <c r="BN284" i="6"/>
  <c r="BN267" i="6"/>
  <c r="BN253" i="6"/>
  <c r="BN248" i="6"/>
  <c r="BN242" i="6"/>
  <c r="BN234" i="6"/>
  <c r="BN225" i="6"/>
  <c r="BN223" i="6"/>
  <c r="BN218" i="6"/>
  <c r="BN214" i="6"/>
  <c r="BN208" i="6"/>
  <c r="BN204" i="6"/>
  <c r="BN201" i="6"/>
  <c r="BN188" i="6"/>
  <c r="BN181" i="6"/>
  <c r="BN176" i="6"/>
  <c r="BN165" i="6"/>
  <c r="BN158" i="6"/>
  <c r="BN154" i="6"/>
  <c r="BN150" i="6"/>
  <c r="BN145" i="6"/>
  <c r="BN142" i="6"/>
  <c r="BN124" i="6"/>
  <c r="BN113" i="6"/>
  <c r="BN108" i="6"/>
  <c r="BN102" i="6"/>
  <c r="BN99" i="6"/>
  <c r="BN90" i="6"/>
  <c r="BN76" i="6"/>
  <c r="BN69" i="6"/>
  <c r="BN66" i="6"/>
  <c r="BN62" i="6"/>
  <c r="BN59" i="6"/>
  <c r="BN54" i="6"/>
  <c r="BN33" i="6"/>
  <c r="BN31" i="6"/>
  <c r="BN25" i="6"/>
  <c r="BN23" i="6"/>
  <c r="BN468" i="6"/>
  <c r="BN430" i="6"/>
  <c r="BN424" i="6"/>
  <c r="BN417" i="6"/>
  <c r="BN413" i="6"/>
  <c r="BN408" i="6"/>
  <c r="BN404" i="6"/>
  <c r="BN400" i="6"/>
  <c r="BN396" i="6"/>
  <c r="BN392" i="6"/>
  <c r="BN387" i="6"/>
  <c r="BN383" i="6"/>
  <c r="BN377" i="6"/>
  <c r="BN374" i="6"/>
  <c r="BN371" i="6"/>
  <c r="BN368" i="6"/>
  <c r="BN361" i="6"/>
  <c r="BN359" i="6"/>
  <c r="BN355" i="6"/>
  <c r="BN349" i="6"/>
  <c r="BN339" i="6"/>
  <c r="BN335" i="6"/>
  <c r="BN330" i="6"/>
  <c r="BN327" i="6"/>
  <c r="BN321" i="6"/>
  <c r="BN317" i="6"/>
  <c r="BN309" i="6"/>
  <c r="BN301" i="6"/>
  <c r="BN297" i="6"/>
  <c r="BN294" i="6"/>
  <c r="BN288" i="6"/>
  <c r="BN281" i="6"/>
  <c r="BN262" i="6"/>
  <c r="BN254" i="6"/>
  <c r="BN249" i="6"/>
  <c r="BN241" i="6"/>
  <c r="BN239" i="6"/>
  <c r="BN235" i="6"/>
  <c r="BN229" i="6"/>
  <c r="BN220" i="6"/>
  <c r="BN215" i="6"/>
  <c r="BN207" i="6"/>
  <c r="BN203" i="6"/>
  <c r="BN197" i="6"/>
  <c r="BN193" i="6"/>
  <c r="BN190" i="6"/>
  <c r="BN186" i="6"/>
  <c r="BN182" i="6"/>
  <c r="BN178" i="6"/>
  <c r="BN172" i="6"/>
  <c r="BN169" i="6"/>
  <c r="BN167" i="6"/>
  <c r="BN157" i="6"/>
  <c r="BN151" i="6"/>
  <c r="BN146" i="6"/>
  <c r="BN141" i="6"/>
  <c r="BN129" i="6"/>
  <c r="BN125" i="6"/>
  <c r="BN121" i="6"/>
  <c r="BN119" i="6"/>
  <c r="BN115" i="6"/>
  <c r="BN111" i="6"/>
  <c r="BN100" i="6"/>
  <c r="BN96" i="6"/>
  <c r="BN89" i="6"/>
  <c r="BN85" i="6"/>
  <c r="BN79" i="6"/>
  <c r="BN70" i="6"/>
  <c r="BN58" i="6"/>
  <c r="BN55" i="6"/>
  <c r="BN50" i="6"/>
  <c r="BN47" i="6"/>
  <c r="BN41" i="6"/>
  <c r="BN21" i="6"/>
  <c r="BN472" i="6"/>
  <c r="BN465" i="6"/>
  <c r="BN462" i="6"/>
  <c r="BN459" i="6"/>
  <c r="BN455" i="6"/>
  <c r="BN453" i="6"/>
  <c r="BN451" i="6"/>
  <c r="BN447" i="6"/>
  <c r="BN445" i="6"/>
  <c r="BN444" i="6"/>
  <c r="BN443" i="6"/>
  <c r="BN442" i="6"/>
  <c r="BN440" i="6"/>
  <c r="BN437" i="6"/>
  <c r="BN434" i="6"/>
  <c r="BN423" i="6"/>
  <c r="BN403" i="6"/>
  <c r="BN395" i="6"/>
  <c r="BN379" i="6"/>
  <c r="BN373" i="6"/>
  <c r="BN362" i="6"/>
  <c r="BN360" i="6"/>
  <c r="BN346" i="6"/>
  <c r="BN334" i="6"/>
  <c r="BN323" i="6"/>
  <c r="BN319" i="6"/>
  <c r="BN315" i="6"/>
  <c r="BN308" i="6"/>
  <c r="BN306" i="6"/>
  <c r="BN291" i="6"/>
  <c r="BN278" i="6"/>
  <c r="BN272" i="6"/>
  <c r="BN266" i="6"/>
  <c r="BN265" i="6"/>
  <c r="BN261" i="6"/>
  <c r="BN251" i="6"/>
  <c r="BN240" i="6"/>
  <c r="BN238" i="6"/>
  <c r="BN237" i="6"/>
  <c r="BN232" i="6"/>
  <c r="BN226" i="6"/>
  <c r="BN219" i="6"/>
  <c r="BN212" i="6"/>
  <c r="BN198" i="6"/>
  <c r="BN195" i="6"/>
  <c r="BN191" i="6"/>
  <c r="BN184" i="6"/>
  <c r="BN170" i="6"/>
  <c r="BN166" i="6"/>
  <c r="BN164" i="6"/>
  <c r="BN155" i="6"/>
  <c r="BN140" i="6"/>
  <c r="BN135" i="6"/>
  <c r="BN132" i="6"/>
  <c r="BN130" i="6"/>
  <c r="BN118" i="6"/>
  <c r="BN107" i="6"/>
  <c r="BN105" i="6"/>
  <c r="BN101" i="6"/>
  <c r="BN97" i="6"/>
  <c r="BN95" i="6"/>
  <c r="BN88" i="6"/>
  <c r="BN87" i="6"/>
  <c r="BN84" i="6"/>
  <c r="BN75" i="6"/>
  <c r="BN72" i="6"/>
  <c r="BN48" i="6"/>
  <c r="BN46" i="6"/>
  <c r="BN40" i="6"/>
  <c r="BN38" i="6"/>
  <c r="BN35" i="6"/>
  <c r="BN30" i="6"/>
  <c r="BN27" i="6"/>
  <c r="BN19" i="6"/>
  <c r="BN471" i="6"/>
  <c r="BN431" i="6"/>
  <c r="BN420" i="6"/>
  <c r="BN416" i="6"/>
  <c r="BN412" i="6"/>
  <c r="BN406" i="6"/>
  <c r="BN402" i="6"/>
  <c r="BN386" i="6"/>
  <c r="BN376" i="6"/>
  <c r="BN369" i="6"/>
  <c r="BN365" i="6"/>
  <c r="BN356" i="6"/>
  <c r="BN350" i="6"/>
  <c r="BN338" i="6"/>
  <c r="BN333" i="6"/>
  <c r="BN324" i="6"/>
  <c r="BN312" i="6"/>
  <c r="BN302" i="6"/>
  <c r="BN295" i="6"/>
  <c r="BN285" i="6"/>
  <c r="BN273" i="6"/>
  <c r="BN271" i="6"/>
  <c r="BN252" i="6"/>
  <c r="BN244" i="6"/>
  <c r="BN236" i="6"/>
  <c r="BN221" i="6"/>
  <c r="BN216" i="6"/>
  <c r="BN210" i="6"/>
  <c r="BN205" i="6"/>
  <c r="BN187" i="6"/>
  <c r="BN180" i="6"/>
  <c r="BN173" i="6"/>
  <c r="BN156" i="6"/>
  <c r="BN152" i="6"/>
  <c r="BN147" i="6"/>
  <c r="BN144" i="6"/>
  <c r="BN133" i="6"/>
  <c r="BN127" i="6"/>
  <c r="BN122" i="6"/>
  <c r="BN114" i="6"/>
  <c r="BN109" i="6"/>
  <c r="BN98" i="6"/>
  <c r="BN92" i="6"/>
  <c r="BN78" i="6"/>
  <c r="BN67" i="6"/>
  <c r="BN57" i="6"/>
  <c r="BN51" i="6"/>
  <c r="BN37" i="6"/>
  <c r="BN469" i="6"/>
  <c r="BN466" i="6"/>
  <c r="BN463" i="6"/>
  <c r="BN460" i="6"/>
  <c r="BN457" i="6"/>
  <c r="BN454" i="6"/>
  <c r="BN452" i="6"/>
  <c r="BN450" i="6"/>
  <c r="BN448" i="6"/>
  <c r="BN441" i="6"/>
  <c r="BN438" i="6"/>
  <c r="BN433" i="6"/>
  <c r="BN427" i="6"/>
  <c r="BN421" i="6"/>
  <c r="BN394" i="6"/>
  <c r="BN382" i="6"/>
  <c r="BN364" i="6"/>
  <c r="BN347" i="6"/>
  <c r="BN344" i="6"/>
  <c r="BN342" i="6"/>
  <c r="BN341" i="6"/>
  <c r="BN307" i="6"/>
  <c r="BN298" i="6"/>
  <c r="BN292" i="6"/>
  <c r="BN287" i="6"/>
  <c r="BN282" i="6"/>
  <c r="BN279" i="6"/>
  <c r="BN274" i="6"/>
  <c r="BN268" i="6"/>
  <c r="BN264" i="6"/>
  <c r="BN259" i="6"/>
  <c r="BN247" i="6"/>
  <c r="BN227" i="6"/>
  <c r="BN224" i="6"/>
  <c r="BN213" i="6"/>
  <c r="BN200" i="6"/>
  <c r="BN177" i="6"/>
  <c r="BN174" i="6"/>
  <c r="BN171" i="6"/>
  <c r="BN162" i="6"/>
  <c r="BN138" i="6"/>
  <c r="BN136" i="6"/>
  <c r="BN134" i="6"/>
  <c r="BN131" i="6"/>
  <c r="BN128" i="6"/>
  <c r="BN123" i="6"/>
  <c r="BN120" i="6"/>
  <c r="BN117" i="6"/>
  <c r="BN110" i="6"/>
  <c r="BN104" i="6"/>
  <c r="BN93" i="6"/>
  <c r="BN86" i="6"/>
  <c r="BN83" i="6"/>
  <c r="BN74" i="6"/>
  <c r="BN71" i="6"/>
  <c r="BN68" i="6"/>
  <c r="BN65" i="6"/>
  <c r="BN63" i="6"/>
  <c r="BN61" i="6"/>
  <c r="BN45" i="6"/>
  <c r="BN42" i="6"/>
  <c r="BN39" i="6"/>
  <c r="BN36" i="6"/>
  <c r="BN28" i="6"/>
  <c r="BN26" i="6"/>
  <c r="BN24" i="6"/>
  <c r="BN467" i="6"/>
  <c r="BN429" i="6"/>
  <c r="BN419" i="6"/>
  <c r="BN415" i="6"/>
  <c r="BN411" i="6"/>
  <c r="BN405" i="6"/>
  <c r="BN401" i="6"/>
  <c r="BN398" i="6"/>
  <c r="BN393" i="6"/>
  <c r="BN390" i="6"/>
  <c r="BN385" i="6"/>
  <c r="BN378" i="6"/>
  <c r="BN375" i="6"/>
  <c r="BN370" i="6"/>
  <c r="BN367" i="6"/>
  <c r="BN358" i="6"/>
  <c r="BN354" i="6"/>
  <c r="BN351" i="6"/>
  <c r="BN345" i="6"/>
  <c r="BN343" i="6"/>
  <c r="BN337" i="6"/>
  <c r="BN332" i="6"/>
  <c r="BN326" i="6"/>
  <c r="BN322" i="6"/>
  <c r="BN316" i="6"/>
  <c r="BN313" i="6"/>
  <c r="BN311" i="6"/>
  <c r="BN304" i="6"/>
  <c r="BN300" i="6"/>
  <c r="BN296" i="6"/>
  <c r="BN286" i="6"/>
  <c r="BN277" i="6"/>
  <c r="BN257" i="6"/>
  <c r="BN255" i="6"/>
  <c r="BN250" i="6"/>
  <c r="BN246" i="6"/>
  <c r="BN243" i="6"/>
  <c r="BN233" i="6"/>
  <c r="BN231" i="6"/>
  <c r="BN222" i="6"/>
  <c r="BN217" i="6"/>
  <c r="BN209" i="6"/>
  <c r="BN206" i="6"/>
  <c r="BN202" i="6"/>
  <c r="BN189" i="6"/>
  <c r="BN185" i="6"/>
  <c r="BN183" i="6"/>
  <c r="BN179" i="6"/>
  <c r="BN175" i="6"/>
  <c r="BN161" i="6"/>
  <c r="BN159" i="6"/>
  <c r="BN153" i="6"/>
  <c r="BN149" i="6"/>
  <c r="BN148" i="6"/>
  <c r="BN143" i="6"/>
  <c r="BN137" i="6"/>
  <c r="BN126" i="6"/>
  <c r="BN116" i="6"/>
  <c r="BN112" i="6"/>
  <c r="BN94" i="6"/>
  <c r="BN91" i="6"/>
  <c r="BN81" i="6"/>
  <c r="BN77" i="6"/>
  <c r="BN64" i="6"/>
  <c r="BN60" i="6"/>
  <c r="BN56" i="6"/>
  <c r="BN52" i="6"/>
  <c r="BN49" i="6"/>
  <c r="BN44" i="6"/>
  <c r="BN29" i="6"/>
  <c r="AA2" i="4" l="1"/>
  <c r="AA3" i="4"/>
  <c r="AU5" i="6" a="1"/>
  <c r="AT6" i="6" a="1"/>
  <c r="AU6" i="6" a="1"/>
  <c r="AP5" i="6" a="1"/>
  <c r="AT5" i="6" a="1"/>
  <c r="AP7" i="6" a="1"/>
  <c r="AP6" i="6" a="1"/>
  <c r="AD2" i="4" l="1"/>
  <c r="AU9" i="6"/>
  <c r="AU10" i="6"/>
  <c r="AU1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<sst xmlns="http://schemas.openxmlformats.org/spreadsheetml/2006/main" count="51" uniqueCount="33">
  <si>
    <t>class</t>
  </si>
  <si>
    <t>radius_mean</t>
  </si>
  <si>
    <t>texture_mean</t>
  </si>
  <si>
    <t>perimeter_mean</t>
  </si>
  <si>
    <t>area_mean</t>
  </si>
  <si>
    <t>compactness_mean</t>
  </si>
  <si>
    <t>concavity_mean</t>
  </si>
  <si>
    <t>concave_points_mean</t>
  </si>
  <si>
    <t>radius_worst</t>
  </si>
  <si>
    <t>area_worst</t>
  </si>
  <si>
    <t>concave_points_worst</t>
  </si>
  <si>
    <t>Q1</t>
  </si>
  <si>
    <t>U1</t>
  </si>
  <si>
    <t>Z1~</t>
  </si>
  <si>
    <t>W0</t>
  </si>
  <si>
    <t>Z1</t>
  </si>
  <si>
    <t>Y Predict</t>
  </si>
  <si>
    <t>Accuracy</t>
  </si>
  <si>
    <t>One hot</t>
  </si>
  <si>
    <t>W1</t>
  </si>
  <si>
    <t>Y predict</t>
  </si>
  <si>
    <t xml:space="preserve">Y class Predict </t>
  </si>
  <si>
    <t>Classification Accuracy</t>
  </si>
  <si>
    <t>No. Correct Predictions</t>
  </si>
  <si>
    <t>Z1 test</t>
  </si>
  <si>
    <t>Y Predict class</t>
  </si>
  <si>
    <t>Correct Prediction</t>
  </si>
  <si>
    <t>Confusion Matrix</t>
  </si>
  <si>
    <t>Precision</t>
  </si>
  <si>
    <t>Recall</t>
  </si>
  <si>
    <t>F1</t>
  </si>
  <si>
    <t xml:space="preserve">F1 Score 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</si>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</sst>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b/>
      <sz val="12"/>
      <color rgb="FF00000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0" xfId="0" applyFont="1"/>
    <xf numFmtId="0" fontId="20" fillId="0" borderId="10" xfId="0" applyFont="1" applyBorder="1" applyAlignment="1">
      <alignment horizontal="center" vertical="top"/>
    </xf>
    <xf numFmtId="0" fontId="14" fillId="0" borderId="0" xfId="0" applyFont="1"/>
    <xf numFmtId="0" fontId="19" fillId="33" borderId="10" xfId="0" applyFont="1" applyFill="1" applyBorder="1" applyAlignment="1">
      <alignment horizontal="right"/>
    </xf>
    <xf numFmtId="0" fontId="19" fillId="33" borderId="10" xfId="0" applyFont="1" applyFill="1" applyBorder="1"/>
    <xf numFmtId="0" fontId="19" fillId="0" borderId="10" xfId="0" applyFont="1" applyBorder="1"/>
    <xf numFmtId="0" fontId="0" fillId="34" borderId="10" xfId="0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9" fillId="33" borderId="10" xfId="0" applyFont="1" applyFill="1" applyBorder="1" applyAlignment="1">
      <alignment horizontal="right"/>
    </xf>
    <xf numFmtId="0" fontId="18" fillId="0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4.xml"/><Relationship Id="rId5" Type="http://schemas.openxmlformats.org/officeDocument/2006/relationships/customXml" Target="../ink/ink3.xml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93133</xdr:colOff>
      <xdr:row>1</xdr:row>
      <xdr:rowOff>26390</xdr:rowOff>
    </xdr:from>
    <xdr:to>
      <xdr:col>48</xdr:col>
      <xdr:colOff>795865</xdr:colOff>
      <xdr:row>7</xdr:row>
      <xdr:rowOff>54976</xdr:rowOff>
    </xdr:to>
    <xdr:pic>
      <xdr:nvPicPr>
        <xdr:cNvPr id="2" name="Picture 1" descr="Confusion Matrix - Statistics By Jim">
          <a:extLst>
            <a:ext uri="{FF2B5EF4-FFF2-40B4-BE49-F238E27FC236}">
              <a16:creationId xmlns:a16="http://schemas.microsoft.com/office/drawing/2014/main" id="{08FCE463-E280-1921-7B9F-A38592EDC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76400" y="229590"/>
          <a:ext cx="1532466" cy="124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151889</xdr:colOff>
      <xdr:row>0</xdr:row>
      <xdr:rowOff>186267</xdr:rowOff>
    </xdr:from>
    <xdr:to>
      <xdr:col>24</xdr:col>
      <xdr:colOff>732843</xdr:colOff>
      <xdr:row>15</xdr:row>
      <xdr:rowOff>84667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0AA448-84EF-D35D-4D7F-FAA118D235C3}"/>
            </a:ext>
          </a:extLst>
        </xdr:cNvPr>
        <xdr:cNvSpPr txBox="1"/>
      </xdr:nvSpPr>
      <xdr:spPr>
        <a:xfrm>
          <a:off x="16390956" y="186267"/>
          <a:ext cx="6389087" cy="294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Implementation Details</a:t>
          </a:r>
        </a:p>
        <a:p>
          <a:endParaRPr lang="en-IN" sz="1400"/>
        </a:p>
        <a:p>
          <a:r>
            <a:rPr lang="en-IN" sz="1400"/>
            <a:t>• Dataset: Wisconsin Diagnostic Breast Cancer (WDBC)</a:t>
          </a:r>
        </a:p>
        <a:p>
          <a:r>
            <a:rPr lang="en-IN" sz="1400"/>
            <a:t>• Total Samples: 569</a:t>
          </a:r>
        </a:p>
        <a:p>
          <a:r>
            <a:rPr lang="en-IN" sz="1400"/>
            <a:t>• Training Samples: 455 (80%)</a:t>
          </a:r>
        </a:p>
        <a:p>
          <a:r>
            <a:rPr lang="en-IN" sz="1400"/>
            <a:t>• Testing Samples: 114 (20%)</a:t>
          </a:r>
        </a:p>
        <a:p>
          <a:r>
            <a:rPr lang="en-IN" sz="1400"/>
            <a:t>• Number of Input Features: 10</a:t>
          </a:r>
        </a:p>
        <a:p>
          <a:r>
            <a:rPr lang="en-IN" sz="1400"/>
            <a:t>• Output Encoding: One-Hot Encoding (2 Classes)</a:t>
          </a:r>
        </a:p>
        <a:p>
          <a:r>
            <a:rPr lang="en-IN" sz="1400"/>
            <a:t>• Network Architecture:</a:t>
          </a:r>
        </a:p>
        <a:p>
          <a:r>
            <a:rPr lang="en-IN" sz="1400"/>
            <a:t>                    Input Layer: 10 Neurons</a:t>
          </a:r>
        </a:p>
        <a:p>
          <a:r>
            <a:rPr lang="en-IN" sz="1400"/>
            <a:t>                    Hidden Layer: 20 Neurons</a:t>
          </a:r>
        </a:p>
        <a:p>
          <a:r>
            <a:rPr lang="en-IN" sz="1400"/>
            <a:t>                    Output Layer: 2 Neurons</a:t>
          </a:r>
        </a:p>
        <a:p>
          <a:r>
            <a:rPr lang="en-IN" sz="1400"/>
            <a:t>• Hidden Layer Activation Function: Hyperbolic Tangent (tanh)</a:t>
          </a:r>
        </a:p>
        <a:p>
          <a:endParaRPr lang="en-GB" sz="1400"/>
        </a:p>
      </xdr:txBody>
    </xdr:sp>
    <xdr:clientData/>
  </xdr:twoCellAnchor>
  <xdr:twoCellAnchor>
    <xdr:from>
      <xdr:col>27</xdr:col>
      <xdr:colOff>711200</xdr:colOff>
      <xdr:row>6</xdr:row>
      <xdr:rowOff>135467</xdr:rowOff>
    </xdr:from>
    <xdr:to>
      <xdr:col>37</xdr:col>
      <xdr:colOff>694267</xdr:colOff>
      <xdr:row>9</xdr:row>
      <xdr:rowOff>33867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6D9ADBC1-E1C8-A129-0CAE-1B2F29C3CC20}"/>
            </a:ext>
          </a:extLst>
        </xdr:cNvPr>
        <xdr:cNvSpPr/>
      </xdr:nvSpPr>
      <xdr:spPr>
        <a:xfrm>
          <a:off x="25247600" y="1354667"/>
          <a:ext cx="8280400" cy="508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67733</xdr:colOff>
      <xdr:row>4</xdr:row>
      <xdr:rowOff>169334</xdr:rowOff>
    </xdr:from>
    <xdr:to>
      <xdr:col>35</xdr:col>
      <xdr:colOff>270933</xdr:colOff>
      <xdr:row>7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7DF7E9-1FA2-FE8B-73A0-6C1C0985FF8B}"/>
            </a:ext>
          </a:extLst>
        </xdr:cNvPr>
        <xdr:cNvSpPr txBox="1"/>
      </xdr:nvSpPr>
      <xdr:spPr>
        <a:xfrm>
          <a:off x="27093333" y="982134"/>
          <a:ext cx="4351867" cy="4402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/>
            <a:t>Measured Accuracy</a:t>
          </a:r>
          <a:r>
            <a:rPr lang="en-GB" sz="1800" baseline="0"/>
            <a:t> and other data</a:t>
          </a:r>
          <a:endParaRPr lang="en-GB" sz="1800"/>
        </a:p>
      </xdr:txBody>
    </xdr:sp>
    <xdr:clientData/>
  </xdr:twoCellAnchor>
  <xdr:twoCellAnchor editAs="oneCell">
    <xdr:from>
      <xdr:col>10</xdr:col>
      <xdr:colOff>370465</xdr:colOff>
      <xdr:row>10</xdr:row>
      <xdr:rowOff>175588</xdr:rowOff>
    </xdr:from>
    <xdr:to>
      <xdr:col>10</xdr:col>
      <xdr:colOff>370825</xdr:colOff>
      <xdr:row>10</xdr:row>
      <xdr:rowOff>175948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E5E8DD8-6C08-072A-05E8-B35ADF678FDE}"/>
                </a:ext>
              </a:extLst>
            </xdr14:cNvPr>
            <xdr14:cNvContentPartPr/>
          </xdr14:nvContentPartPr>
          <xdr14:nvPr macro=""/>
          <xdr14:xfrm>
            <a:off x="10815120" y="225576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E5E8DD8-6C08-072A-05E8-B35ADF678FD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809000" y="2249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569480</xdr:colOff>
      <xdr:row>26</xdr:row>
      <xdr:rowOff>172600</xdr:rowOff>
    </xdr:from>
    <xdr:to>
      <xdr:col>57</xdr:col>
      <xdr:colOff>569840</xdr:colOff>
      <xdr:row>26</xdr:row>
      <xdr:rowOff>172960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26BB322-29EB-46D9-0A10-B3F6BE7A0366}"/>
                </a:ext>
              </a:extLst>
            </xdr14:cNvPr>
            <xdr14:cNvContentPartPr/>
          </xdr14:nvContentPartPr>
          <xdr14:nvPr macro=""/>
          <xdr14:xfrm>
            <a:off x="49997880" y="545580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26BB322-29EB-46D9-0A10-B3F6BE7A036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9991760" y="54496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465080</xdr:colOff>
      <xdr:row>26</xdr:row>
      <xdr:rowOff>193480</xdr:rowOff>
    </xdr:from>
    <xdr:to>
      <xdr:col>57</xdr:col>
      <xdr:colOff>465440</xdr:colOff>
      <xdr:row>26</xdr:row>
      <xdr:rowOff>193840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78BBC30-5512-0C6E-55B5-B7B9BB96FBCB}"/>
                </a:ext>
              </a:extLst>
            </xdr14:cNvPr>
            <xdr14:cNvContentPartPr/>
          </xdr14:nvContentPartPr>
          <xdr14:nvPr macro=""/>
          <xdr14:xfrm>
            <a:off x="49893480" y="54766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78BBC30-5512-0C6E-55B5-B7B9BB96FBC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9887360" y="547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50</xdr:col>
      <xdr:colOff>140253</xdr:colOff>
      <xdr:row>11</xdr:row>
      <xdr:rowOff>115960</xdr:rowOff>
    </xdr:from>
    <xdr:to>
      <xdr:col>50</xdr:col>
      <xdr:colOff>140613</xdr:colOff>
      <xdr:row>11</xdr:row>
      <xdr:rowOff>116320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8C4DBF4-0A00-0140-17C5-055AF80A95D0}"/>
                </a:ext>
              </a:extLst>
            </xdr14:cNvPr>
            <xdr14:cNvContentPartPr/>
          </xdr14:nvContentPartPr>
          <xdr14:nvPr macro=""/>
          <xdr14:xfrm>
            <a:off x="43760520" y="235116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8C4DBF4-0A00-0140-17C5-055AF80A95D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3754400" y="2345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09:13:22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09:15:35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09:15:37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09:15:38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C4924B-9DE4-364F-8870-86C44A7AE919}">
  <we:reference id="wa200008175" version="1.0.0.0" store="en-GB" storeType="OMEX"/>
  <we:alternateReferences>
    <we:reference id="wa200008175" version="1.0.0.0" store="" storeType="OMEX"/>
  </we:alternateReferences>
  <we:properties>
    <we:property name="xlwingsSettingsWorkbook" value="&quot;{\&quot;startupBehavior\&quot;:\&quot;taskpane\&quot;,\&quot;workbookMode\&quot;:\&quot;developer\&quot;,\&quot;pyodideVersion\&quot;:\&quot;0.27.5\&quot;}&quot;"/>
    <we:property name="xlwingsWorkbookId" value="&quot;986ee921-ff32-4e5f-aaad-d5484f003a09&quot;"/>
    <we:property name="notebook.py" value="&quot;# %% Imports\nimport pandas as pd\nimport seaborn as sns\nimport xlwings as xw\nfrom packaging.version import Version  # type: ignore\n\n# %% Update your requirements.txt if necessary (requires restart)\nif Version(xw.__version__) &lt; Version(\&quot;0.35.0\&quot;):\n    raise ImportError(f\&quot;xlwings &gt;= 0.35.0 required, but found {xw.__version__}\&quot;)\n\n# %% Load the penguins dataset\nurl = \&quot;https:\/\/raw.githubusercontent.com\/mwaskom\/seaborn-data\/master\/penguins.csv\&quot;\ndf = pd.read_csv(url)\ndf\n\n# %% Write to Excel\nbook = xw.books.active\nsheet = book.sheets.add()\nsheet[\&quot;A1\&quot;].value = df.dropna()\nsheet.activate()\n\n# %% Read back from Excel\nawait sheet.load()\ndata = sheet[\&quot;A1\&quot;].options(pd.DataFrame, expand=\&quot;table\&quot;).value\ndata\n\n# %% Plot\nsns.jointplot(data=data, x=\&quot;flipper_length_mm\&quot;, y=\&quot;bill_length_mm\&quot;, hue=\&quot;species\&quot;)\n\n&quot;"/>
    <we:property name="requirements.txt" value="&quot;# RESTART AFTER MAKING CHANGES\n\n# Don't pin the version of packages if they are on this list:\n# https:\/\/pyodide.org\/en\/stable\/usage\/packages-in-pyodide.html\n\nxlwings==0.36.4  # required\npython-dotenv==1.2.2  # required\npyodide-http  # required\npytest  # required by tests.py tab\npandas\nmatplotlib\nseaborn\n&quot;"/>
    <we:property name="pyproject.toml" value="&quot;# RESTART AFTER MAKING CHANGES\n\n# Ruff: linter &amp; code formatter\n[tool.ruff]\nfix = true\npreview = true\n\n# Ty: type checker &amp; language server\n[tool.ty.rules]\n&quot;"/>
    <we:property name="tests.py" value="&quot;# Write pytest tests here.\n\ndef test_example():\n    assert 1 + 1 == 2\n&quot;"/>
    <we:property name="main.py" value="&quot;\&quot;\&quot;\&quot;\n# xlwings Lite Demo\n\nSelect a script in the dropdown\nabove and click the button or press\nF5 to run it.\n\nTo toggle between Developer and App\nmode, hit `Ctrl+Shift+M` or\n`Cmd+Shift+M` (macOS).\n\nTo start with an empty file, go to\nSettings &gt; Local &gt; Editor and disable\n'Load sample code for new workbooks'.\n\&quot;\&quot;\&quot;\n\nimport datetime as dt\n\nimport numpy as np\nimport pandas as pd\nimport seaborn as sns\nimport xlwings as xw\nfrom xlwings import arg, func, script\n\n\n@script(name=\&quot;Run Hello World\&quot;)\ndef hello_world(book: xw.Book):\n    \&quot;\&quot;\&quot;# Hello World\n    The classic Hello World sample\&quot;\&quot;\&quot;\n    cell = book.sheets.active[\&quot;A1\&quot;]\n    cell.value = \&quot;Hello World!\&quot;\n    cell.color = \&quot;#FFFF00\&quot;  # yellow\n\n\n@script(name=\&quot;Run Seaborn Demo\&quot;)\ndef seaborn_sample(book: xw.Book):\n    \&quot;\&quot;\&quot;# Seaborn Sample\n    This sample showcases pandas, Seaborn, and Web APIs\n    \&quot;\&quot;\&quot;\n    # Create a pandas DataFrame from a CSV on GitHub and print its info\n    df = pd.read_csv(\n        \&quot;https:\/\/raw.githubusercontent.com\/mwaskom\/seaborn-data\/master\/penguins.csv\&quot;\n    )\n    df.info()  # prints to Output pane\n\n    # Add a new sheet, write the DataFrame out, and format it as Table\n    sheet = book.sheets.add()\n\n    # Add a styled title\n    title_cell = sheet[\&quot;A1\&quot;]\n    title_cell.value = \&quot;The Penguin Dataset\&quot;\n    title_cell.font.bold = True\n    title_cell.font.size = 22\n    title_cell.font.color = \&quot;#156082\&quot;\n    title_cell.font.name = \&quot;Comic Sans MS\&quot;\n\n    # Write out the DataFrame\n    sheet[\&quot;A3\&quot;].options(index=False).value = df\n    sheet.tables.add(sheet[\&quot;A3\&quot;].resize(len(df) + 1, len(df.columns)))\n\n    # Add a Seaborn plot as picture\n    plot = sns.jointplot(\n        data=df, x=\&quot;flipper_length_mm\&quot;, y=\&quot;bill_length_mm\&quot;, hue=\&quot;species\&quot;\n    )\n    sheet.pictures.add(plot.fig, anchor=sheet[\&quot;B10\&quot;])\n\n    # Activate the new sheet\n    sheet.activate()\n\n\n@script(name=\&quot;Insert Custom Functions\&quot;)\ndef insert_custom_functions(book: xw.Book):\n    \&quot;\&quot;\&quot;# Custom Functions\n    This inserts a new sheet with a few custom functions\n    \&quot;\&quot;\&quot;\n    # This script inserts the custom functions below\n    # so you can try them out easily\n    sheet = book.sheets.add()\n    sheet[\&quot;A1\&quot;].value = \&quot;This sheet shows the usage of custom functions\&quot;\n    sheet[\&quot;A3\&quot;].value = '=HELLO(\&quot;xlwings\&quot;)'\n    sheet[\&quot;A5\&quot;].value = \&quot;=STANDARD_NORMAL(3, 4)\&quot;\n    sheet[\&quot;A10\&quot;].value = \&quot;=CORREL2(A5#)\&quot;\n    sheet.activate()\n\n\n@func\ndef hello(name: str):\n    \&quot;\&quot;\&quot;The classic Hello World function\&quot;\&quot;\&quot;\n    return f\&quot;Hello {name}!\&quot;\n\n\n@func\n@arg(\&quot;rows\&quot;, doc=\&quot;Number of rows\&quot;)\n@arg(\&quot;cols\&quot;, doc=\&quot;Number of columns\&quot;)\ndef standard_normal(rows, cols):\n    \&quot;\&quot;\&quot;Returns an array of standard normally distributed pseudo random numbers\&quot;\&quot;\&quot;\n    rng = np.random.default_rng()\n    matrix = rng.standard_normal(size=(rows, cols))\n    date_rng = pd.date_range(start=dt.datetime(2025, 6, 15), periods=rows, freq=\&quot;D\&quot;)\n    df = pd.DataFrame(\n        matrix, columns=[f\&quot;col{i + 1}\&quot; for i in range(matrix.shape[1])], index=date_rng\n    )\n    return df\n\n\n@func\ndef correl2(df: pd.DataFrame):\n    \&quot;\&quot;\&quot;Like CORREL, but it works on whole matrices instead of just 2 arrays.\n    The type hint converts the values of the range into a pandas DataFrame.\n    \&quot;\&quot;\&quot;\n    return df.corr()\n\n\n@func\ndef pinv(A):\n    A = np.array(\n        [[0 if x is None else float(x) for x in row] for row in A],\n        dtype=float\n    )\n\n    return np.linalg.pinv(A).tolist()&quot;"/>
    <we:property name="addinVersion" value="&quot;1.0.0.0-7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_xldudf_WINGMAN</we:customFunctionIds>
        <we:customFunctionIds>_xldudf_CORREL2</we:customFunctionIds>
        <we:customFunctionIds>_xldudf_HELLO</we:customFunctionIds>
        <we:customFunctionIds>_xldudf_PINV</we:customFunctionIds>
        <we:customFunctionIds>_xldudf_STANDARD_NORMAL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1C7C-C567-7341-BE0A-29059FA451BF}">
  <dimension ref="A1:BN488"/>
  <sheetViews>
    <sheetView tabSelected="1" topLeftCell="A449" zoomScale="141" zoomScaleNormal="116" workbookViewId="0">
      <selection activeCell="C463" sqref="C463"/>
    </sheetView>
  </sheetViews>
  <sheetFormatPr baseColWidth="10" defaultRowHeight="16" x14ac:dyDescent="0.2"/>
  <cols>
    <col min="1" max="1" width="11.1640625" bestFit="1" customWidth="1"/>
    <col min="2" max="2" width="12.5" bestFit="1" customWidth="1"/>
    <col min="3" max="3" width="14.6640625" bestFit="1" customWidth="1"/>
    <col min="4" max="4" width="9.83203125" bestFit="1" customWidth="1"/>
    <col min="5" max="5" width="16.6640625" bestFit="1" customWidth="1"/>
    <col min="6" max="6" width="13.6640625" bestFit="1" customWidth="1"/>
    <col min="7" max="7" width="18.5" bestFit="1" customWidth="1"/>
    <col min="8" max="8" width="11.33203125" bestFit="1" customWidth="1"/>
    <col min="9" max="9" width="10" bestFit="1" customWidth="1"/>
    <col min="10" max="10" width="18.6640625" bestFit="1" customWidth="1"/>
    <col min="66" max="66" width="14.6640625" style="1" customWidth="1"/>
  </cols>
  <sheetData>
    <row r="1" spans="1:47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M1" s="11" t="s">
        <v>0</v>
      </c>
      <c r="N1" s="4"/>
      <c r="O1" s="18" t="s">
        <v>18</v>
      </c>
      <c r="P1" s="18"/>
    </row>
    <row r="2" spans="1:47" x14ac:dyDescent="0.2">
      <c r="A2">
        <v>1.0735919586126119</v>
      </c>
      <c r="B2">
        <v>-2.111067117221451</v>
      </c>
      <c r="C2">
        <v>1.249050169221612</v>
      </c>
      <c r="D2">
        <v>0.97020478273794186</v>
      </c>
      <c r="E2">
        <v>3.207727746351885</v>
      </c>
      <c r="F2">
        <v>2.5876914301595941</v>
      </c>
      <c r="G2">
        <v>2.4729081183992578</v>
      </c>
      <c r="H2">
        <v>1.8488872758180439</v>
      </c>
      <c r="I2">
        <v>1.984064768675871</v>
      </c>
      <c r="J2">
        <v>2.219139154336025</v>
      </c>
      <c r="M2" s="13">
        <v>1</v>
      </c>
      <c r="O2" s="10">
        <f>IF(M2=0,1,0)</f>
        <v>0</v>
      </c>
      <c r="P2" s="10">
        <f>IF(M2=1,1,0)</f>
        <v>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47" x14ac:dyDescent="0.2">
      <c r="A3">
        <v>1.8113079178973239</v>
      </c>
      <c r="B3">
        <v>-0.2990227531405833</v>
      </c>
      <c r="C3">
        <v>1.668217171391047</v>
      </c>
      <c r="D3">
        <v>1.905711517867009</v>
      </c>
      <c r="E3">
        <v>-0.48985491513868301</v>
      </c>
      <c r="F3">
        <v>-5.5541674722134907E-2</v>
      </c>
      <c r="G3">
        <v>0.50657769896689775</v>
      </c>
      <c r="H3">
        <v>1.7681404015871161</v>
      </c>
      <c r="I3">
        <v>1.872478051758925</v>
      </c>
      <c r="J3">
        <v>1.030095836687247</v>
      </c>
      <c r="M3" s="13">
        <v>1</v>
      </c>
      <c r="O3" s="10">
        <f t="shared" ref="O3:O66" si="0">IF(M3=0,1,0)</f>
        <v>0</v>
      </c>
      <c r="P3" s="10">
        <f t="shared" ref="P3:P66" si="1">IF(M3=1,1,0)</f>
        <v>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47" x14ac:dyDescent="0.2">
      <c r="A4">
        <v>1.5596838697692059</v>
      </c>
      <c r="B4">
        <v>0.55428095281360079</v>
      </c>
      <c r="C4">
        <v>1.5478622895800209</v>
      </c>
      <c r="D4">
        <v>1.5516581996489309</v>
      </c>
      <c r="E4">
        <v>1.020325860256992</v>
      </c>
      <c r="F4">
        <v>1.3144267028080301</v>
      </c>
      <c r="G4">
        <v>1.9821562133803929</v>
      </c>
      <c r="H4">
        <v>1.474138962079633</v>
      </c>
      <c r="I4">
        <v>1.434987272735339</v>
      </c>
      <c r="J4">
        <v>1.8836911654779309</v>
      </c>
      <c r="M4" s="13">
        <v>1</v>
      </c>
      <c r="O4" s="10">
        <f t="shared" si="0"/>
        <v>0</v>
      </c>
      <c r="P4" s="10">
        <f t="shared" si="1"/>
        <v>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T4" s="19" t="s">
        <v>27</v>
      </c>
      <c r="AU4" s="19"/>
    </row>
    <row r="5" spans="1:47" x14ac:dyDescent="0.2">
      <c r="A5">
        <v>-0.805010309798456</v>
      </c>
      <c r="B5">
        <v>0.34095502632505459</v>
      </c>
      <c r="C5">
        <v>-0.62765595336272928</v>
      </c>
      <c r="D5">
        <v>-0.79977396012625324</v>
      </c>
      <c r="E5">
        <v>3.3248104301445589</v>
      </c>
      <c r="F5">
        <v>1.859934473046285</v>
      </c>
      <c r="G5">
        <v>1.4019443256757971</v>
      </c>
      <c r="H5">
        <v>-0.31885573238149412</v>
      </c>
      <c r="I5">
        <v>-0.58650352119024152</v>
      </c>
      <c r="J5">
        <v>2.1008338368369648</v>
      </c>
      <c r="M5" s="13">
        <v>1</v>
      </c>
      <c r="O5" s="10">
        <f t="shared" si="0"/>
        <v>0</v>
      </c>
      <c r="P5" s="10">
        <f t="shared" si="1"/>
        <v>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N5" s="20" t="s">
        <v>22</v>
      </c>
      <c r="AO5" s="20"/>
      <c r="AP5" s="8" cm="1">
        <f t="array" ref="AP5">SUMPRODUCT(--(BN18:BN472=M2:M456))/ROWS(M2:M456)*100</f>
        <v>97.362637362637358</v>
      </c>
      <c r="AQ5" s="3"/>
      <c r="AT5" s="10" cm="1">
        <f t="array" ref="AT5">SUMPRODUCT(--(M2:M456=1),--(BN18:BN472=1))</f>
        <v>182</v>
      </c>
      <c r="AU5" s="10" cm="1">
        <f t="array" ref="AU5">SUMPRODUCT(--(M2:M456=1),--(BN18:BN472=0))</f>
        <v>4</v>
      </c>
    </row>
    <row r="6" spans="1:47" x14ac:dyDescent="0.2">
      <c r="A6">
        <v>1.73124572076565</v>
      </c>
      <c r="B6">
        <v>-1.140066348377035</v>
      </c>
      <c r="C6">
        <v>1.759520874833894</v>
      </c>
      <c r="D6">
        <v>1.822235532270877</v>
      </c>
      <c r="E6">
        <v>0.51668447441866083</v>
      </c>
      <c r="F6">
        <v>1.32186544512946</v>
      </c>
      <c r="G6">
        <v>1.378940330128037</v>
      </c>
      <c r="H6">
        <v>1.260884396803079</v>
      </c>
      <c r="I6">
        <v>1.1976440970707209</v>
      </c>
      <c r="J6">
        <v>0.6781749555191573</v>
      </c>
      <c r="M6" s="13">
        <v>1</v>
      </c>
      <c r="O6" s="10">
        <f t="shared" si="0"/>
        <v>0</v>
      </c>
      <c r="P6" s="10">
        <f t="shared" si="1"/>
        <v>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N6" s="20" t="s">
        <v>23</v>
      </c>
      <c r="AO6" s="20"/>
      <c r="AP6" s="8" cm="1">
        <f t="array" ref="AP6">SUMPRODUCT(--(BN18:BN472=M2:M456))</f>
        <v>443</v>
      </c>
      <c r="AQ6" s="9">
        <v>456</v>
      </c>
      <c r="AT6" s="10" cm="1">
        <f t="array" ref="AT6">SUMPRODUCT(--(M2:M456=0),--(BN18:BN472=1))</f>
        <v>8</v>
      </c>
      <c r="AU6" s="10" cm="1">
        <f t="array" ref="AU6">SUMPRODUCT(--(M2:M456=0),--(BN18:BN472=0))</f>
        <v>261</v>
      </c>
    </row>
    <row r="7" spans="1:47" x14ac:dyDescent="0.2">
      <c r="A7">
        <v>-0.51049579892122632</v>
      </c>
      <c r="B7">
        <v>-0.80659133685471007</v>
      </c>
      <c r="C7">
        <v>-0.42056255328099879</v>
      </c>
      <c r="D7">
        <v>-0.53783207429011437</v>
      </c>
      <c r="E7">
        <v>1.208029845384931</v>
      </c>
      <c r="F7">
        <v>0.82346970959359955</v>
      </c>
      <c r="G7">
        <v>0.78058084593576449</v>
      </c>
      <c r="H7">
        <v>-0.20291150271657121</v>
      </c>
      <c r="I7">
        <v>-0.27848875814489121</v>
      </c>
      <c r="J7">
        <v>0.85188909260638435</v>
      </c>
      <c r="M7" s="13">
        <v>1</v>
      </c>
      <c r="O7" s="10">
        <f t="shared" si="0"/>
        <v>0</v>
      </c>
      <c r="P7" s="10">
        <f t="shared" si="1"/>
        <v>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N7" s="20" t="s">
        <v>17</v>
      </c>
      <c r="AO7" s="20"/>
      <c r="AP7" s="8" cm="1">
        <f t="array" ref="AP7">SUMPRODUCT(--(BN18:BN472=M2:M456))/455*100</f>
        <v>97.362637362637358</v>
      </c>
      <c r="AQ7" s="3"/>
    </row>
    <row r="8" spans="1:47" x14ac:dyDescent="0.2">
      <c r="A8">
        <v>1.147935427377738</v>
      </c>
      <c r="B8">
        <v>0.2428741405831947</v>
      </c>
      <c r="C8">
        <v>1.1162447823956521</v>
      </c>
      <c r="D8">
        <v>1.08246559095343</v>
      </c>
      <c r="E8">
        <v>7.4372113424111638E-2</v>
      </c>
      <c r="F8">
        <v>0.26432424509938762</v>
      </c>
      <c r="G8">
        <v>0.60447248002014009</v>
      </c>
      <c r="H8">
        <v>1.3312791076710671</v>
      </c>
      <c r="I8">
        <v>1.2525518466647749</v>
      </c>
      <c r="J8">
        <v>1.137918404534491</v>
      </c>
      <c r="M8" s="13">
        <v>1</v>
      </c>
      <c r="O8" s="10">
        <f t="shared" si="0"/>
        <v>0</v>
      </c>
      <c r="P8" s="10">
        <f t="shared" si="1"/>
        <v>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47" x14ac:dyDescent="0.2">
      <c r="A9">
        <v>-0.15021591182869221</v>
      </c>
      <c r="B9">
        <v>0.45129602278464709</v>
      </c>
      <c r="C9">
        <v>-0.103904709067851</v>
      </c>
      <c r="D9">
        <v>-0.2476810622870069</v>
      </c>
      <c r="E9">
        <v>1.105814803978628</v>
      </c>
      <c r="F9">
        <v>2.8268155432651491E-2</v>
      </c>
      <c r="G9">
        <v>0.2427985500192576</v>
      </c>
      <c r="H9">
        <v>0.12628729222490559</v>
      </c>
      <c r="I9">
        <v>-3.241523083088753E-3</v>
      </c>
      <c r="J9">
        <v>0.57484499466554784</v>
      </c>
      <c r="M9" s="13">
        <v>1</v>
      </c>
      <c r="O9" s="10">
        <f t="shared" si="0"/>
        <v>0</v>
      </c>
      <c r="P9" s="10">
        <f t="shared" si="1"/>
        <v>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T9" s="7" t="s">
        <v>28</v>
      </c>
      <c r="AU9" s="7">
        <f>AT5/(AT5+AT6)*100</f>
        <v>95.78947368421052</v>
      </c>
    </row>
    <row r="10" spans="1:47" x14ac:dyDescent="0.2">
      <c r="A10">
        <v>-0.3532307688411519</v>
      </c>
      <c r="B10">
        <v>0.6940462149957517</v>
      </c>
      <c r="C10">
        <v>-0.21595925420225451</v>
      </c>
      <c r="D10">
        <v>-0.41492088170546487</v>
      </c>
      <c r="E10">
        <v>1.639191474589702</v>
      </c>
      <c r="F10">
        <v>1.1718508083139401</v>
      </c>
      <c r="G10">
        <v>1.103659183406517</v>
      </c>
      <c r="H10">
        <v>-0.19877063737139539</v>
      </c>
      <c r="I10">
        <v>-0.28256255892122428</v>
      </c>
      <c r="J10">
        <v>1.329602969596259</v>
      </c>
      <c r="M10" s="13">
        <v>1</v>
      </c>
      <c r="O10" s="10">
        <f t="shared" si="0"/>
        <v>0</v>
      </c>
      <c r="P10" s="10">
        <f t="shared" si="1"/>
        <v>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T10" s="7" t="s">
        <v>29</v>
      </c>
      <c r="AU10" s="7">
        <f>AT5/(AT5+AU5)*100</f>
        <v>97.849462365591393</v>
      </c>
    </row>
    <row r="11" spans="1:47" x14ac:dyDescent="0.2">
      <c r="A11">
        <v>-0.50763643473795184</v>
      </c>
      <c r="B11">
        <v>1.2383951308630761</v>
      </c>
      <c r="C11">
        <v>-0.36246019654464118</v>
      </c>
      <c r="D11">
        <v>-0.54128625300443722</v>
      </c>
      <c r="E11">
        <v>2.501514732999242</v>
      </c>
      <c r="F11">
        <v>1.6851240284926621</v>
      </c>
      <c r="G11">
        <v>0.89662322347668377</v>
      </c>
      <c r="H11">
        <v>-0.28158794427491179</v>
      </c>
      <c r="I11">
        <v>-0.33197953355587217</v>
      </c>
      <c r="J11">
        <v>1.554233319278018</v>
      </c>
      <c r="M11" s="13">
        <v>1</v>
      </c>
      <c r="O11" s="10">
        <f t="shared" si="0"/>
        <v>0</v>
      </c>
      <c r="P11" s="10">
        <f t="shared" si="1"/>
        <v>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T11" s="7" t="s">
        <v>30</v>
      </c>
      <c r="AU11" s="7">
        <f>2*((AU9*AU10)/(AU9+AU10))</f>
        <v>96.808510638297861</v>
      </c>
    </row>
    <row r="12" spans="1:47" x14ac:dyDescent="0.2">
      <c r="A12">
        <v>0.51029721450761911</v>
      </c>
      <c r="B12">
        <v>1.0422333593793549</v>
      </c>
      <c r="C12">
        <v>0.4148663332210536</v>
      </c>
      <c r="D12">
        <v>0.38529718711262961</v>
      </c>
      <c r="E12">
        <v>-0.71194032328510581</v>
      </c>
      <c r="F12">
        <v>-0.72391267230268863</v>
      </c>
      <c r="G12">
        <v>-0.43760851829335679</v>
      </c>
      <c r="H12">
        <v>0.5672894514861303</v>
      </c>
      <c r="I12">
        <v>0.4448765623135395</v>
      </c>
      <c r="J12">
        <v>-0.26152867398286872</v>
      </c>
      <c r="M12" s="13">
        <v>1</v>
      </c>
      <c r="O12" s="10">
        <f t="shared" si="0"/>
        <v>0</v>
      </c>
      <c r="P12" s="10">
        <f t="shared" si="1"/>
        <v>1</v>
      </c>
    </row>
    <row r="13" spans="1:47" x14ac:dyDescent="0.2">
      <c r="A13">
        <v>0.44167247410904109</v>
      </c>
      <c r="B13">
        <v>-0.269598487418025</v>
      </c>
      <c r="C13">
        <v>0.45221784826585443</v>
      </c>
      <c r="D13">
        <v>0.33693868511211178</v>
      </c>
      <c r="E13">
        <v>0.44978008367998967</v>
      </c>
      <c r="F13">
        <v>0.101167830182673</v>
      </c>
      <c r="G13">
        <v>0.40152611929879672</v>
      </c>
      <c r="H13">
        <v>0.82195267021444296</v>
      </c>
      <c r="I13">
        <v>0.70878800391076324</v>
      </c>
      <c r="J13">
        <v>0.95521905345999347</v>
      </c>
      <c r="M13" s="13">
        <v>1</v>
      </c>
      <c r="O13" s="10">
        <f t="shared" si="0"/>
        <v>0</v>
      </c>
      <c r="P13" s="10">
        <f t="shared" si="1"/>
        <v>1</v>
      </c>
      <c r="AR13" t="s">
        <v>32</v>
      </c>
    </row>
    <row r="14" spans="1:47" x14ac:dyDescent="0.2">
      <c r="A14">
        <v>1.4109969322389539</v>
      </c>
      <c r="B14">
        <v>1.424748813772611</v>
      </c>
      <c r="C14">
        <v>1.6474663296994909</v>
      </c>
      <c r="D14">
        <v>1.321379618694084</v>
      </c>
      <c r="E14">
        <v>2.616738961493621</v>
      </c>
      <c r="F14">
        <v>1.4272476280163959</v>
      </c>
      <c r="G14">
        <v>1.570640293026031</v>
      </c>
      <c r="H14">
        <v>0.93375603453418976</v>
      </c>
      <c r="I14">
        <v>0.7672381889624974</v>
      </c>
      <c r="J14">
        <v>0.89082501988455587</v>
      </c>
      <c r="M14" s="13">
        <v>1</v>
      </c>
      <c r="O14" s="10">
        <f t="shared" si="0"/>
        <v>0</v>
      </c>
      <c r="P14" s="10">
        <f t="shared" si="1"/>
        <v>1</v>
      </c>
    </row>
    <row r="15" spans="1:47" x14ac:dyDescent="0.2">
      <c r="A15">
        <v>0.4616880233919598</v>
      </c>
      <c r="B15">
        <v>1.2163269315711569</v>
      </c>
      <c r="C15">
        <v>0.45636801660416598</v>
      </c>
      <c r="D15">
        <v>0.34183210495740241</v>
      </c>
      <c r="E15">
        <v>-8.9171952825973802E-2</v>
      </c>
      <c r="F15">
        <v>9.9184165563624749E-2</v>
      </c>
      <c r="G15">
        <v>8.4070980739718304E-2</v>
      </c>
      <c r="H15">
        <v>8.0737773427971921E-2</v>
      </c>
      <c r="I15">
        <v>-3.9551486524317517E-2</v>
      </c>
      <c r="J15">
        <v>-7.95780907406438E-2</v>
      </c>
      <c r="M15" s="13">
        <v>1</v>
      </c>
      <c r="O15" s="10">
        <f t="shared" si="0"/>
        <v>0</v>
      </c>
      <c r="P15" s="10">
        <f t="shared" si="1"/>
        <v>1</v>
      </c>
    </row>
    <row r="16" spans="1:47" x14ac:dyDescent="0.2">
      <c r="A16">
        <v>-0.14449718346214421</v>
      </c>
      <c r="B16">
        <v>0.88775596433592552</v>
      </c>
      <c r="C16">
        <v>3.7201014434730693E-2</v>
      </c>
      <c r="D16">
        <v>-0.24652966938223281</v>
      </c>
      <c r="E16">
        <v>2.3100938372747111</v>
      </c>
      <c r="F16">
        <v>1.505354422391419</v>
      </c>
      <c r="G16">
        <v>0.76422244910180226</v>
      </c>
      <c r="H16">
        <v>-0.29401054031043927</v>
      </c>
      <c r="I16">
        <v>-0.35624521644098589</v>
      </c>
      <c r="J16">
        <v>1.551238247948928</v>
      </c>
      <c r="M16" s="13">
        <v>1</v>
      </c>
      <c r="O16" s="10">
        <f t="shared" si="0"/>
        <v>0</v>
      </c>
      <c r="P16" s="10">
        <f t="shared" si="1"/>
        <v>1</v>
      </c>
    </row>
    <row r="17" spans="1:66" x14ac:dyDescent="0.2">
      <c r="A17">
        <v>8.7111315383055624E-2</v>
      </c>
      <c r="B17">
        <v>2.0966028811043529</v>
      </c>
      <c r="C17">
        <v>0.16710128342387279</v>
      </c>
      <c r="D17">
        <v>-1.481184729641765E-2</v>
      </c>
      <c r="E17">
        <v>1.0128920390638061</v>
      </c>
      <c r="F17">
        <v>0.89909692319481227</v>
      </c>
      <c r="G17">
        <v>0.59527088180103638</v>
      </c>
      <c r="H17">
        <v>0.20910459912842241</v>
      </c>
      <c r="I17">
        <v>7.858873598933909E-2</v>
      </c>
      <c r="J17">
        <v>0.80846055833457742</v>
      </c>
      <c r="M17" s="13">
        <v>1</v>
      </c>
      <c r="O17" s="10">
        <f t="shared" si="0"/>
        <v>0</v>
      </c>
      <c r="P17" s="10">
        <f t="shared" si="1"/>
        <v>1</v>
      </c>
      <c r="R17" s="18" t="s">
        <v>11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M17" s="18" t="s">
        <v>19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H17" s="18" t="s">
        <v>14</v>
      </c>
      <c r="BI17" s="18"/>
      <c r="BK17" s="18" t="s">
        <v>16</v>
      </c>
      <c r="BL17" s="18"/>
      <c r="BN17" s="12" t="s">
        <v>21</v>
      </c>
    </row>
    <row r="18" spans="1:66" x14ac:dyDescent="0.2">
      <c r="A18">
        <v>0.12714241394889289</v>
      </c>
      <c r="B18">
        <v>0.27965447273639188</v>
      </c>
      <c r="C18">
        <v>8.4512933491478814E-2</v>
      </c>
      <c r="D18">
        <v>5.9165146835327177E-2</v>
      </c>
      <c r="E18">
        <v>-0.61325634694556574</v>
      </c>
      <c r="F18">
        <v>-0.2160945298263488</v>
      </c>
      <c r="G18">
        <v>5.7232985933999038E-2</v>
      </c>
      <c r="H18">
        <v>0.54244425941507524</v>
      </c>
      <c r="I18">
        <v>0.42362194956745441</v>
      </c>
      <c r="J18">
        <v>0.65421438488643602</v>
      </c>
      <c r="M18" s="13">
        <v>1</v>
      </c>
      <c r="O18" s="10">
        <f t="shared" si="0"/>
        <v>0</v>
      </c>
      <c r="P18" s="10">
        <f t="shared" si="1"/>
        <v>1</v>
      </c>
      <c r="R18" s="14">
        <v>0.70171368061810213</v>
      </c>
      <c r="S18" s="14">
        <v>-0.2222841491609886</v>
      </c>
      <c r="T18" s="14">
        <v>0.15105398656882141</v>
      </c>
      <c r="U18" s="14">
        <v>7.8211362737947709E-2</v>
      </c>
      <c r="V18" s="14">
        <v>0.92549867887279258</v>
      </c>
      <c r="W18" s="14">
        <v>1.0906976065362395E-2</v>
      </c>
      <c r="X18" s="14">
        <v>0.6458279917858667</v>
      </c>
      <c r="Y18" s="14">
        <v>0.89038667097216861</v>
      </c>
      <c r="Z18" s="14">
        <v>-0.45999528560560798</v>
      </c>
      <c r="AA18" s="14">
        <v>0.89241332433575637</v>
      </c>
      <c r="AB18" s="14">
        <v>-0.90544748249695783</v>
      </c>
      <c r="AC18" s="14">
        <v>-0.8809175467202448</v>
      </c>
      <c r="AD18" s="14">
        <v>0.11023501893159859</v>
      </c>
      <c r="AE18" s="14">
        <v>0.5373576567833398</v>
      </c>
      <c r="AF18" s="14">
        <v>-0.59827420587635638</v>
      </c>
      <c r="AG18" s="14">
        <v>-7.3053587944408971E-2</v>
      </c>
      <c r="AH18" s="14">
        <v>-0.48869582763771868</v>
      </c>
      <c r="AI18" s="14">
        <v>0.37071166086059626</v>
      </c>
      <c r="AJ18" s="14">
        <v>0.9241549126869657</v>
      </c>
      <c r="AK18" s="14">
        <v>2.1811380562684279E-2</v>
      </c>
      <c r="AM18" s="14" cm="1">
        <f t="array" ref="AM18:BF27">MMULT(_xldudf_PINV(A2:J456),_xlfn.ANCHORARRAY(R34))</f>
        <v>1.2959810837282733</v>
      </c>
      <c r="AN18" s="14">
        <v>3.0160502843625827</v>
      </c>
      <c r="AO18" s="14">
        <v>-0.26303740294311023</v>
      </c>
      <c r="AP18" s="14">
        <v>0.10332552509017234</v>
      </c>
      <c r="AQ18" s="14">
        <v>1.9657699018499954</v>
      </c>
      <c r="AR18" s="14">
        <v>0.6983258628436595</v>
      </c>
      <c r="AS18" s="14">
        <v>-1.4331876638399728</v>
      </c>
      <c r="AT18" s="14">
        <v>-0.31770619857941496</v>
      </c>
      <c r="AU18" s="14">
        <v>1.4099213923561227</v>
      </c>
      <c r="AV18" s="14">
        <v>2.3811995865260602</v>
      </c>
      <c r="AW18" s="14">
        <v>-1.8653342216337523</v>
      </c>
      <c r="AX18" s="14">
        <v>0.75822432728917588</v>
      </c>
      <c r="AY18" s="14">
        <v>-0.98677381373355466</v>
      </c>
      <c r="AZ18" s="14">
        <v>2.760234355391213</v>
      </c>
      <c r="BA18" s="14">
        <v>0.10354945329191224</v>
      </c>
      <c r="BB18" s="14">
        <v>1.0607133205269934</v>
      </c>
      <c r="BC18" s="14">
        <v>-2.1509147278430092</v>
      </c>
      <c r="BD18" s="14">
        <v>-1.6215049643970312</v>
      </c>
      <c r="BE18" s="14">
        <v>-0.42329859419693289</v>
      </c>
      <c r="BF18" s="14">
        <v>0.38633783823030454</v>
      </c>
      <c r="BH18" s="14" cm="1">
        <f t="array" ref="BH18:BI37">MMULT(_xldudf_PINV(_xlfn.ANCHORARRAY(AM30)),O2:P456)</f>
        <v>-1.2055448532490529</v>
      </c>
      <c r="BI18" s="14">
        <v>-0.7722038880035158</v>
      </c>
      <c r="BK18" s="16" cm="1">
        <f t="array" ref="BK18:BL472">MMULT(_xlfn.ANCHORARRAY(AM30),_xlfn.ANCHORARRAY(BH18))</f>
        <v>-0.24659515641225851</v>
      </c>
      <c r="BL18" s="16">
        <v>0.81998806619978981</v>
      </c>
      <c r="BN18" s="17">
        <f>IF(BK18&gt;BL18,0,1)</f>
        <v>1</v>
      </c>
    </row>
    <row r="19" spans="1:66" x14ac:dyDescent="0.2">
      <c r="A19">
        <v>0.54175022052363375</v>
      </c>
      <c r="B19">
        <v>0.41451569063144988</v>
      </c>
      <c r="C19">
        <v>0.63897542348986003</v>
      </c>
      <c r="D19">
        <v>0.38817566937456521</v>
      </c>
      <c r="E19">
        <v>1.80645245143638</v>
      </c>
      <c r="F19">
        <v>1.0019995253079379</v>
      </c>
      <c r="G19">
        <v>1.340600337548439</v>
      </c>
      <c r="H19">
        <v>0.93375603453418976</v>
      </c>
      <c r="I19">
        <v>0.73712748757221014</v>
      </c>
      <c r="J19">
        <v>1.349070933235345</v>
      </c>
      <c r="M19" s="13">
        <v>1</v>
      </c>
      <c r="O19" s="10">
        <f t="shared" si="0"/>
        <v>0</v>
      </c>
      <c r="P19" s="10">
        <f t="shared" si="1"/>
        <v>1</v>
      </c>
      <c r="R19" s="14">
        <v>-0.81718526412866366</v>
      </c>
      <c r="S19" s="14">
        <v>0.14044625060322136</v>
      </c>
      <c r="T19" s="14">
        <v>0.15859641185449114</v>
      </c>
      <c r="U19" s="14">
        <v>0.38554352093781241</v>
      </c>
      <c r="V19" s="14">
        <v>0.28767660906488857</v>
      </c>
      <c r="W19" s="14">
        <v>0.86026288385553373</v>
      </c>
      <c r="X19" s="14">
        <v>-0.28730065987626752</v>
      </c>
      <c r="Y19" s="14">
        <v>-0.30843583067167146</v>
      </c>
      <c r="Z19" s="14">
        <v>-0.4378176279308541</v>
      </c>
      <c r="AA19" s="14">
        <v>0.36602391088268393</v>
      </c>
      <c r="AB19" s="14">
        <v>-0.70051650853004421</v>
      </c>
      <c r="AC19" s="14">
        <v>-0.64541205975090077</v>
      </c>
      <c r="AD19" s="14">
        <v>-0.62688982255098336</v>
      </c>
      <c r="AE19" s="14">
        <v>-0.76652292442250114</v>
      </c>
      <c r="AF19" s="14">
        <v>-0.34289687182455109</v>
      </c>
      <c r="AG19" s="14">
        <v>0.71161927406939052</v>
      </c>
      <c r="AH19" s="14">
        <v>-0.11652394202894589</v>
      </c>
      <c r="AI19" s="14">
        <v>-0.298373556054921</v>
      </c>
      <c r="AJ19" s="14">
        <v>-0.78226766735794406</v>
      </c>
      <c r="AK19" s="14">
        <v>0.59841233262454563</v>
      </c>
      <c r="AM19" s="14">
        <v>-0.4966829820784146</v>
      </c>
      <c r="AN19" s="14">
        <v>7.7910526225991317E-2</v>
      </c>
      <c r="AO19" s="14">
        <v>2.6539708695285748E-2</v>
      </c>
      <c r="AP19" s="14">
        <v>0.26679659291569735</v>
      </c>
      <c r="AQ19" s="14">
        <v>0.13734194163396832</v>
      </c>
      <c r="AR19" s="14">
        <v>0.46946062996641008</v>
      </c>
      <c r="AS19" s="14">
        <v>-0.12638455782813812</v>
      </c>
      <c r="AT19" s="14">
        <v>-0.19809772978508075</v>
      </c>
      <c r="AU19" s="14">
        <v>-0.19835009163637329</v>
      </c>
      <c r="AV19" s="14">
        <v>8.9408773791093674E-2</v>
      </c>
      <c r="AW19" s="14">
        <v>-0.15809331453456202</v>
      </c>
      <c r="AX19" s="14">
        <v>-0.26817193321177013</v>
      </c>
      <c r="AY19" s="14">
        <v>-0.18562333551217911</v>
      </c>
      <c r="AZ19" s="14">
        <v>-6.3731548668891552E-2</v>
      </c>
      <c r="BA19" s="14">
        <v>-0.29310382288983766</v>
      </c>
      <c r="BB19" s="14">
        <v>0.25974424694341669</v>
      </c>
      <c r="BC19" s="14">
        <v>-7.1564200742670669E-2</v>
      </c>
      <c r="BD19" s="14">
        <v>-9.4499671133554827E-2</v>
      </c>
      <c r="BE19" s="14">
        <v>-0.22151455662935804</v>
      </c>
      <c r="BF19" s="14">
        <v>0.42418414882755012</v>
      </c>
      <c r="BH19" s="14">
        <v>0.89687653829019909</v>
      </c>
      <c r="BI19" s="14">
        <v>0.53681233686347685</v>
      </c>
      <c r="BK19" s="16">
        <v>-0.59841971256025961</v>
      </c>
      <c r="BL19" s="16">
        <v>0.66569711989788483</v>
      </c>
      <c r="BN19" s="17">
        <f t="shared" ref="BN19:BN82" si="2">IF(BK19&gt;BL19,0,1)</f>
        <v>1</v>
      </c>
    </row>
    <row r="20" spans="1:66" x14ac:dyDescent="0.2">
      <c r="A20">
        <v>1.5939962399684939</v>
      </c>
      <c r="B20">
        <v>0.77496294573278601</v>
      </c>
      <c r="C20">
        <v>1.5478622895800209</v>
      </c>
      <c r="D20">
        <v>1.71573168857926</v>
      </c>
      <c r="E20">
        <v>-4.2710570368563142E-2</v>
      </c>
      <c r="F20">
        <v>0.70073046128999217</v>
      </c>
      <c r="G20">
        <v>1.140721176233463</v>
      </c>
      <c r="H20">
        <v>2.2505512143000979</v>
      </c>
      <c r="I20">
        <v>2.6553562879063941</v>
      </c>
      <c r="J20">
        <v>1.820794667567039</v>
      </c>
      <c r="M20" s="13">
        <v>1</v>
      </c>
      <c r="O20" s="10">
        <f t="shared" si="0"/>
        <v>0</v>
      </c>
      <c r="P20" s="10">
        <f t="shared" si="1"/>
        <v>1</v>
      </c>
      <c r="R20" s="14">
        <v>6.92955657208012E-2</v>
      </c>
      <c r="S20" s="14">
        <v>0.36022926105871167</v>
      </c>
      <c r="T20" s="14">
        <v>-0.19675043978677098</v>
      </c>
      <c r="U20" s="14">
        <v>0.25529858075656819</v>
      </c>
      <c r="V20" s="14">
        <v>0.80226543761308156</v>
      </c>
      <c r="W20" s="14">
        <v>-0.57916943072041938</v>
      </c>
      <c r="X20" s="14">
        <v>-0.97249920255347777</v>
      </c>
      <c r="Y20" s="14">
        <v>-0.50873304780963857</v>
      </c>
      <c r="Z20" s="14">
        <v>0.828182900460811</v>
      </c>
      <c r="AA20" s="14">
        <v>0.89123299675149115</v>
      </c>
      <c r="AB20" s="14">
        <v>-0.40954501502372342</v>
      </c>
      <c r="AC20" s="14">
        <v>0.90941310228589711</v>
      </c>
      <c r="AD20" s="14">
        <v>0.67916197077840712</v>
      </c>
      <c r="AE20" s="14">
        <v>0.87672651278139502</v>
      </c>
      <c r="AF20" s="14">
        <v>0.37630921275330498</v>
      </c>
      <c r="AG20" s="14">
        <v>0.47773587601934087</v>
      </c>
      <c r="AH20" s="14">
        <v>0.4972886186021952</v>
      </c>
      <c r="AI20" s="14">
        <v>0.83925887174985503</v>
      </c>
      <c r="AJ20" s="14">
        <v>-0.46994752152413821</v>
      </c>
      <c r="AK20" s="14">
        <v>-0.95580551448827444</v>
      </c>
      <c r="AM20" s="14">
        <v>-0.10008753581682275</v>
      </c>
      <c r="AN20" s="14">
        <v>-3.2579561799630827</v>
      </c>
      <c r="AO20" s="14">
        <v>0.62286737931279956</v>
      </c>
      <c r="AP20" s="14">
        <v>-3.6684745453267158E-3</v>
      </c>
      <c r="AQ20" s="14">
        <v>-0.91980990405114282</v>
      </c>
      <c r="AR20" s="14">
        <v>-0.33373669133048112</v>
      </c>
      <c r="AS20" s="14">
        <v>2.2363380177634768</v>
      </c>
      <c r="AT20" s="14">
        <v>0.90744092495753026</v>
      </c>
      <c r="AU20" s="14">
        <v>-1.5176852907916438</v>
      </c>
      <c r="AV20" s="14">
        <v>-1.5466388367509487</v>
      </c>
      <c r="AW20" s="14">
        <v>0.43851345045755052</v>
      </c>
      <c r="AX20" s="14">
        <v>0.38929056033954218</v>
      </c>
      <c r="AY20" s="14">
        <v>1.7702391135580879</v>
      </c>
      <c r="AZ20" s="14">
        <v>-2.6708479909835274</v>
      </c>
      <c r="BA20" s="14">
        <v>-4.4396517715056399E-3</v>
      </c>
      <c r="BB20" s="14">
        <v>-0.3510331274808553</v>
      </c>
      <c r="BC20" s="14">
        <v>2.0690360230407374</v>
      </c>
      <c r="BD20" s="14">
        <v>2.4250134752490164</v>
      </c>
      <c r="BE20" s="14">
        <v>1.1032679185639873</v>
      </c>
      <c r="BF20" s="14">
        <v>-1.281005185969768</v>
      </c>
      <c r="BH20" s="14">
        <v>0.49870178453091385</v>
      </c>
      <c r="BI20" s="14">
        <v>0.16822345917790724</v>
      </c>
      <c r="BK20" s="16">
        <v>-0.42583740924271846</v>
      </c>
      <c r="BL20" s="16">
        <v>0.58474348060535974</v>
      </c>
      <c r="BN20" s="17">
        <f t="shared" si="2"/>
        <v>1</v>
      </c>
    </row>
    <row r="21" spans="1:66" x14ac:dyDescent="0.2">
      <c r="A21">
        <v>-0.19882510294435199</v>
      </c>
      <c r="B21">
        <v>-1.1351623040899419</v>
      </c>
      <c r="C21">
        <v>-0.21761932153757929</v>
      </c>
      <c r="D21">
        <v>-0.28107145652545978</v>
      </c>
      <c r="E21">
        <v>-0.44060584973382771</v>
      </c>
      <c r="F21">
        <v>-0.30672320710911349</v>
      </c>
      <c r="G21">
        <v>-6.4943790419656006E-2</v>
      </c>
      <c r="H21">
        <v>-0.27744707892973608</v>
      </c>
      <c r="I21">
        <v>-0.33233377710164019</v>
      </c>
      <c r="J21">
        <v>0.1735054365674715</v>
      </c>
      <c r="M21" s="13">
        <v>0</v>
      </c>
      <c r="O21" s="10">
        <f t="shared" si="0"/>
        <v>1</v>
      </c>
      <c r="P21" s="10">
        <f t="shared" si="1"/>
        <v>0</v>
      </c>
      <c r="R21" s="14">
        <v>0.18364881611736728</v>
      </c>
      <c r="S21" s="14">
        <v>0.67490494857308159</v>
      </c>
      <c r="T21" s="14">
        <v>0.55940919025554514</v>
      </c>
      <c r="U21" s="14">
        <v>9.2567449158846182E-2</v>
      </c>
      <c r="V21" s="14">
        <v>1.2434533363014921E-4</v>
      </c>
      <c r="W21" s="14">
        <v>0.12137291090142144</v>
      </c>
      <c r="X21" s="14">
        <v>-0.97511636659710677</v>
      </c>
      <c r="Y21" s="14">
        <v>-0.52369675887609612</v>
      </c>
      <c r="Z21" s="14">
        <v>7.5702242032284373E-2</v>
      </c>
      <c r="AA21" s="14">
        <v>4.7675653998377365E-2</v>
      </c>
      <c r="AB21" s="14">
        <v>-0.92485810094510978</v>
      </c>
      <c r="AC21" s="14">
        <v>0.8695886623077147</v>
      </c>
      <c r="AD21" s="14">
        <v>-0.26899008491770249</v>
      </c>
      <c r="AE21" s="14">
        <v>0.4318040602076807</v>
      </c>
      <c r="AF21" s="14">
        <v>-0.25774364908656544</v>
      </c>
      <c r="AG21" s="14">
        <v>0.32179749579587402</v>
      </c>
      <c r="AH21" s="14">
        <v>-4.2640304895345871E-2</v>
      </c>
      <c r="AI21" s="14">
        <v>-0.46007906004348098</v>
      </c>
      <c r="AJ21" s="14">
        <v>-0.9862469815513466</v>
      </c>
      <c r="AK21" s="14">
        <v>0.31770221993845382</v>
      </c>
      <c r="AM21" s="14">
        <v>-0.4957954830282551</v>
      </c>
      <c r="AN21" s="14">
        <v>-5.5012323033062867E-2</v>
      </c>
      <c r="AO21" s="14">
        <v>-0.19197911813696142</v>
      </c>
      <c r="AP21" s="14">
        <v>0.14381511560955901</v>
      </c>
      <c r="AQ21" s="14">
        <v>-0.743665064442246</v>
      </c>
      <c r="AR21" s="14">
        <v>-0.43893788996188876</v>
      </c>
      <c r="AS21" s="14">
        <v>-0.32739143830219086</v>
      </c>
      <c r="AT21" s="14">
        <v>-0.38166481876113567</v>
      </c>
      <c r="AU21" s="14">
        <v>-1.3388140253353652E-2</v>
      </c>
      <c r="AV21" s="14">
        <v>-0.46587376033895878</v>
      </c>
      <c r="AW21" s="14">
        <v>0.51009307572721507</v>
      </c>
      <c r="AX21" s="14">
        <v>-0.93782154000852147</v>
      </c>
      <c r="AY21" s="14">
        <v>-0.36036501557572931</v>
      </c>
      <c r="AZ21" s="14">
        <v>-0.24646076795384514</v>
      </c>
      <c r="BA21" s="14">
        <v>2.7893969266395886E-2</v>
      </c>
      <c r="BB21" s="14">
        <v>-0.11809825729300065</v>
      </c>
      <c r="BC21" s="14">
        <v>0.14099908123335084</v>
      </c>
      <c r="BD21" s="14">
        <v>-0.36051738359424307</v>
      </c>
      <c r="BE21" s="14">
        <v>-0.49537969338302512</v>
      </c>
      <c r="BF21" s="14">
        <v>0.40388847924343074</v>
      </c>
      <c r="BH21" s="14">
        <v>0.58496489429933962</v>
      </c>
      <c r="BI21" s="14">
        <v>4.53029280227287E-2</v>
      </c>
      <c r="BK21" s="16">
        <v>0.51026655155428335</v>
      </c>
      <c r="BL21" s="16">
        <v>1.5930690105409662</v>
      </c>
      <c r="BN21" s="17">
        <f t="shared" si="2"/>
        <v>1</v>
      </c>
    </row>
    <row r="22" spans="1:66" x14ac:dyDescent="0.2">
      <c r="A22">
        <v>-0.33035585537495932</v>
      </c>
      <c r="B22">
        <v>-0.80413931471116318</v>
      </c>
      <c r="C22">
        <v>-0.29356740212867483</v>
      </c>
      <c r="D22">
        <v>-0.41434518525307762</v>
      </c>
      <c r="E22">
        <v>0.40889406711746817</v>
      </c>
      <c r="F22">
        <v>-0.56658327220442806</v>
      </c>
      <c r="G22">
        <v>-0.49205130775638728</v>
      </c>
      <c r="H22">
        <v>-0.4037434719575983</v>
      </c>
      <c r="I22">
        <v>-0.47527104781906282</v>
      </c>
      <c r="J22">
        <v>-0.6646652748783991</v>
      </c>
      <c r="M22" s="13">
        <v>0</v>
      </c>
      <c r="O22" s="10">
        <f t="shared" si="0"/>
        <v>1</v>
      </c>
      <c r="P22" s="10">
        <f t="shared" si="1"/>
        <v>0</v>
      </c>
      <c r="R22" s="14">
        <v>0.16804549472556585</v>
      </c>
      <c r="S22" s="14">
        <v>0.93420243171917439</v>
      </c>
      <c r="T22" s="14">
        <v>-0.55780226867840366</v>
      </c>
      <c r="U22" s="14">
        <v>-9.3066361114198859E-2</v>
      </c>
      <c r="V22" s="14">
        <v>0.34888980059005448</v>
      </c>
      <c r="W22" s="14">
        <v>-0.15730503660106265</v>
      </c>
      <c r="X22" s="14">
        <v>-3.8195770273293572E-2</v>
      </c>
      <c r="Y22" s="14">
        <v>-0.80486828838810665</v>
      </c>
      <c r="Z22" s="14">
        <v>-0.33647530357988464</v>
      </c>
      <c r="AA22" s="14">
        <v>0.83054747975837451</v>
      </c>
      <c r="AB22" s="14">
        <v>0.89873613438257749</v>
      </c>
      <c r="AC22" s="14">
        <v>-0.61799217969688613</v>
      </c>
      <c r="AD22" s="14">
        <v>5.2741649030352056E-2</v>
      </c>
      <c r="AE22" s="14">
        <v>0.97332482736291381</v>
      </c>
      <c r="AF22" s="14">
        <v>0.21560313131869124</v>
      </c>
      <c r="AG22" s="14">
        <v>0.77704583380376602</v>
      </c>
      <c r="AH22" s="14">
        <v>-0.30571734796408712</v>
      </c>
      <c r="AI22" s="14">
        <v>-0.7436742121768225</v>
      </c>
      <c r="AJ22" s="14">
        <v>-0.93344761911594798</v>
      </c>
      <c r="AK22" s="14">
        <v>0.38430260150149254</v>
      </c>
      <c r="AM22" s="14">
        <v>0.11434445778997437</v>
      </c>
      <c r="AN22" s="14">
        <v>0.29040489322149587</v>
      </c>
      <c r="AO22" s="14">
        <v>-0.25029884725429868</v>
      </c>
      <c r="AP22" s="14">
        <v>-0.13598700592992707</v>
      </c>
      <c r="AQ22" s="14">
        <v>0.13160112017219078</v>
      </c>
      <c r="AR22" s="14">
        <v>-5.5573195521375685E-2</v>
      </c>
      <c r="AS22" s="14">
        <v>-4.1743907943952427E-2</v>
      </c>
      <c r="AT22" s="14">
        <v>-0.32163518560789561</v>
      </c>
      <c r="AU22" s="14">
        <v>-0.16000462139712449</v>
      </c>
      <c r="AV22" s="14">
        <v>0.32584933553114892</v>
      </c>
      <c r="AW22" s="14">
        <v>0.28507865677112043</v>
      </c>
      <c r="AX22" s="14">
        <v>-0.20667727404440064</v>
      </c>
      <c r="AY22" s="14">
        <v>3.3036735820413346E-2</v>
      </c>
      <c r="AZ22" s="14">
        <v>0.26539428986254854</v>
      </c>
      <c r="BA22" s="14">
        <v>0.13665228792119943</v>
      </c>
      <c r="BB22" s="14">
        <v>0.35228304620386236</v>
      </c>
      <c r="BC22" s="14">
        <v>-0.27485527211218591</v>
      </c>
      <c r="BD22" s="14">
        <v>-0.19603173634211957</v>
      </c>
      <c r="BE22" s="14">
        <v>-0.14042662707448392</v>
      </c>
      <c r="BF22" s="14">
        <v>0.29311917237723889</v>
      </c>
      <c r="BH22" s="14">
        <v>-0.8887808161570655</v>
      </c>
      <c r="BI22" s="14">
        <v>-1.3729225369557927</v>
      </c>
      <c r="BK22" s="16">
        <v>-0.70634236762803138</v>
      </c>
      <c r="BL22" s="16">
        <v>0.29108963232461849</v>
      </c>
      <c r="BN22" s="17">
        <f t="shared" si="2"/>
        <v>1</v>
      </c>
    </row>
    <row r="23" spans="1:66" x14ac:dyDescent="0.2">
      <c r="A23">
        <v>-1.352864487313769</v>
      </c>
      <c r="B23">
        <v>-1.6059505556508711</v>
      </c>
      <c r="C23">
        <v>-1.3431449748875861</v>
      </c>
      <c r="D23">
        <v>-1.1227396699154271</v>
      </c>
      <c r="E23">
        <v>-0.74483498206495236</v>
      </c>
      <c r="F23">
        <v>-0.76643748257353439</v>
      </c>
      <c r="G23">
        <v>-0.75634165660508879</v>
      </c>
      <c r="H23">
        <v>-1.2878182231526349</v>
      </c>
      <c r="I23">
        <v>-1.0342673630411019</v>
      </c>
      <c r="J23">
        <v>-0.8228050410543577</v>
      </c>
      <c r="M23" s="13">
        <v>0</v>
      </c>
      <c r="O23" s="10">
        <f t="shared" si="0"/>
        <v>1</v>
      </c>
      <c r="P23" s="10">
        <f t="shared" si="1"/>
        <v>0</v>
      </c>
      <c r="R23" s="14">
        <v>-0.81848485899194556</v>
      </c>
      <c r="S23" s="14">
        <v>0.60208743424792477</v>
      </c>
      <c r="T23" s="14">
        <v>0.45964602160863044</v>
      </c>
      <c r="U23" s="14">
        <v>-0.98813239342774839</v>
      </c>
      <c r="V23" s="14">
        <v>-0.16043092288079119</v>
      </c>
      <c r="W23" s="14">
        <v>0.32808402986518015</v>
      </c>
      <c r="X23" s="14">
        <v>-0.86233340598095221</v>
      </c>
      <c r="Y23" s="14">
        <v>-0.12969509672602908</v>
      </c>
      <c r="Z23" s="14">
        <v>-0.37579321551364786</v>
      </c>
      <c r="AA23" s="14">
        <v>-0.85656098421357219</v>
      </c>
      <c r="AB23" s="14">
        <v>0.84794372308286992</v>
      </c>
      <c r="AC23" s="14">
        <v>5.246851316332779E-2</v>
      </c>
      <c r="AD23" s="14">
        <v>-0.57947670368622894</v>
      </c>
      <c r="AE23" s="14">
        <v>0.31572774761083422</v>
      </c>
      <c r="AF23" s="14">
        <v>-0.83108233029355505</v>
      </c>
      <c r="AG23" s="14">
        <v>-0.78818122530961299</v>
      </c>
      <c r="AH23" s="14">
        <v>-0.24751236497256413</v>
      </c>
      <c r="AI23" s="14">
        <v>-0.93267071067509177</v>
      </c>
      <c r="AJ23" s="14">
        <v>-0.23924088160549117</v>
      </c>
      <c r="AK23" s="14">
        <v>0.48383228083844321</v>
      </c>
      <c r="AM23" s="14">
        <v>-0.44231253120244535</v>
      </c>
      <c r="AN23" s="14">
        <v>0.26586797189603811</v>
      </c>
      <c r="AO23" s="14">
        <v>0.23771468180230418</v>
      </c>
      <c r="AP23" s="14">
        <v>-0.42589969273686784</v>
      </c>
      <c r="AQ23" s="14">
        <v>6.7389576403459953E-2</v>
      </c>
      <c r="AR23" s="14">
        <v>0.19604276772055187</v>
      </c>
      <c r="AS23" s="14">
        <v>-0.24294132701575005</v>
      </c>
      <c r="AT23" s="14">
        <v>-4.4191427739784191E-2</v>
      </c>
      <c r="AU23" s="14">
        <v>5.009783132409797E-3</v>
      </c>
      <c r="AV23" s="14">
        <v>-0.16352237933425026</v>
      </c>
      <c r="AW23" s="14">
        <v>-0.10278882709395055</v>
      </c>
      <c r="AX23" s="14">
        <v>2.8212263740478225E-2</v>
      </c>
      <c r="AY23" s="14">
        <v>-0.32724659220979663</v>
      </c>
      <c r="AZ23" s="14">
        <v>0.13460975189317939</v>
      </c>
      <c r="BA23" s="14">
        <v>-0.29141519375795027</v>
      </c>
      <c r="BB23" s="14">
        <v>-0.201675839495568</v>
      </c>
      <c r="BC23" s="14">
        <v>-0.18361942209526355</v>
      </c>
      <c r="BD23" s="14">
        <v>-0.34341698650225932</v>
      </c>
      <c r="BE23" s="14">
        <v>-0.14015914293830301</v>
      </c>
      <c r="BF23" s="14">
        <v>0.29990908615022766</v>
      </c>
      <c r="BH23" s="14">
        <v>-2.2419411125537172</v>
      </c>
      <c r="BI23" s="14">
        <v>-1.573201548020851</v>
      </c>
      <c r="BK23" s="16">
        <v>-0.64681463320432941</v>
      </c>
      <c r="BL23" s="16">
        <v>5.8619458316773745E-2</v>
      </c>
      <c r="BN23" s="17">
        <f t="shared" si="2"/>
        <v>1</v>
      </c>
    </row>
    <row r="24" spans="1:66" x14ac:dyDescent="0.2">
      <c r="A24">
        <v>0.31586045004498192</v>
      </c>
      <c r="B24">
        <v>-1.1596825255254071</v>
      </c>
      <c r="C24">
        <v>0.40656599654443099</v>
      </c>
      <c r="D24">
        <v>0.1164469438478454</v>
      </c>
      <c r="E24">
        <v>2.0164579001438758</v>
      </c>
      <c r="F24">
        <v>1.442125112659258</v>
      </c>
      <c r="G24">
        <v>1.2066659634703729</v>
      </c>
      <c r="H24">
        <v>0.33540099215628449</v>
      </c>
      <c r="I24">
        <v>0.14536364436662311</v>
      </c>
      <c r="J24">
        <v>1.828282345889765</v>
      </c>
      <c r="M24" s="13">
        <v>1</v>
      </c>
      <c r="O24" s="10">
        <f t="shared" si="0"/>
        <v>0</v>
      </c>
      <c r="P24" s="10">
        <f t="shared" si="1"/>
        <v>1</v>
      </c>
      <c r="R24" s="14">
        <v>0.522165700169547</v>
      </c>
      <c r="S24" s="14">
        <v>0.76136396494431846</v>
      </c>
      <c r="T24" s="14">
        <v>-0.33227330183327108</v>
      </c>
      <c r="U24" s="14">
        <v>-0.44723555915370183</v>
      </c>
      <c r="V24" s="14">
        <v>0.29527385900292313</v>
      </c>
      <c r="W24" s="14">
        <v>0.60327029556717093</v>
      </c>
      <c r="X24" s="14">
        <v>-0.84270090493298722</v>
      </c>
      <c r="Y24" s="14">
        <v>-0.19498834163730661</v>
      </c>
      <c r="Z24" s="14">
        <v>0.66428659724633143</v>
      </c>
      <c r="AA24" s="14">
        <v>0.14833012085505115</v>
      </c>
      <c r="AB24" s="14">
        <v>0.71206508684511838</v>
      </c>
      <c r="AC24" s="14">
        <v>0.94144303124405937</v>
      </c>
      <c r="AD24" s="14">
        <v>-0.54799424590958989</v>
      </c>
      <c r="AE24" s="14">
        <v>0.5671922949312902</v>
      </c>
      <c r="AF24" s="14">
        <v>-0.24690187810590358</v>
      </c>
      <c r="AG24" s="14">
        <v>-0.5488249409407373</v>
      </c>
      <c r="AH24" s="14">
        <v>-0.37327251390883909</v>
      </c>
      <c r="AI24" s="14">
        <v>1.8060558801827664E-2</v>
      </c>
      <c r="AJ24" s="14">
        <v>0.98882718506390233</v>
      </c>
      <c r="AK24" s="14">
        <v>0.17855193406396053</v>
      </c>
      <c r="AM24" s="14">
        <v>0.17409376857982237</v>
      </c>
      <c r="AN24" s="14">
        <v>0.20125898743959608</v>
      </c>
      <c r="AO24" s="14">
        <v>-0.20839259874629684</v>
      </c>
      <c r="AP24" s="14">
        <v>-0.401185863568368</v>
      </c>
      <c r="AQ24" s="14">
        <v>0.12480824937945066</v>
      </c>
      <c r="AR24" s="14">
        <v>0.29654916176066848</v>
      </c>
      <c r="AS24" s="14">
        <v>-0.28574192291022943</v>
      </c>
      <c r="AT24" s="14">
        <v>-0.30671001289861677</v>
      </c>
      <c r="AU24" s="14">
        <v>0.4045714377799926</v>
      </c>
      <c r="AV24" s="14">
        <v>-4.6713719256033384E-3</v>
      </c>
      <c r="AW24" s="14">
        <v>0.5149101164673684</v>
      </c>
      <c r="AX24" s="14">
        <v>0.31867056583498193</v>
      </c>
      <c r="AY24" s="14">
        <v>-0.11009389467401763</v>
      </c>
      <c r="AZ24" s="14">
        <v>0.21629920967515237</v>
      </c>
      <c r="BA24" s="14">
        <v>-0.33377620088670568</v>
      </c>
      <c r="BB24" s="14">
        <v>-0.40163836530425878</v>
      </c>
      <c r="BC24" s="14">
        <v>-0.20183814054517973</v>
      </c>
      <c r="BD24" s="14">
        <v>-1.4554814282832669E-3</v>
      </c>
      <c r="BE24" s="14">
        <v>0.10154950218909982</v>
      </c>
      <c r="BF24" s="14">
        <v>0.18099810438883987</v>
      </c>
      <c r="BH24" s="14">
        <v>4.9887016603587755</v>
      </c>
      <c r="BI24" s="14">
        <v>-0.86237095896906146</v>
      </c>
      <c r="BK24" s="16">
        <v>-0.65316494614344545</v>
      </c>
      <c r="BL24" s="16">
        <v>0.49097047666772026</v>
      </c>
      <c r="BN24" s="17">
        <f t="shared" si="2"/>
        <v>1</v>
      </c>
    </row>
    <row r="25" spans="1:66" x14ac:dyDescent="0.2">
      <c r="A25">
        <v>1.9800104047104941</v>
      </c>
      <c r="B25">
        <v>0.99319291650842523</v>
      </c>
      <c r="C25">
        <v>1.84667440993843</v>
      </c>
      <c r="D25">
        <v>2.1302331342979852</v>
      </c>
      <c r="E25">
        <v>-5.200284686004527E-2</v>
      </c>
      <c r="F25">
        <v>0.22713053349223389</v>
      </c>
      <c r="G25">
        <v>0.91937161907391207</v>
      </c>
      <c r="H25">
        <v>2.633581258728861</v>
      </c>
      <c r="I25">
        <v>3.0397105350647671</v>
      </c>
      <c r="J25">
        <v>1.253228650704461</v>
      </c>
      <c r="M25" s="13">
        <v>1</v>
      </c>
      <c r="O25" s="10">
        <f t="shared" si="0"/>
        <v>0</v>
      </c>
      <c r="P25" s="10">
        <f t="shared" si="1"/>
        <v>1</v>
      </c>
      <c r="R25" s="14">
        <v>0.31134480413910248</v>
      </c>
      <c r="S25" s="14">
        <v>-0.32106399805759733</v>
      </c>
      <c r="T25" s="14">
        <v>0.85827497689705945</v>
      </c>
      <c r="U25" s="14">
        <v>-0.31480138370814537</v>
      </c>
      <c r="V25" s="14">
        <v>-0.53064803292895579</v>
      </c>
      <c r="W25" s="14">
        <v>-0.12505048213319081</v>
      </c>
      <c r="X25" s="14">
        <v>-0.63148779730976989</v>
      </c>
      <c r="Y25" s="14">
        <v>0.47031049604930675</v>
      </c>
      <c r="Z25" s="14">
        <v>0.86786911988161286</v>
      </c>
      <c r="AA25" s="14">
        <v>-0.75276533025119718</v>
      </c>
      <c r="AB25" s="14">
        <v>0.11316402548190263</v>
      </c>
      <c r="AC25" s="14">
        <v>0.50584713660369562</v>
      </c>
      <c r="AD25" s="14">
        <v>-0.34394459503151698</v>
      </c>
      <c r="AE25" s="14">
        <v>-0.64803367060874972</v>
      </c>
      <c r="AF25" s="14">
        <v>0.89957363784761646</v>
      </c>
      <c r="AG25" s="14">
        <v>-0.33713999429988117</v>
      </c>
      <c r="AH25" s="14">
        <v>-0.68428364515183482</v>
      </c>
      <c r="AI25" s="14">
        <v>-0.7614609334620277</v>
      </c>
      <c r="AJ25" s="14">
        <v>-0.548307094795353</v>
      </c>
      <c r="AK25" s="14">
        <v>0.44156127532799205</v>
      </c>
      <c r="AM25" s="14">
        <v>-0.76079932290899766</v>
      </c>
      <c r="AN25" s="14">
        <v>0.67070239877580473</v>
      </c>
      <c r="AO25" s="14">
        <v>0.46700225039654703</v>
      </c>
      <c r="AP25" s="14">
        <v>0.17491202443858384</v>
      </c>
      <c r="AQ25" s="14">
        <v>0.62621133793778094</v>
      </c>
      <c r="AR25" s="14">
        <v>-1.250663503491684</v>
      </c>
      <c r="AS25" s="14">
        <v>-2.1657559350464033</v>
      </c>
      <c r="AT25" s="14">
        <v>-0.42369740894741897</v>
      </c>
      <c r="AU25" s="14">
        <v>1.8515334086310773</v>
      </c>
      <c r="AV25" s="14">
        <v>-0.14644111940502899</v>
      </c>
      <c r="AW25" s="14">
        <v>0.44678295526710066</v>
      </c>
      <c r="AX25" s="14">
        <v>0.1201897893514705</v>
      </c>
      <c r="AY25" s="14">
        <v>-1.3985500851766641</v>
      </c>
      <c r="AZ25" s="14">
        <v>1.0627299315910645</v>
      </c>
      <c r="BA25" s="14">
        <v>0.27085802654744784</v>
      </c>
      <c r="BB25" s="14">
        <v>-0.69425782723937357</v>
      </c>
      <c r="BC25" s="14">
        <v>-0.30881539415976367</v>
      </c>
      <c r="BD25" s="14">
        <v>-1.0721896657599068</v>
      </c>
      <c r="BE25" s="14">
        <v>-1.587875936352716</v>
      </c>
      <c r="BF25" s="14">
        <v>0.44367979987516315</v>
      </c>
      <c r="BH25" s="14">
        <v>1.0704401058603947</v>
      </c>
      <c r="BI25" s="14">
        <v>1.3476274167628415</v>
      </c>
      <c r="BK25" s="16">
        <v>-0.63194279764815731</v>
      </c>
      <c r="BL25" s="16">
        <v>0.13993920375918273</v>
      </c>
      <c r="BN25" s="17">
        <f t="shared" si="2"/>
        <v>1</v>
      </c>
    </row>
    <row r="26" spans="1:66" x14ac:dyDescent="0.2">
      <c r="A26">
        <v>0.69043715805388561</v>
      </c>
      <c r="B26">
        <v>0.5861572406797052</v>
      </c>
      <c r="C26">
        <v>0.71782862191777375</v>
      </c>
      <c r="D26">
        <v>0.69271909268735088</v>
      </c>
      <c r="E26">
        <v>0.75642520789889955</v>
      </c>
      <c r="F26">
        <v>0.75776081908762793</v>
      </c>
      <c r="G26">
        <v>1.0568843924594069</v>
      </c>
      <c r="H26">
        <v>2.0724940044575391</v>
      </c>
      <c r="I26">
        <v>2.3312234435285948</v>
      </c>
      <c r="J26">
        <v>1.382016717855336</v>
      </c>
      <c r="M26" s="13">
        <v>1</v>
      </c>
      <c r="O26" s="10">
        <f t="shared" si="0"/>
        <v>0</v>
      </c>
      <c r="P26" s="10">
        <f t="shared" si="1"/>
        <v>1</v>
      </c>
      <c r="R26" s="14">
        <v>-0.77625566145838598</v>
      </c>
      <c r="S26" s="14">
        <v>-0.17463314509107231</v>
      </c>
      <c r="T26" s="14">
        <v>-0.31303146466438325</v>
      </c>
      <c r="U26" s="14">
        <v>0.29945473650046051</v>
      </c>
      <c r="V26" s="14">
        <v>0.62776760178787683</v>
      </c>
      <c r="W26" s="14">
        <v>-0.40981214547749567</v>
      </c>
      <c r="X26" s="14">
        <v>-0.46497743359731625</v>
      </c>
      <c r="Y26" s="14">
        <v>0.72585928515919451</v>
      </c>
      <c r="Z26" s="14">
        <v>8.6674224002031286E-2</v>
      </c>
      <c r="AA26" s="14">
        <v>-9.9880831470984255E-3</v>
      </c>
      <c r="AB26" s="14">
        <v>-0.6889872136093107</v>
      </c>
      <c r="AC26" s="14">
        <v>0.10554562399165301</v>
      </c>
      <c r="AD26" s="14">
        <v>-0.90653005578187784</v>
      </c>
      <c r="AE26" s="14">
        <v>0.87591558028099592</v>
      </c>
      <c r="AF26" s="14">
        <v>0.98482411775926515</v>
      </c>
      <c r="AG26" s="14">
        <v>0.86484629840424532</v>
      </c>
      <c r="AH26" s="14">
        <v>0.66705084032124984</v>
      </c>
      <c r="AI26" s="14">
        <v>-0.42168901332882203</v>
      </c>
      <c r="AJ26" s="14">
        <v>-0.73028272781782455</v>
      </c>
      <c r="AK26" s="14">
        <v>-0.13334994066431949</v>
      </c>
      <c r="AM26" s="14">
        <v>0.25968964200777794</v>
      </c>
      <c r="AN26" s="14">
        <v>-0.40498633072531137</v>
      </c>
      <c r="AO26" s="14">
        <v>-0.30896390906088916</v>
      </c>
      <c r="AP26" s="14">
        <v>-0.12292921738261162</v>
      </c>
      <c r="AQ26" s="14">
        <v>-0.29001108258599945</v>
      </c>
      <c r="AR26" s="14">
        <v>0.60521314665206738</v>
      </c>
      <c r="AS26" s="14">
        <v>1.4045823587950996</v>
      </c>
      <c r="AT26" s="14">
        <v>0.71413418976736376</v>
      </c>
      <c r="AU26" s="14">
        <v>-0.87730206896338969</v>
      </c>
      <c r="AV26" s="14">
        <v>-1.040261627186429E-2</v>
      </c>
      <c r="AW26" s="14">
        <v>-0.26187442835516339</v>
      </c>
      <c r="AX26" s="14">
        <v>0.14201730475173086</v>
      </c>
      <c r="AY26" s="14">
        <v>0.89724836986106871</v>
      </c>
      <c r="AZ26" s="14">
        <v>-0.62600374882072574</v>
      </c>
      <c r="BA26" s="14">
        <v>4.2484193057848549E-2</v>
      </c>
      <c r="BB26" s="14">
        <v>0.45218574559450747</v>
      </c>
      <c r="BC26" s="14">
        <v>0.32913273995306236</v>
      </c>
      <c r="BD26" s="14">
        <v>0.6288834091844745</v>
      </c>
      <c r="BE26" s="14">
        <v>1.0846798313854225</v>
      </c>
      <c r="BF26" s="14">
        <v>-0.20443410302125617</v>
      </c>
      <c r="BH26" s="14">
        <v>-0.57867546176926565</v>
      </c>
      <c r="BI26" s="14">
        <v>-0.19739202648142409</v>
      </c>
      <c r="BK26" s="16">
        <v>-0.14293578629482634</v>
      </c>
      <c r="BL26" s="16">
        <v>0.8168132214672621</v>
      </c>
      <c r="BN26" s="17">
        <f t="shared" si="2"/>
        <v>1</v>
      </c>
    </row>
    <row r="27" spans="1:66" x14ac:dyDescent="0.2">
      <c r="A27">
        <v>0.83054600303431592</v>
      </c>
      <c r="B27">
        <v>-0.63494978680645486</v>
      </c>
      <c r="C27">
        <v>0.96683872221644807</v>
      </c>
      <c r="D27">
        <v>0.71603479900902933</v>
      </c>
      <c r="E27">
        <v>2.278500097203672</v>
      </c>
      <c r="F27">
        <v>1.6305732514688369</v>
      </c>
      <c r="G27">
        <v>2.2939881530277968</v>
      </c>
      <c r="H27">
        <v>1.20084184929803</v>
      </c>
      <c r="I27">
        <v>0.99572527598291261</v>
      </c>
      <c r="J27">
        <v>2.063395445223339</v>
      </c>
      <c r="M27" s="13">
        <v>1</v>
      </c>
      <c r="O27" s="10">
        <f t="shared" si="0"/>
        <v>0</v>
      </c>
      <c r="P27" s="10">
        <f t="shared" si="1"/>
        <v>1</v>
      </c>
      <c r="R27" s="14">
        <v>0.63708213350707354</v>
      </c>
      <c r="S27" s="14">
        <v>0.2936745159941001</v>
      </c>
      <c r="T27" s="14">
        <v>0.89745576865751131</v>
      </c>
      <c r="U27" s="14">
        <v>0.90971751952105295</v>
      </c>
      <c r="V27" s="14">
        <v>-0.54491159588974791</v>
      </c>
      <c r="W27" s="14">
        <v>0.15312274096745426</v>
      </c>
      <c r="X27" s="14">
        <v>-0.41855093517960862</v>
      </c>
      <c r="Y27" s="14">
        <v>-0.77951973550230491</v>
      </c>
      <c r="Z27" s="14">
        <v>-0.96383650813945776</v>
      </c>
      <c r="AA27" s="14">
        <v>0.84989340061656193</v>
      </c>
      <c r="AB27" s="14">
        <v>-0.36765925747930583</v>
      </c>
      <c r="AC27" s="14">
        <v>0.10141623696922086</v>
      </c>
      <c r="AD27" s="14">
        <v>-0.49546642288998743</v>
      </c>
      <c r="AE27" s="14">
        <v>0.4344261101065463</v>
      </c>
      <c r="AF27" s="14">
        <v>0.72758403282280781</v>
      </c>
      <c r="AG27" s="14">
        <v>0.28459412648183036</v>
      </c>
      <c r="AH27" s="14">
        <v>0.17697362507815972</v>
      </c>
      <c r="AI27" s="14">
        <v>-0.62284420770334536</v>
      </c>
      <c r="AJ27" s="14">
        <v>-0.78837532455376946</v>
      </c>
      <c r="AK27" s="14">
        <v>-0.56298056804466912</v>
      </c>
      <c r="AM27" s="14">
        <v>0.32104905286532831</v>
      </c>
      <c r="AN27" s="14">
        <v>0.24651566371886741</v>
      </c>
      <c r="AO27" s="14">
        <v>0.2893253283728614</v>
      </c>
      <c r="AP27" s="14">
        <v>0.62530217612047523</v>
      </c>
      <c r="AQ27" s="14">
        <v>-0.20072353457610731</v>
      </c>
      <c r="AR27" s="14">
        <v>5.5527063288194883E-3</v>
      </c>
      <c r="AS27" s="14">
        <v>-0.20964074524231646</v>
      </c>
      <c r="AT27" s="14">
        <v>-0.43190269894669336</v>
      </c>
      <c r="AU27" s="14">
        <v>-0.44728336383386619</v>
      </c>
      <c r="AV27" s="14">
        <v>0.26543623334616373</v>
      </c>
      <c r="AW27" s="14">
        <v>0.11659178657199629</v>
      </c>
      <c r="AX27" s="14">
        <v>-8.5359196626970377E-2</v>
      </c>
      <c r="AY27" s="14">
        <v>-0.26012442943208619</v>
      </c>
      <c r="AZ27" s="14">
        <v>0.21674053547102676</v>
      </c>
      <c r="BA27" s="14">
        <v>0.18115908809859754</v>
      </c>
      <c r="BB27" s="14">
        <v>1.1037361847307541E-2</v>
      </c>
      <c r="BC27" s="14">
        <v>7.3411047112120376E-2</v>
      </c>
      <c r="BD27" s="14">
        <v>-0.29817255892828209</v>
      </c>
      <c r="BE27" s="14">
        <v>-0.31101149201464368</v>
      </c>
      <c r="BF27" s="14">
        <v>-0.3837363177280842</v>
      </c>
      <c r="BH27" s="14">
        <v>3.0454942645817402</v>
      </c>
      <c r="BI27" s="14">
        <v>3.6270874032048934</v>
      </c>
      <c r="BK27" s="16">
        <v>0.34046189808835048</v>
      </c>
      <c r="BL27" s="16">
        <v>1.236276040434668</v>
      </c>
      <c r="BN27" s="17">
        <f t="shared" si="2"/>
        <v>1</v>
      </c>
    </row>
    <row r="28" spans="1:66" x14ac:dyDescent="0.2">
      <c r="A28">
        <v>9.8548772116152192E-2</v>
      </c>
      <c r="B28">
        <v>0.6229375728329033</v>
      </c>
      <c r="C28">
        <v>0.19532242812438891</v>
      </c>
      <c r="D28">
        <v>-5.511059896351593E-2</v>
      </c>
      <c r="E28">
        <v>1.52025033549873</v>
      </c>
      <c r="F28">
        <v>0.63378178039711519</v>
      </c>
      <c r="G28">
        <v>0.95796721160404186</v>
      </c>
      <c r="H28">
        <v>0.24223152188982891</v>
      </c>
      <c r="I28">
        <v>-3.4186448559728362E-3</v>
      </c>
      <c r="J28">
        <v>2.2895233305696432</v>
      </c>
      <c r="M28" s="13">
        <v>1</v>
      </c>
      <c r="O28" s="10">
        <f t="shared" si="0"/>
        <v>0</v>
      </c>
      <c r="P28" s="10">
        <f t="shared" si="1"/>
        <v>1</v>
      </c>
      <c r="BH28" s="14">
        <v>0.41564590257970691</v>
      </c>
      <c r="BI28" s="14">
        <v>0.50238653516515364</v>
      </c>
      <c r="BK28" s="16">
        <v>-0.2501159297794055</v>
      </c>
      <c r="BL28" s="16">
        <v>0.55523339312539122</v>
      </c>
      <c r="BN28" s="17">
        <f t="shared" si="2"/>
        <v>1</v>
      </c>
    </row>
    <row r="29" spans="1:66" x14ac:dyDescent="0.2">
      <c r="A29">
        <v>1.2508725379756049</v>
      </c>
      <c r="B29">
        <v>0.30907873845895018</v>
      </c>
      <c r="C29">
        <v>1.219998990853433</v>
      </c>
      <c r="D29">
        <v>1.237903633097952</v>
      </c>
      <c r="E29">
        <v>2.9769186264997451E-2</v>
      </c>
      <c r="F29">
        <v>0.71436815554594846</v>
      </c>
      <c r="G29">
        <v>0.68907606364578844</v>
      </c>
      <c r="H29">
        <v>1.0062211780747661</v>
      </c>
      <c r="I29">
        <v>0.89299464771016779</v>
      </c>
      <c r="J29">
        <v>0.47600764080557378</v>
      </c>
      <c r="M29" s="13">
        <v>1</v>
      </c>
      <c r="O29" s="10">
        <f t="shared" si="0"/>
        <v>0</v>
      </c>
      <c r="P29" s="10">
        <f t="shared" si="1"/>
        <v>1</v>
      </c>
      <c r="R29" s="18" t="s">
        <v>12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M29" s="18" t="s">
        <v>15</v>
      </c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H29" s="14">
        <v>0.30702914982960783</v>
      </c>
      <c r="BI29" s="14">
        <v>0.39388132106383072</v>
      </c>
      <c r="BK29" s="16">
        <v>-0.70994930194570516</v>
      </c>
      <c r="BL29" s="16">
        <v>0.375422030626614</v>
      </c>
      <c r="BN29" s="17">
        <f t="shared" si="2"/>
        <v>1</v>
      </c>
    </row>
    <row r="30" spans="1:66" x14ac:dyDescent="0.2">
      <c r="A30">
        <v>0.30442299331188588</v>
      </c>
      <c r="B30">
        <v>1.5399938545192959</v>
      </c>
      <c r="C30">
        <v>0.40241582820611999</v>
      </c>
      <c r="D30">
        <v>0.19704444718204189</v>
      </c>
      <c r="E30">
        <v>1.2024544794900409</v>
      </c>
      <c r="F30">
        <v>0.95364770021863798</v>
      </c>
      <c r="G30">
        <v>0.94978801318706074</v>
      </c>
      <c r="H30">
        <v>0.7908961801256239</v>
      </c>
      <c r="I30">
        <v>0.65565147204555041</v>
      </c>
      <c r="J30">
        <v>1.275691685672637</v>
      </c>
      <c r="M30" s="13">
        <v>1</v>
      </c>
      <c r="O30" s="10">
        <f t="shared" si="0"/>
        <v>0</v>
      </c>
      <c r="P30" s="10">
        <f t="shared" si="1"/>
        <v>1</v>
      </c>
      <c r="R30" s="14">
        <v>0.1387180415052327</v>
      </c>
      <c r="S30" s="14">
        <v>-0.13488820797014389</v>
      </c>
      <c r="T30" s="14">
        <v>0.15036380671674854</v>
      </c>
      <c r="U30" s="14">
        <v>-0.84850399021897971</v>
      </c>
      <c r="V30" s="14">
        <v>0.33391955406379892</v>
      </c>
      <c r="W30" s="14">
        <v>0.49730024762845959</v>
      </c>
      <c r="X30" s="14">
        <v>6.5629072232297636E-2</v>
      </c>
      <c r="Y30" s="14">
        <v>0.37961231759896408</v>
      </c>
      <c r="Z30" s="14">
        <v>-0.2708655506573372</v>
      </c>
      <c r="AA30" s="14">
        <v>0.86414508461138317</v>
      </c>
      <c r="AB30" s="14">
        <v>-0.2145389131873785</v>
      </c>
      <c r="AC30" s="14">
        <v>0.6786796031942528</v>
      </c>
      <c r="AD30" s="14">
        <v>0.14157566617089801</v>
      </c>
      <c r="AE30" s="14">
        <v>0.35123080135903106</v>
      </c>
      <c r="AF30" s="14">
        <v>0.70085764615775958</v>
      </c>
      <c r="AG30" s="14">
        <v>0.36337731446055854</v>
      </c>
      <c r="AH30" s="14">
        <v>-0.80841880980721759</v>
      </c>
      <c r="AI30" s="14">
        <v>-0.78795904199366529</v>
      </c>
      <c r="AJ30" s="14">
        <v>0.64517397622388128</v>
      </c>
      <c r="AK30" s="14">
        <v>-0.7435177081981017</v>
      </c>
      <c r="AM30" s="14" cm="1">
        <f t="array" ref="AM30:BF484">TANH(MMULT(A2:J456,_xlfn.ANCHORARRAY(AM18)))</f>
        <v>0.86367839934091306</v>
      </c>
      <c r="AN30" s="14">
        <v>0.9674984187410498</v>
      </c>
      <c r="AO30" s="14">
        <v>0.41588063921129997</v>
      </c>
      <c r="AP30" s="14">
        <v>-0.88109102859547916</v>
      </c>
      <c r="AQ30" s="14">
        <v>0.75830898694637094</v>
      </c>
      <c r="AR30" s="14">
        <v>-0.80788784029156413</v>
      </c>
      <c r="AS30" s="14">
        <v>-0.96016686057798484</v>
      </c>
      <c r="AT30" s="14">
        <v>-0.88299762777838087</v>
      </c>
      <c r="AU30" s="14">
        <v>0.83787690802951953</v>
      </c>
      <c r="AV30" s="14">
        <v>0.71240593604805857</v>
      </c>
      <c r="AW30" s="14">
        <v>0.95274911775892124</v>
      </c>
      <c r="AX30" s="14">
        <v>0.89941808547679181</v>
      </c>
      <c r="AY30" s="14">
        <v>-0.83424746520751691</v>
      </c>
      <c r="AZ30" s="14">
        <v>0.98553939469677498</v>
      </c>
      <c r="BA30" s="14">
        <v>0.53519449275458997</v>
      </c>
      <c r="BB30" s="14">
        <v>-0.61043124766720824</v>
      </c>
      <c r="BC30" s="14">
        <v>-0.78101723299840964</v>
      </c>
      <c r="BD30" s="14">
        <v>-0.94464387988098097</v>
      </c>
      <c r="BE30" s="14">
        <v>-0.80941262611670939</v>
      </c>
      <c r="BF30" s="14">
        <v>3.8133781102033533E-2</v>
      </c>
      <c r="BH30" s="14">
        <v>-3.5594026781385883</v>
      </c>
      <c r="BI30" s="14">
        <v>-0.76842766086212344</v>
      </c>
      <c r="BK30" s="16">
        <v>-1.0168474973171036</v>
      </c>
      <c r="BL30" s="16">
        <v>0.18350094137538833</v>
      </c>
      <c r="BN30" s="17">
        <f t="shared" si="2"/>
        <v>1</v>
      </c>
    </row>
    <row r="31" spans="1:66" x14ac:dyDescent="0.2">
      <c r="A31">
        <v>0.9534986629151011</v>
      </c>
      <c r="B31">
        <v>-0.9659727761852327</v>
      </c>
      <c r="C31">
        <v>0.92533703883333562</v>
      </c>
      <c r="D31">
        <v>0.83808244691509826</v>
      </c>
      <c r="E31">
        <v>0.1988886184099721</v>
      </c>
      <c r="F31">
        <v>9.1373486126122561E-2</v>
      </c>
      <c r="G31">
        <v>0.74581925266359483</v>
      </c>
      <c r="H31">
        <v>0.73706493063833878</v>
      </c>
      <c r="I31">
        <v>0.58126032743425249</v>
      </c>
      <c r="J31">
        <v>0.42509142821104201</v>
      </c>
      <c r="M31" s="13">
        <v>1</v>
      </c>
      <c r="O31" s="10">
        <f t="shared" si="0"/>
        <v>0</v>
      </c>
      <c r="P31" s="10">
        <f t="shared" si="1"/>
        <v>1</v>
      </c>
      <c r="R31" s="14">
        <v>-0.50278866839174108</v>
      </c>
      <c r="S31" s="14">
        <v>3.5948847822044883E-2</v>
      </c>
      <c r="T31" s="14">
        <v>-0.61791560774702203</v>
      </c>
      <c r="U31" s="14">
        <v>-0.57975702621653391</v>
      </c>
      <c r="V31" s="14">
        <v>0.55628145978646026</v>
      </c>
      <c r="W31" s="14">
        <v>-0.26261015449466529</v>
      </c>
      <c r="X31" s="14">
        <v>-0.50483710194200815</v>
      </c>
      <c r="Y31" s="14">
        <v>-0.12323425789903109</v>
      </c>
      <c r="Z31" s="14">
        <v>0.9646707833938617</v>
      </c>
      <c r="AA31" s="14">
        <v>0.21985995250631563</v>
      </c>
      <c r="AB31" s="14">
        <v>0.89043123588533901</v>
      </c>
      <c r="AC31" s="14">
        <v>6.5307439965735403E-2</v>
      </c>
      <c r="AD31" s="14">
        <v>0.18628891900168254</v>
      </c>
      <c r="AE31" s="14">
        <v>0.84682943255741705</v>
      </c>
      <c r="AF31" s="14">
        <v>-0.97379335512209364</v>
      </c>
      <c r="AG31" s="14">
        <v>-0.88697363449511801</v>
      </c>
      <c r="AH31" s="14">
        <v>-0.47566512166488084</v>
      </c>
      <c r="AI31" s="14">
        <v>-0.69883812133270684</v>
      </c>
      <c r="AJ31" s="14">
        <v>0.47607131126462465</v>
      </c>
      <c r="AK31" s="14">
        <v>-0.67374506214968521</v>
      </c>
      <c r="AM31" s="14">
        <v>0.72240194893709053</v>
      </c>
      <c r="AN31" s="14">
        <v>0.48255978309243736</v>
      </c>
      <c r="AO31" s="14">
        <v>0.62788305205391137</v>
      </c>
      <c r="AP31" s="14">
        <v>0.75546770128351182</v>
      </c>
      <c r="AQ31" s="14">
        <v>0.72605578955895633</v>
      </c>
      <c r="AR31" s="14">
        <v>-0.82572583162118673</v>
      </c>
      <c r="AS31" s="14">
        <v>-0.75195474058419476</v>
      </c>
      <c r="AT31" s="14">
        <v>0.39525852612190948</v>
      </c>
      <c r="AU31" s="14">
        <v>0.90678195447441567</v>
      </c>
      <c r="AV31" s="14">
        <v>0.57870575862739637</v>
      </c>
      <c r="AW31" s="14">
        <v>-0.79363248910084705</v>
      </c>
      <c r="AX31" s="14">
        <v>0.74755333764905385</v>
      </c>
      <c r="AY31" s="14">
        <v>-0.5226223367628744</v>
      </c>
      <c r="AZ31" s="14">
        <v>0.75977646809294563</v>
      </c>
      <c r="BA31" s="14">
        <v>0.68907667466136502</v>
      </c>
      <c r="BB31" s="14">
        <v>0.29007962329199782</v>
      </c>
      <c r="BC31" s="14">
        <v>3.4198406688974482E-2</v>
      </c>
      <c r="BD31" s="14">
        <v>-0.43120363034682729</v>
      </c>
      <c r="BE31" s="14">
        <v>-0.64864184328231866</v>
      </c>
      <c r="BF31" s="14">
        <v>-0.69445668568612484</v>
      </c>
      <c r="BH31" s="14">
        <v>1.5652535868899717</v>
      </c>
      <c r="BI31" s="14">
        <v>-1.634928934255151</v>
      </c>
      <c r="BK31" s="16">
        <v>-8.0698207802316735E-2</v>
      </c>
      <c r="BL31" s="16">
        <v>0.17404385103511283</v>
      </c>
      <c r="BN31" s="17">
        <f t="shared" si="2"/>
        <v>1</v>
      </c>
    </row>
    <row r="32" spans="1:66" x14ac:dyDescent="0.2">
      <c r="A32">
        <v>1.256591266342153</v>
      </c>
      <c r="B32">
        <v>1.5007615002225521</v>
      </c>
      <c r="C32">
        <v>1.3320535359878369</v>
      </c>
      <c r="D32">
        <v>1.2206327395263381</v>
      </c>
      <c r="E32">
        <v>1.555560986166362</v>
      </c>
      <c r="F32">
        <v>1.742154386290298</v>
      </c>
      <c r="G32">
        <v>1.892696230694662</v>
      </c>
      <c r="H32">
        <v>1.387180789830941</v>
      </c>
      <c r="I32">
        <v>1.3659097813105621</v>
      </c>
      <c r="J32">
        <v>1.0121254087127061</v>
      </c>
      <c r="M32" s="13">
        <v>1</v>
      </c>
      <c r="O32" s="10">
        <f t="shared" si="0"/>
        <v>0</v>
      </c>
      <c r="P32" s="10">
        <f t="shared" si="1"/>
        <v>1</v>
      </c>
      <c r="AM32" s="14">
        <v>0.50652096396500668</v>
      </c>
      <c r="AN32" s="14">
        <v>0.91138777180971486</v>
      </c>
      <c r="AO32" s="14">
        <v>0.60737676893486614</v>
      </c>
      <c r="AP32" s="14">
        <v>0.28402049084558356</v>
      </c>
      <c r="AQ32" s="14">
        <v>0.82219533907315023</v>
      </c>
      <c r="AR32" s="14">
        <v>-2.4205825152660908E-2</v>
      </c>
      <c r="AS32" s="14">
        <v>-0.95194338291859948</v>
      </c>
      <c r="AT32" s="14">
        <v>-0.83381793966737483</v>
      </c>
      <c r="AU32" s="14">
        <v>0.75836546433029373</v>
      </c>
      <c r="AV32" s="14">
        <v>0.77152638141981866</v>
      </c>
      <c r="AW32" s="14">
        <v>0.15097924168673502</v>
      </c>
      <c r="AX32" s="14">
        <v>0.69593608038535459</v>
      </c>
      <c r="AY32" s="14">
        <v>-0.87162122999650193</v>
      </c>
      <c r="AZ32" s="14">
        <v>0.93618936575359113</v>
      </c>
      <c r="BA32" s="14">
        <v>-6.8157879332957999E-2</v>
      </c>
      <c r="BB32" s="14">
        <v>1.6232919474650932E-2</v>
      </c>
      <c r="BC32" s="14">
        <v>-0.62888600377257953</v>
      </c>
      <c r="BD32" s="14">
        <v>-0.85683273771060031</v>
      </c>
      <c r="BE32" s="14">
        <v>-0.87173634785843346</v>
      </c>
      <c r="BF32" s="14">
        <v>0.16979548682739518</v>
      </c>
      <c r="BH32" s="14">
        <v>-1.9098034180021457</v>
      </c>
      <c r="BI32" s="14">
        <v>-1.8983738976700353</v>
      </c>
      <c r="BK32" s="16">
        <v>0.16640374079799267</v>
      </c>
      <c r="BL32" s="16">
        <v>0.70381624766361262</v>
      </c>
      <c r="BN32" s="17">
        <f t="shared" si="2"/>
        <v>1</v>
      </c>
    </row>
    <row r="33" spans="1:66" x14ac:dyDescent="0.2">
      <c r="A33">
        <v>-0.68491701410094485</v>
      </c>
      <c r="B33">
        <v>-7.0984693790758349E-2</v>
      </c>
      <c r="C33">
        <v>-0.61313036417863964</v>
      </c>
      <c r="D33">
        <v>-0.64289667685076346</v>
      </c>
      <c r="E33">
        <v>0.86607407049838891</v>
      </c>
      <c r="F33">
        <v>0.37714517030775419</v>
      </c>
      <c r="G33">
        <v>3.7551789743138289E-2</v>
      </c>
      <c r="H33">
        <v>7.6596908082796206E-2</v>
      </c>
      <c r="I33">
        <v>-1.7942630232464219E-2</v>
      </c>
      <c r="J33">
        <v>0.55986963802009715</v>
      </c>
      <c r="M33" s="13">
        <v>1</v>
      </c>
      <c r="O33" s="10">
        <f t="shared" si="0"/>
        <v>0</v>
      </c>
      <c r="P33" s="10">
        <f t="shared" si="1"/>
        <v>1</v>
      </c>
      <c r="R33" s="18" t="s">
        <v>13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M33" s="14">
        <v>-0.18481333466256988</v>
      </c>
      <c r="AN33" s="14">
        <v>0.96193790919062483</v>
      </c>
      <c r="AO33" s="14">
        <v>-5.8633313000424424E-2</v>
      </c>
      <c r="AP33" s="14">
        <v>-0.52387352632415973</v>
      </c>
      <c r="AQ33" s="14">
        <v>-7.6800120924218215E-2</v>
      </c>
      <c r="AR33" s="14">
        <v>0.66932374549069384</v>
      </c>
      <c r="AS33" s="14">
        <v>-0.92107351655292879</v>
      </c>
      <c r="AT33" s="14">
        <v>-0.99331387933843573</v>
      </c>
      <c r="AU33" s="14">
        <v>-0.83677481484210725</v>
      </c>
      <c r="AV33" s="14">
        <v>0.6858485030643402</v>
      </c>
      <c r="AW33" s="14">
        <v>0.98659071936612419</v>
      </c>
      <c r="AX33" s="14">
        <v>-0.59474867701956524</v>
      </c>
      <c r="AY33" s="14">
        <v>-0.87909275571197254</v>
      </c>
      <c r="AZ33" s="14">
        <v>0.91368016696681809</v>
      </c>
      <c r="BA33" s="14">
        <v>-0.45351642197463005</v>
      </c>
      <c r="BB33" s="14">
        <v>-0.23370128038782853</v>
      </c>
      <c r="BC33" s="14">
        <v>-0.82838738006571622</v>
      </c>
      <c r="BD33" s="14">
        <v>-0.95679513816349937</v>
      </c>
      <c r="BE33" s="14">
        <v>-0.88524532337603823</v>
      </c>
      <c r="BF33" s="14">
        <v>0.85461519968618438</v>
      </c>
      <c r="BH33" s="14">
        <v>-1.1625399147953031</v>
      </c>
      <c r="BI33" s="14">
        <v>-0.56681491758364355</v>
      </c>
      <c r="BK33" s="16">
        <v>-0.512153219047774</v>
      </c>
      <c r="BL33" s="16">
        <v>0.60051062934617905</v>
      </c>
      <c r="BN33" s="17">
        <f t="shared" si="2"/>
        <v>1</v>
      </c>
    </row>
    <row r="34" spans="1:66" x14ac:dyDescent="0.2">
      <c r="A34">
        <v>0.79623363283502668</v>
      </c>
      <c r="B34">
        <v>1.2236829980017969</v>
      </c>
      <c r="C34">
        <v>0.8340333353904883</v>
      </c>
      <c r="D34">
        <v>0.67746313669909208</v>
      </c>
      <c r="E34">
        <v>0.82890496453246032</v>
      </c>
      <c r="F34">
        <v>1.863653844207001</v>
      </c>
      <c r="G34">
        <v>1.787900250977092</v>
      </c>
      <c r="H34">
        <v>0.91719257315348612</v>
      </c>
      <c r="I34">
        <v>0.78849280170858249</v>
      </c>
      <c r="J34">
        <v>1.010627873048161</v>
      </c>
      <c r="M34" s="13">
        <v>1</v>
      </c>
      <c r="O34" s="10">
        <f t="shared" si="0"/>
        <v>0</v>
      </c>
      <c r="P34" s="10">
        <f t="shared" si="1"/>
        <v>1</v>
      </c>
      <c r="R34" s="14" cm="1">
        <f t="array" ref="R34:AK488">TANH(MMULT(A2:J456,R18:AK27))+TANH(MMULT(O2:P456,R30:AK31))</f>
        <v>0.5297134064465624</v>
      </c>
      <c r="S34" s="14">
        <v>1.035930450879458</v>
      </c>
      <c r="T34" s="14">
        <v>0.38056554369502993</v>
      </c>
      <c r="U34" s="14">
        <v>-1.5005948278398773</v>
      </c>
      <c r="V34" s="14">
        <v>1.4595150620034218</v>
      </c>
      <c r="W34" s="14">
        <v>-1.1127652671295862</v>
      </c>
      <c r="X34" s="14">
        <v>-1.4659126519258523</v>
      </c>
      <c r="Y34" s="14">
        <v>-1.1048092700987617</v>
      </c>
      <c r="Z34" s="14">
        <v>1.391498242018572</v>
      </c>
      <c r="AA34" s="14">
        <v>1.2061241937527685</v>
      </c>
      <c r="AB34" s="14">
        <v>1.7108833772797989</v>
      </c>
      <c r="AC34" s="14">
        <v>1.0648059304246635</v>
      </c>
      <c r="AD34" s="14">
        <v>-0.81537821269748156</v>
      </c>
      <c r="AE34" s="14">
        <v>1.6894094595029245</v>
      </c>
      <c r="AF34" s="14">
        <v>0.24767455280556394</v>
      </c>
      <c r="AG34" s="14">
        <v>-0.56283097385343173</v>
      </c>
      <c r="AH34" s="14">
        <v>-1.3887444610935651</v>
      </c>
      <c r="AI34" s="14">
        <v>-1.6036270335579192</v>
      </c>
      <c r="AJ34" s="14">
        <v>-0.556525483559283</v>
      </c>
      <c r="AK34" s="14">
        <v>-0.48450952168144834</v>
      </c>
      <c r="AM34" s="14">
        <v>0.76752707599172909</v>
      </c>
      <c r="AN34" s="14">
        <v>0.54191061703374799</v>
      </c>
      <c r="AO34" s="14">
        <v>0.51758701920705685</v>
      </c>
      <c r="AP34" s="14">
        <v>-0.50704705567123831</v>
      </c>
      <c r="AQ34" s="14">
        <v>0.72036239831446669</v>
      </c>
      <c r="AR34" s="14">
        <v>-0.72698460313127389</v>
      </c>
      <c r="AS34" s="14">
        <v>-0.72885973754697608</v>
      </c>
      <c r="AT34" s="14">
        <v>-4.2373779999587767E-2</v>
      </c>
      <c r="AU34" s="14">
        <v>0.89261053237365462</v>
      </c>
      <c r="AV34" s="14">
        <v>0.36175878646104609</v>
      </c>
      <c r="AW34" s="14">
        <v>-0.28929780076667949</v>
      </c>
      <c r="AX34" s="14">
        <v>0.84203206377882245</v>
      </c>
      <c r="AY34" s="14">
        <v>-0.43915000524939651</v>
      </c>
      <c r="AZ34" s="14">
        <v>0.78310243479609021</v>
      </c>
      <c r="BA34" s="14">
        <v>0.28841923411787784</v>
      </c>
      <c r="BB34" s="14">
        <v>-0.25182808943474672</v>
      </c>
      <c r="BC34" s="14">
        <v>-0.33920672703717863</v>
      </c>
      <c r="BD34" s="14">
        <v>-0.4200558967636549</v>
      </c>
      <c r="BE34" s="14">
        <v>-0.44106561054711829</v>
      </c>
      <c r="BF34" s="14">
        <v>-0.44696675981070211</v>
      </c>
      <c r="BH34" s="14">
        <v>-1.375320245082581</v>
      </c>
      <c r="BI34" s="14">
        <v>-0.12507147792506335</v>
      </c>
      <c r="BK34" s="16">
        <v>-0.72322994058787449</v>
      </c>
      <c r="BL34" s="16">
        <v>0.55742620398720566</v>
      </c>
      <c r="BN34" s="17">
        <f t="shared" si="2"/>
        <v>1</v>
      </c>
    </row>
    <row r="35" spans="1:66" x14ac:dyDescent="0.2">
      <c r="A35">
        <v>1.4395905740716941</v>
      </c>
      <c r="B35">
        <v>1.8342365117448769</v>
      </c>
      <c r="C35">
        <v>1.460708754475486</v>
      </c>
      <c r="D35">
        <v>1.4336404269095719</v>
      </c>
      <c r="E35">
        <v>1.2433404960525629</v>
      </c>
      <c r="F35">
        <v>0.92141315015910441</v>
      </c>
      <c r="G35">
        <v>0.65380327047255737</v>
      </c>
      <c r="H35">
        <v>1.5942240570897319</v>
      </c>
      <c r="I35">
        <v>1.6191939165347431</v>
      </c>
      <c r="J35">
        <v>0.91778066184636686</v>
      </c>
      <c r="M35" s="13">
        <v>1</v>
      </c>
      <c r="O35" s="10">
        <f t="shared" si="0"/>
        <v>0</v>
      </c>
      <c r="P35" s="10">
        <f t="shared" si="1"/>
        <v>1</v>
      </c>
      <c r="R35" s="14">
        <v>0.49692351542571445</v>
      </c>
      <c r="S35" s="14">
        <v>0.6680589680374085</v>
      </c>
      <c r="T35" s="14">
        <v>0.44427956907685107</v>
      </c>
      <c r="U35" s="14">
        <v>0.3719705812298072</v>
      </c>
      <c r="V35" s="14">
        <v>1.4940740594692203</v>
      </c>
      <c r="W35" s="14">
        <v>-1.1501635936359211</v>
      </c>
      <c r="X35" s="14">
        <v>-1.4658226235056246</v>
      </c>
      <c r="Y35" s="14">
        <v>0.79096442239349485</v>
      </c>
      <c r="Z35" s="14">
        <v>1.7137323284919921</v>
      </c>
      <c r="AA35" s="14">
        <v>1.1974894971592458</v>
      </c>
      <c r="AB35" s="14">
        <v>-0.28835798820604297</v>
      </c>
      <c r="AC35" s="14">
        <v>1.0640978639382439</v>
      </c>
      <c r="AD35" s="14">
        <v>-0.78508503750197567</v>
      </c>
      <c r="AE35" s="14">
        <v>1.6889798777527882</v>
      </c>
      <c r="AF35" s="14">
        <v>0.24600431471799922</v>
      </c>
      <c r="AG35" s="14">
        <v>0.23334826448457024</v>
      </c>
      <c r="AH35" s="14">
        <v>-0.34920851039042305</v>
      </c>
      <c r="AI35" s="14">
        <v>-1.3924637448248887</v>
      </c>
      <c r="AJ35" s="14">
        <v>-0.55125811704796535</v>
      </c>
      <c r="AK35" s="14">
        <v>-1.4496816790469693</v>
      </c>
      <c r="AM35" s="14">
        <v>0.3032749502734452</v>
      </c>
      <c r="AN35" s="14">
        <v>0.61116861839241443</v>
      </c>
      <c r="AO35" s="14">
        <v>-7.7204404670264806E-2</v>
      </c>
      <c r="AP35" s="14">
        <v>-0.56521787804256651</v>
      </c>
      <c r="AQ35" s="14">
        <v>-0.2287709294633466</v>
      </c>
      <c r="AR35" s="14">
        <v>5.6956066938288724E-2</v>
      </c>
      <c r="AS35" s="14">
        <v>-0.48895272557275604</v>
      </c>
      <c r="AT35" s="14">
        <v>-0.76141692439536746</v>
      </c>
      <c r="AU35" s="14">
        <v>-0.29137486760218589</v>
      </c>
      <c r="AV35" s="14">
        <v>0.12669446283695712</v>
      </c>
      <c r="AW35" s="14">
        <v>0.8773772456133857</v>
      </c>
      <c r="AX35" s="14">
        <v>5.5500292381702176E-2</v>
      </c>
      <c r="AY35" s="14">
        <v>-0.38029859450191783</v>
      </c>
      <c r="AZ35" s="14">
        <v>0.56609298952681442</v>
      </c>
      <c r="BA35" s="14">
        <v>-7.7322006771978896E-2</v>
      </c>
      <c r="BB35" s="14">
        <v>-0.51500564780138947</v>
      </c>
      <c r="BC35" s="14">
        <v>-0.37779566005764903</v>
      </c>
      <c r="BD35" s="14">
        <v>-0.57456230287456833</v>
      </c>
      <c r="BE35" s="14">
        <v>-0.24811872486734163</v>
      </c>
      <c r="BF35" s="14">
        <v>0.16303405059604051</v>
      </c>
      <c r="BH35" s="14">
        <v>3.0641931004289056</v>
      </c>
      <c r="BI35" s="14">
        <v>0.82451165846149355</v>
      </c>
      <c r="BK35" s="16">
        <v>-0.47703501832920736</v>
      </c>
      <c r="BL35" s="16">
        <v>0.60705683967351121</v>
      </c>
      <c r="BN35" s="17">
        <f t="shared" si="2"/>
        <v>1</v>
      </c>
    </row>
    <row r="36" spans="1:66" x14ac:dyDescent="0.2">
      <c r="A36">
        <v>0.54175022052363375</v>
      </c>
      <c r="B36">
        <v>-0.2720505095615719</v>
      </c>
      <c r="C36">
        <v>0.59332357176843664</v>
      </c>
      <c r="D36">
        <v>0.41235492037482441</v>
      </c>
      <c r="E36">
        <v>0.94598764832513516</v>
      </c>
      <c r="F36">
        <v>0.54575666292685121</v>
      </c>
      <c r="G36">
        <v>0.69444366260693235</v>
      </c>
      <c r="H36">
        <v>0.77847358409009682</v>
      </c>
      <c r="I36">
        <v>0.64148173021482702</v>
      </c>
      <c r="J36">
        <v>1.0360859793454269</v>
      </c>
      <c r="M36" s="13">
        <v>1</v>
      </c>
      <c r="O36" s="10">
        <f t="shared" si="0"/>
        <v>0</v>
      </c>
      <c r="P36" s="10">
        <f t="shared" si="1"/>
        <v>1</v>
      </c>
      <c r="R36" s="14">
        <v>0.47227535276641397</v>
      </c>
      <c r="S36" s="14">
        <v>1.0356431847839678</v>
      </c>
      <c r="T36" s="14">
        <v>0.44250157595201844</v>
      </c>
      <c r="U36" s="14">
        <v>-0.25562159819033659</v>
      </c>
      <c r="V36" s="14">
        <v>1.4956188440652141</v>
      </c>
      <c r="W36" s="14">
        <v>0.38916287003152089</v>
      </c>
      <c r="X36" s="14">
        <v>-1.4659120233941805</v>
      </c>
      <c r="Y36" s="14">
        <v>-1.026664618937347</v>
      </c>
      <c r="Z36" s="14">
        <v>1.2138593380489295</v>
      </c>
      <c r="AA36" s="14">
        <v>1.2147048774632947</v>
      </c>
      <c r="AB36" s="14">
        <v>-0.24799981733585064</v>
      </c>
      <c r="AC36" s="14">
        <v>1.0630680169595881</v>
      </c>
      <c r="AD36" s="14">
        <v>-0.81526147059842624</v>
      </c>
      <c r="AE36" s="14">
        <v>1.6893992507518796</v>
      </c>
      <c r="AF36" s="14">
        <v>0.19720106906530166</v>
      </c>
      <c r="AG36" s="14">
        <v>0.18937644617362848</v>
      </c>
      <c r="AH36" s="14">
        <v>-1.281986904270376</v>
      </c>
      <c r="AI36" s="14">
        <v>-1.6027277764160144</v>
      </c>
      <c r="AJ36" s="14">
        <v>-0.55608599857698149</v>
      </c>
      <c r="AK36" s="14">
        <v>-0.42850013630088296</v>
      </c>
      <c r="AM36" s="14">
        <v>0.37416597808315444</v>
      </c>
      <c r="AN36" s="14">
        <v>0.58141470338705947</v>
      </c>
      <c r="AO36" s="14">
        <v>0.58770578892371994</v>
      </c>
      <c r="AP36" s="14">
        <v>0.64120553400224733</v>
      </c>
      <c r="AQ36" s="14">
        <v>0.66585163026487726</v>
      </c>
      <c r="AR36" s="14">
        <v>-0.54107574894542576</v>
      </c>
      <c r="AS36" s="14">
        <v>-0.81323292581804307</v>
      </c>
      <c r="AT36" s="14">
        <v>-0.19263338873510744</v>
      </c>
      <c r="AU36" s="14">
        <v>0.74103460701195845</v>
      </c>
      <c r="AV36" s="14">
        <v>0.53470220694628701</v>
      </c>
      <c r="AW36" s="14">
        <v>-0.40807437959195664</v>
      </c>
      <c r="AX36" s="14">
        <v>0.57174851416116934</v>
      </c>
      <c r="AY36" s="14">
        <v>-0.65069320082904969</v>
      </c>
      <c r="AZ36" s="14">
        <v>0.74798850826485641</v>
      </c>
      <c r="BA36" s="14">
        <v>0.40049747935440283</v>
      </c>
      <c r="BB36" s="14">
        <v>0.14482161458278983</v>
      </c>
      <c r="BC36" s="14">
        <v>-0.12988719300593671</v>
      </c>
      <c r="BD36" s="14">
        <v>-0.57360338477345907</v>
      </c>
      <c r="BE36" s="14">
        <v>-0.73510068909259085</v>
      </c>
      <c r="BF36" s="14">
        <v>-0.32550073497405418</v>
      </c>
      <c r="BH36" s="14">
        <v>-0.11716885359038204</v>
      </c>
      <c r="BI36" s="14">
        <v>-0.17798859539147854</v>
      </c>
      <c r="BK36" s="16">
        <v>-0.51361468290425871</v>
      </c>
      <c r="BL36" s="16">
        <v>0.67485838449938351</v>
      </c>
      <c r="BN36" s="17">
        <f t="shared" si="2"/>
        <v>1</v>
      </c>
    </row>
    <row r="37" spans="1:66" x14ac:dyDescent="0.2">
      <c r="A37">
        <v>0.71617143570335229</v>
      </c>
      <c r="B37">
        <v>0.637649705694182</v>
      </c>
      <c r="C37">
        <v>0.7219787902560848</v>
      </c>
      <c r="D37">
        <v>0.59168436529341162</v>
      </c>
      <c r="E37">
        <v>0.53155211680503212</v>
      </c>
      <c r="F37">
        <v>0.53831792060542061</v>
      </c>
      <c r="G37">
        <v>0.25123334838676931</v>
      </c>
      <c r="H37">
        <v>0.73706493063833878</v>
      </c>
      <c r="I37">
        <v>0.58480276289193334</v>
      </c>
      <c r="J37">
        <v>0.95971166045362855</v>
      </c>
      <c r="M37" s="13">
        <v>1</v>
      </c>
      <c r="O37" s="10">
        <f t="shared" si="0"/>
        <v>0</v>
      </c>
      <c r="P37" s="10">
        <f t="shared" si="1"/>
        <v>1</v>
      </c>
      <c r="R37" s="14">
        <v>-5.9852937127319261E-2</v>
      </c>
      <c r="S37" s="14">
        <v>1.0359046768387685</v>
      </c>
      <c r="T37" s="14">
        <v>-0.61120274484676995</v>
      </c>
      <c r="U37" s="14">
        <v>-1.3244768585112081</v>
      </c>
      <c r="V37" s="14">
        <v>-0.3340850917492032</v>
      </c>
      <c r="W37" s="14">
        <v>0.71288142168198498</v>
      </c>
      <c r="X37" s="14">
        <v>-1.4536751711250004</v>
      </c>
      <c r="Y37" s="14">
        <v>-1.1225799517261343</v>
      </c>
      <c r="Z37" s="14">
        <v>-0.25214930437564131</v>
      </c>
      <c r="AA37" s="14">
        <v>1.192904060783091</v>
      </c>
      <c r="AB37" s="14">
        <v>1.7116032856612131</v>
      </c>
      <c r="AC37" s="14">
        <v>-0.8253370449032903</v>
      </c>
      <c r="AD37" s="14">
        <v>-0.80450604190978448</v>
      </c>
      <c r="AE37" s="14">
        <v>1.6880168913852307</v>
      </c>
      <c r="AF37" s="14">
        <v>-0.9248791101773588</v>
      </c>
      <c r="AG37" s="14">
        <v>-0.42729040892614628</v>
      </c>
      <c r="AH37" s="14">
        <v>-1.3813123799314539</v>
      </c>
      <c r="AI37" s="14">
        <v>-1.6036001016901431</v>
      </c>
      <c r="AJ37" s="14">
        <v>-0.5531853068981134</v>
      </c>
      <c r="AK37" s="14">
        <v>0.34981250848074419</v>
      </c>
      <c r="AM37" s="14">
        <v>-4.1762497478651614E-2</v>
      </c>
      <c r="AN37" s="14">
        <v>0.49259556438925817</v>
      </c>
      <c r="AO37" s="14">
        <v>-5.9974186707814903E-2</v>
      </c>
      <c r="AP37" s="14">
        <v>0.18944387118686251</v>
      </c>
      <c r="AQ37" s="14">
        <v>0.18661593296589421</v>
      </c>
      <c r="AR37" s="14">
        <v>0.10929813827196604</v>
      </c>
      <c r="AS37" s="14">
        <v>-0.4730592626461223</v>
      </c>
      <c r="AT37" s="14">
        <v>-0.65093468871258942</v>
      </c>
      <c r="AU37" s="14">
        <v>-0.23484463577782505</v>
      </c>
      <c r="AV37" s="14">
        <v>0.41979572454486797</v>
      </c>
      <c r="AW37" s="14">
        <v>0.53605549839996491</v>
      </c>
      <c r="AX37" s="14">
        <v>-0.22395635213742876</v>
      </c>
      <c r="AY37" s="14">
        <v>-0.3440949815107765</v>
      </c>
      <c r="AZ37" s="14">
        <v>0.46666190990252998</v>
      </c>
      <c r="BA37" s="14">
        <v>4.5729794391926079E-2</v>
      </c>
      <c r="BB37" s="14">
        <v>0.22332685165073285</v>
      </c>
      <c r="BC37" s="14">
        <v>-0.30507180402562373</v>
      </c>
      <c r="BD37" s="14">
        <v>-0.46009350299920676</v>
      </c>
      <c r="BE37" s="14">
        <v>-0.49732122450257105</v>
      </c>
      <c r="BF37" s="14">
        <v>0.36195154737665608</v>
      </c>
      <c r="BH37" s="14">
        <v>4.9533174996821833E-2</v>
      </c>
      <c r="BI37" s="14">
        <v>-0.11956370041706253</v>
      </c>
      <c r="BK37" s="16">
        <v>0.64261605780369924</v>
      </c>
      <c r="BL37" s="16">
        <v>1.8333307144640792E-3</v>
      </c>
      <c r="BN37" s="17">
        <f t="shared" si="2"/>
        <v>0</v>
      </c>
    </row>
    <row r="38" spans="1:66" x14ac:dyDescent="0.2">
      <c r="A38">
        <v>4.1897540681076553E-3</v>
      </c>
      <c r="B38">
        <v>0.6695259935602863</v>
      </c>
      <c r="C38">
        <v>3.8446064936224107E-2</v>
      </c>
      <c r="D38">
        <v>-8.9076689654355778E-2</v>
      </c>
      <c r="E38">
        <v>8.9239755810482949E-2</v>
      </c>
      <c r="F38">
        <v>0.50236399938517173</v>
      </c>
      <c r="G38">
        <v>0.1438813691638926</v>
      </c>
      <c r="H38">
        <v>-0.1159533304678791</v>
      </c>
      <c r="I38">
        <v>-0.1757581298721464</v>
      </c>
      <c r="J38">
        <v>0.41161360723013618</v>
      </c>
      <c r="M38" s="13">
        <v>1</v>
      </c>
      <c r="O38" s="10">
        <f t="shared" si="0"/>
        <v>0</v>
      </c>
      <c r="P38" s="10">
        <f t="shared" si="1"/>
        <v>1</v>
      </c>
      <c r="R38" s="14">
        <v>0.51251092909243867</v>
      </c>
      <c r="S38" s="14">
        <v>1.0328233085386196</v>
      </c>
      <c r="T38" s="14">
        <v>0.40913943960558574</v>
      </c>
      <c r="U38" s="14">
        <v>-1.31515875902858</v>
      </c>
      <c r="V38" s="14">
        <v>1.4974637582651114</v>
      </c>
      <c r="W38" s="14">
        <v>-1.0643474766981924</v>
      </c>
      <c r="X38" s="14">
        <v>-1.4659005077212404</v>
      </c>
      <c r="Y38" s="14">
        <v>-2.016041846326394E-3</v>
      </c>
      <c r="Z38" s="14">
        <v>1.7160848977827037</v>
      </c>
      <c r="AA38" s="14">
        <v>1.1725697584014625</v>
      </c>
      <c r="AB38" s="14">
        <v>-0.2004322262834034</v>
      </c>
      <c r="AC38" s="14">
        <v>1.064829046673424</v>
      </c>
      <c r="AD38" s="14">
        <v>-0.75599381645977448</v>
      </c>
      <c r="AE38" s="14">
        <v>1.6894035103019949</v>
      </c>
      <c r="AF38" s="14">
        <v>2.2389432404243959E-2</v>
      </c>
      <c r="AG38" s="14">
        <v>-0.81379993115807026</v>
      </c>
      <c r="AH38" s="14">
        <v>-1.1388530963218155</v>
      </c>
      <c r="AI38" s="14">
        <v>-1.5562596937782995</v>
      </c>
      <c r="AJ38" s="14">
        <v>-0.48818387643047229</v>
      </c>
      <c r="AK38" s="14">
        <v>-1.1575649450434142</v>
      </c>
      <c r="AM38" s="14">
        <v>-0.20620876977599456</v>
      </c>
      <c r="AN38" s="14">
        <v>0.77539499243445864</v>
      </c>
      <c r="AO38" s="14">
        <v>7.3787618245450937E-2</v>
      </c>
      <c r="AP38" s="14">
        <v>-0.2389015925448274</v>
      </c>
      <c r="AQ38" s="14">
        <v>3.1171737500496066E-2</v>
      </c>
      <c r="AR38" s="14">
        <v>0.7085419098377258</v>
      </c>
      <c r="AS38" s="14">
        <v>-0.68697187863505416</v>
      </c>
      <c r="AT38" s="14">
        <v>-0.93184376690219772</v>
      </c>
      <c r="AU38" s="14">
        <v>-0.67892876238888655</v>
      </c>
      <c r="AV38" s="14">
        <v>0.43866377727872657</v>
      </c>
      <c r="AW38" s="14">
        <v>0.86124874137716245</v>
      </c>
      <c r="AX38" s="14">
        <v>-0.273305984967805</v>
      </c>
      <c r="AY38" s="14">
        <v>-0.65573024508483235</v>
      </c>
      <c r="AZ38" s="14">
        <v>0.63224269378279374</v>
      </c>
      <c r="BA38" s="14">
        <v>-0.50906277575026182</v>
      </c>
      <c r="BB38" s="14">
        <v>-0.14578939465782512</v>
      </c>
      <c r="BC38" s="14">
        <v>-0.54953553233793495</v>
      </c>
      <c r="BD38" s="14">
        <v>-0.74129284232427628</v>
      </c>
      <c r="BE38" s="14">
        <v>-0.61918427404035947</v>
      </c>
      <c r="BF38" s="14">
        <v>0.63992426902316124</v>
      </c>
      <c r="BK38" s="16">
        <v>0.77452442337311633</v>
      </c>
      <c r="BL38" s="16">
        <v>-0.3417917486276682</v>
      </c>
      <c r="BN38" s="17">
        <f t="shared" si="2"/>
        <v>0</v>
      </c>
    </row>
    <row r="39" spans="1:66" x14ac:dyDescent="0.2">
      <c r="A39">
        <v>-0.34465267629132978</v>
      </c>
      <c r="B39">
        <v>-0.1396413138100599</v>
      </c>
      <c r="C39">
        <v>-0.41890248594567397</v>
      </c>
      <c r="D39">
        <v>-0.40340695265772247</v>
      </c>
      <c r="E39">
        <v>-1.251449896380558</v>
      </c>
      <c r="F39">
        <v>-0.81528522381759638</v>
      </c>
      <c r="G39">
        <v>-0.53984849850562056</v>
      </c>
      <c r="H39">
        <v>-0.65219539266814697</v>
      </c>
      <c r="I39">
        <v>-0.62511606767896299</v>
      </c>
      <c r="J39">
        <v>-1.004605870730128</v>
      </c>
      <c r="M39" s="13">
        <v>0</v>
      </c>
      <c r="O39" s="10">
        <f t="shared" si="0"/>
        <v>1</v>
      </c>
      <c r="P39" s="10">
        <f t="shared" si="1"/>
        <v>0</v>
      </c>
      <c r="R39" s="14">
        <v>0.20269447758396897</v>
      </c>
      <c r="S39" s="14">
        <v>1.0044828462598971</v>
      </c>
      <c r="T39" s="14">
        <v>-0.84126769154501224</v>
      </c>
      <c r="U39" s="14">
        <v>-1.2955231492534776</v>
      </c>
      <c r="V39" s="14">
        <v>-0.27794310580876291</v>
      </c>
      <c r="W39" s="14">
        <v>3.4426649146030774E-2</v>
      </c>
      <c r="X39" s="14">
        <v>-1.0557965155427598</v>
      </c>
      <c r="Y39" s="14">
        <v>-1.0791154384327621</v>
      </c>
      <c r="Z39" s="14">
        <v>-2.3419637491232104E-2</v>
      </c>
      <c r="AA39" s="14">
        <v>0.35747043065882489</v>
      </c>
      <c r="AB39" s="14">
        <v>1.7107749932245817</v>
      </c>
      <c r="AC39" s="14">
        <v>0.17083559890362907</v>
      </c>
      <c r="AD39" s="14">
        <v>-0.37570718599373931</v>
      </c>
      <c r="AE39" s="14">
        <v>1.6438282557748223</v>
      </c>
      <c r="AF39" s="14">
        <v>-0.64205607333526049</v>
      </c>
      <c r="AG39" s="14">
        <v>-1.4627156603593361</v>
      </c>
      <c r="AH39" s="14">
        <v>-0.98223153280449926</v>
      </c>
      <c r="AI39" s="14">
        <v>-1.565103471407201</v>
      </c>
      <c r="AJ39" s="14">
        <v>0.42061061098114794</v>
      </c>
      <c r="AK39" s="14">
        <v>-0.38307375391423959</v>
      </c>
      <c r="AM39" s="14">
        <v>-0.56798772336477155</v>
      </c>
      <c r="AN39" s="14">
        <v>0.89760175600527192</v>
      </c>
      <c r="AO39" s="14">
        <v>5.2845146455636795E-2</v>
      </c>
      <c r="AP39" s="14">
        <v>-0.24747866835418872</v>
      </c>
      <c r="AQ39" s="14">
        <v>7.0640354722796353E-2</v>
      </c>
      <c r="AR39" s="14">
        <v>0.83443230048274331</v>
      </c>
      <c r="AS39" s="14">
        <v>-0.76767080345943162</v>
      </c>
      <c r="AT39" s="14">
        <v>-0.97319758099331621</v>
      </c>
      <c r="AU39" s="14">
        <v>-0.87601806820469419</v>
      </c>
      <c r="AV39" s="14">
        <v>0.60899233529376107</v>
      </c>
      <c r="AW39" s="14">
        <v>0.89765562483648442</v>
      </c>
      <c r="AX39" s="14">
        <v>-0.63387897594854015</v>
      </c>
      <c r="AY39" s="14">
        <v>-0.78235104039627135</v>
      </c>
      <c r="AZ39" s="14">
        <v>0.74044157224020024</v>
      </c>
      <c r="BA39" s="14">
        <v>-0.59563110361535443</v>
      </c>
      <c r="BB39" s="14">
        <v>0.2147796301530209</v>
      </c>
      <c r="BC39" s="14">
        <v>-0.72073059764511738</v>
      </c>
      <c r="BD39" s="14">
        <v>-0.88926313228296527</v>
      </c>
      <c r="BE39" s="14">
        <v>-0.79465991382774093</v>
      </c>
      <c r="BF39" s="14">
        <v>0.86735795099948421</v>
      </c>
      <c r="BK39" s="16">
        <v>0.44474093468366982</v>
      </c>
      <c r="BL39" s="16">
        <v>-0.49600085396282478</v>
      </c>
      <c r="BN39" s="17">
        <f t="shared" si="2"/>
        <v>0</v>
      </c>
    </row>
    <row r="40" spans="1:66" x14ac:dyDescent="0.2">
      <c r="A40">
        <v>0.2157827036303894</v>
      </c>
      <c r="B40">
        <v>1.522829699514471</v>
      </c>
      <c r="C40">
        <v>0.1177142801979692</v>
      </c>
      <c r="D40">
        <v>0.100327443181006</v>
      </c>
      <c r="E40">
        <v>-0.99777074816309586</v>
      </c>
      <c r="F40">
        <v>-0.83561778616284044</v>
      </c>
      <c r="G40">
        <v>-0.54598289731835647</v>
      </c>
      <c r="H40">
        <v>-0.30229227100079081</v>
      </c>
      <c r="I40">
        <v>-0.35429687693926171</v>
      </c>
      <c r="J40">
        <v>-1.321184910214954</v>
      </c>
      <c r="M40" s="13">
        <v>1</v>
      </c>
      <c r="O40" s="10">
        <f t="shared" si="0"/>
        <v>0</v>
      </c>
      <c r="P40" s="10">
        <f t="shared" si="1"/>
        <v>1</v>
      </c>
      <c r="R40" s="14">
        <v>0.35742025875483718</v>
      </c>
      <c r="S40" s="14">
        <v>0.89465908793266002</v>
      </c>
      <c r="T40" s="14">
        <v>0.42829646314890613</v>
      </c>
      <c r="U40" s="14">
        <v>0.24791679180108861</v>
      </c>
      <c r="V40" s="14">
        <v>1.4340398013225766</v>
      </c>
      <c r="W40" s="14">
        <v>-0.60152808297595306</v>
      </c>
      <c r="X40" s="14">
        <v>-1.465373434073149</v>
      </c>
      <c r="Y40" s="14">
        <v>0.12107798380433518</v>
      </c>
      <c r="Z40" s="14">
        <v>1.4194480609997924</v>
      </c>
      <c r="AA40" s="14">
        <v>1.1829516176928709</v>
      </c>
      <c r="AB40" s="14">
        <v>-0.28415344350085281</v>
      </c>
      <c r="AC40" s="14">
        <v>1.0430859975459412</v>
      </c>
      <c r="AD40" s="14">
        <v>-0.79140804797155839</v>
      </c>
      <c r="AE40" s="14">
        <v>1.6853925550590618</v>
      </c>
      <c r="AF40" s="14">
        <v>0.22880953016097083</v>
      </c>
      <c r="AG40" s="14">
        <v>0.18511600327717814</v>
      </c>
      <c r="AH40" s="14">
        <v>-0.70473420519093521</v>
      </c>
      <c r="AI40" s="14">
        <v>-1.5449694290532099</v>
      </c>
      <c r="AJ40" s="14">
        <v>-0.54951022884505196</v>
      </c>
      <c r="AK40" s="14">
        <v>-1.0558600199343218</v>
      </c>
      <c r="AM40" s="14">
        <v>-0.31519082999447162</v>
      </c>
      <c r="AN40" s="14">
        <v>-0.10360258107939838</v>
      </c>
      <c r="AO40" s="14">
        <v>0.22316671081282941</v>
      </c>
      <c r="AP40" s="14">
        <v>0.68917083829515469</v>
      </c>
      <c r="AQ40" s="14">
        <v>0.50780267041573113</v>
      </c>
      <c r="AR40" s="14">
        <v>-0.1349292262446056</v>
      </c>
      <c r="AS40" s="14">
        <v>-0.27264832571892916</v>
      </c>
      <c r="AT40" s="14">
        <v>0.41886588514307643</v>
      </c>
      <c r="AU40" s="14">
        <v>0.52862990608053295</v>
      </c>
      <c r="AV40" s="14">
        <v>0.21505872915984497</v>
      </c>
      <c r="AW40" s="14">
        <v>-0.75547973526178136</v>
      </c>
      <c r="AX40" s="14">
        <v>4.8499655733091417E-2</v>
      </c>
      <c r="AY40" s="14">
        <v>-0.16456767081680485</v>
      </c>
      <c r="AZ40" s="14">
        <v>2.5757745919266547E-2</v>
      </c>
      <c r="BA40" s="14">
        <v>0.14024456075364053</v>
      </c>
      <c r="BB40" s="14">
        <v>0.45915899815866457</v>
      </c>
      <c r="BC40" s="14">
        <v>0.10903998502413506</v>
      </c>
      <c r="BD40" s="14">
        <v>7.9360711054917682E-2</v>
      </c>
      <c r="BE40" s="14">
        <v>-0.34515803076299523</v>
      </c>
      <c r="BF40" s="14">
        <v>1.9522004234004291E-2</v>
      </c>
      <c r="BK40" s="16">
        <v>-0.23166383716620906</v>
      </c>
      <c r="BL40" s="16">
        <v>0.76743141112426627</v>
      </c>
      <c r="BN40" s="17">
        <f t="shared" si="2"/>
        <v>1</v>
      </c>
    </row>
    <row r="41" spans="1:66" x14ac:dyDescent="0.2">
      <c r="A41">
        <v>-0.21598128804399611</v>
      </c>
      <c r="B41">
        <v>0.44884400064110108</v>
      </c>
      <c r="C41">
        <v>-0.17860773915745309</v>
      </c>
      <c r="D41">
        <v>-0.3015086805852023</v>
      </c>
      <c r="E41">
        <v>0.38101723764302181</v>
      </c>
      <c r="F41">
        <v>0.1849776603374596</v>
      </c>
      <c r="G41">
        <v>0.10324097702951771</v>
      </c>
      <c r="H41">
        <v>-0.19048890668104401</v>
      </c>
      <c r="I41">
        <v>-0.28061421941949982</v>
      </c>
      <c r="J41">
        <v>1.6261150311761809</v>
      </c>
      <c r="M41" s="13">
        <v>1</v>
      </c>
      <c r="O41" s="10">
        <f t="shared" si="0"/>
        <v>0</v>
      </c>
      <c r="P41" s="10">
        <f t="shared" si="1"/>
        <v>1</v>
      </c>
      <c r="R41" s="14">
        <v>-0.2953023618049988</v>
      </c>
      <c r="S41" s="14">
        <v>0.88587783119332908</v>
      </c>
      <c r="T41" s="14">
        <v>-0.67740832370372372</v>
      </c>
      <c r="U41" s="14">
        <v>-0.1811764193411623</v>
      </c>
      <c r="V41" s="14">
        <v>0.48330520802292254</v>
      </c>
      <c r="W41" s="14">
        <v>0.18313237640995378</v>
      </c>
      <c r="X41" s="14">
        <v>-0.90747546208107477</v>
      </c>
      <c r="Y41" s="14">
        <v>-1.0127298805859213</v>
      </c>
      <c r="Z41" s="14">
        <v>3.0327912879999253E-2</v>
      </c>
      <c r="AA41" s="14">
        <v>1.0648016609545219</v>
      </c>
      <c r="AB41" s="14">
        <v>1.5075218396344341</v>
      </c>
      <c r="AC41" s="14">
        <v>-0.59898923701898643</v>
      </c>
      <c r="AD41" s="14">
        <v>-0.43264700910689868</v>
      </c>
      <c r="AE41" s="14">
        <v>1.3324327349614231</v>
      </c>
      <c r="AF41" s="14">
        <v>-0.18309045725504591</v>
      </c>
      <c r="AG41" s="14">
        <v>6.1892237609360801E-2</v>
      </c>
      <c r="AH41" s="14">
        <v>-0.85874944006222553</v>
      </c>
      <c r="AI41" s="14">
        <v>-1.5014322443086237</v>
      </c>
      <c r="AJ41" s="14">
        <v>-0.46520784194316639</v>
      </c>
      <c r="AK41" s="14">
        <v>-0.12376937389048304</v>
      </c>
      <c r="AM41" s="14">
        <v>0.41029958728477528</v>
      </c>
      <c r="AN41" s="14">
        <v>0.50597073862949504</v>
      </c>
      <c r="AO41" s="14">
        <v>0.34757473175908926</v>
      </c>
      <c r="AP41" s="14">
        <v>0.38771419341811247</v>
      </c>
      <c r="AQ41" s="14">
        <v>0.37842750428828648</v>
      </c>
      <c r="AR41" s="14">
        <v>-0.53473719273584341</v>
      </c>
      <c r="AS41" s="14">
        <v>-0.68626546094210139</v>
      </c>
      <c r="AT41" s="14">
        <v>-0.32039836580562392</v>
      </c>
      <c r="AU41" s="14">
        <v>0.49988062265311212</v>
      </c>
      <c r="AV41" s="14">
        <v>0.40127503437883366</v>
      </c>
      <c r="AW41" s="14">
        <v>0.2036082212473054</v>
      </c>
      <c r="AX41" s="14">
        <v>0.39945854071784082</v>
      </c>
      <c r="AY41" s="14">
        <v>-0.48628737927195825</v>
      </c>
      <c r="AZ41" s="14">
        <v>0.66522901748878294</v>
      </c>
      <c r="BA41" s="14">
        <v>0.42673614778501023</v>
      </c>
      <c r="BB41" s="14">
        <v>-6.2812939556383007E-2</v>
      </c>
      <c r="BC41" s="14">
        <v>-0.12061979464999971</v>
      </c>
      <c r="BD41" s="14">
        <v>-0.50753034477752201</v>
      </c>
      <c r="BE41" s="14">
        <v>-0.58183694801733432</v>
      </c>
      <c r="BF41" s="14">
        <v>-0.29025570775924586</v>
      </c>
      <c r="BK41" s="16">
        <v>-0.20225629909795928</v>
      </c>
      <c r="BL41" s="16">
        <v>1.022304769201563</v>
      </c>
      <c r="BN41" s="17">
        <f t="shared" si="2"/>
        <v>1</v>
      </c>
    </row>
    <row r="42" spans="1:66" x14ac:dyDescent="0.2">
      <c r="A42">
        <v>-0.2274187447770927</v>
      </c>
      <c r="B42">
        <v>0.63519768355063511</v>
      </c>
      <c r="C42">
        <v>-0.27074147626796258</v>
      </c>
      <c r="D42">
        <v>-0.29057044798984721</v>
      </c>
      <c r="E42">
        <v>-0.83050977131641768</v>
      </c>
      <c r="F42">
        <v>-0.74734471061519547</v>
      </c>
      <c r="G42">
        <v>-0.7678436543789684</v>
      </c>
      <c r="H42">
        <v>-0.1076715997775276</v>
      </c>
      <c r="I42">
        <v>-0.19648137729957951</v>
      </c>
      <c r="J42">
        <v>-9.0060840392459332E-2</v>
      </c>
      <c r="M42" s="13">
        <v>1</v>
      </c>
      <c r="O42" s="10">
        <f t="shared" si="0"/>
        <v>0</v>
      </c>
      <c r="P42" s="10">
        <f t="shared" si="1"/>
        <v>1</v>
      </c>
      <c r="R42" s="14">
        <v>-0.47337272591965396</v>
      </c>
      <c r="S42" s="14">
        <v>1.0337037584533739</v>
      </c>
      <c r="T42" s="14">
        <v>-0.31816719369819324</v>
      </c>
      <c r="U42" s="14">
        <v>-0.96081348821576662</v>
      </c>
      <c r="V42" s="14">
        <v>0.13626361059117753</v>
      </c>
      <c r="W42" s="14">
        <v>0.69054401314321256</v>
      </c>
      <c r="X42" s="14">
        <v>-1.4372650692143805</v>
      </c>
      <c r="Y42" s="14">
        <v>-1.1194453464636378</v>
      </c>
      <c r="Z42" s="14">
        <v>-0.22344786923993054</v>
      </c>
      <c r="AA42" s="14">
        <v>1.1268774731104525</v>
      </c>
      <c r="AB42" s="14">
        <v>1.7085554466318971</v>
      </c>
      <c r="AC42" s="14">
        <v>-0.47325839486397359</v>
      </c>
      <c r="AD42" s="14">
        <v>-0.78263298817020832</v>
      </c>
      <c r="AE42" s="14">
        <v>1.6505028479377315</v>
      </c>
      <c r="AF42" s="14">
        <v>-1.1162415220402899</v>
      </c>
      <c r="AG42" s="14">
        <v>-0.48536015481312977</v>
      </c>
      <c r="AH42" s="14">
        <v>-1.2119213980456807</v>
      </c>
      <c r="AI42" s="14">
        <v>-1.6001635355492616</v>
      </c>
      <c r="AJ42" s="14">
        <v>-0.50480915237553337</v>
      </c>
      <c r="AK42" s="14">
        <v>0.20485826620080427</v>
      </c>
      <c r="AM42" s="14">
        <v>1.7150425544560199E-2</v>
      </c>
      <c r="AN42" s="14">
        <v>0.72457382901637335</v>
      </c>
      <c r="AO42" s="14">
        <v>0.24764262200630027</v>
      </c>
      <c r="AP42" s="14">
        <v>-0.25231222413809562</v>
      </c>
      <c r="AQ42" s="14">
        <v>0.85947737306558547</v>
      </c>
      <c r="AR42" s="14">
        <v>0.4019757296129064</v>
      </c>
      <c r="AS42" s="14">
        <v>-0.75598005400245272</v>
      </c>
      <c r="AT42" s="14">
        <v>-0.87610863620829937</v>
      </c>
      <c r="AU42" s="14">
        <v>6.988109134126895E-2</v>
      </c>
      <c r="AV42" s="14">
        <v>0.77282046241229296</v>
      </c>
      <c r="AW42" s="14">
        <v>0.26118301010440792</v>
      </c>
      <c r="AX42" s="14">
        <v>0.23077750323743793</v>
      </c>
      <c r="AY42" s="14">
        <v>-0.55066076139557107</v>
      </c>
      <c r="AZ42" s="14">
        <v>0.76556012853525923</v>
      </c>
      <c r="BA42" s="14">
        <v>-0.36065252262426423</v>
      </c>
      <c r="BB42" s="14">
        <v>0.68793601702307394</v>
      </c>
      <c r="BC42" s="14">
        <v>-0.66995596763290632</v>
      </c>
      <c r="BD42" s="14">
        <v>-0.60022567717564024</v>
      </c>
      <c r="BE42" s="14">
        <v>-0.79519494390059253</v>
      </c>
      <c r="BF42" s="14">
        <v>0.74768979744593012</v>
      </c>
      <c r="BK42" s="16">
        <v>-1.781152970908878E-2</v>
      </c>
      <c r="BL42" s="16">
        <v>0.78139908018756898</v>
      </c>
      <c r="BN42" s="17">
        <f t="shared" si="2"/>
        <v>1</v>
      </c>
    </row>
    <row r="43" spans="1:66" x14ac:dyDescent="0.2">
      <c r="A43">
        <v>-0.93940042641233779</v>
      </c>
      <c r="B43">
        <v>0.57880117424906619</v>
      </c>
      <c r="C43">
        <v>-0.86338551497880722</v>
      </c>
      <c r="D43">
        <v>-0.84295119405528707</v>
      </c>
      <c r="E43">
        <v>0.31225439160605412</v>
      </c>
      <c r="F43">
        <v>0.16142164298626219</v>
      </c>
      <c r="G43">
        <v>0.1620289656515693</v>
      </c>
      <c r="H43">
        <v>-0.74743529560719091</v>
      </c>
      <c r="I43">
        <v>-0.68161791322897258</v>
      </c>
      <c r="J43">
        <v>0.3771702869455999</v>
      </c>
      <c r="M43" s="13">
        <v>1</v>
      </c>
      <c r="O43" s="10">
        <f t="shared" si="0"/>
        <v>0</v>
      </c>
      <c r="P43" s="10">
        <f t="shared" si="1"/>
        <v>1</v>
      </c>
      <c r="R43" s="14">
        <v>-1.1411299954876168</v>
      </c>
      <c r="S43" s="14">
        <v>1.0356494279790371</v>
      </c>
      <c r="T43" s="14">
        <v>-0.32685646544171432</v>
      </c>
      <c r="U43" s="14">
        <v>-1.0600209134712084</v>
      </c>
      <c r="V43" s="14">
        <v>8.8951709187736261E-2</v>
      </c>
      <c r="W43" s="14">
        <v>0.72388830208789345</v>
      </c>
      <c r="X43" s="14">
        <v>-1.4504066730953333</v>
      </c>
      <c r="Y43" s="14">
        <v>-1.1222862407791514</v>
      </c>
      <c r="Z43" s="14">
        <v>-0.25093189041569541</v>
      </c>
      <c r="AA43" s="14">
        <v>1.177079297136848</v>
      </c>
      <c r="AB43" s="14">
        <v>1.7111407002458257</v>
      </c>
      <c r="AC43" s="14">
        <v>-0.88008457980066979</v>
      </c>
      <c r="AD43" s="14">
        <v>-0.80572415365910899</v>
      </c>
      <c r="AE43" s="14">
        <v>1.6682348491713332</v>
      </c>
      <c r="AF43" s="14">
        <v>-1.3218719303848876</v>
      </c>
      <c r="AG43" s="14">
        <v>2.7466593875187462E-2</v>
      </c>
      <c r="AH43" s="14">
        <v>-1.3104472819570792</v>
      </c>
      <c r="AI43" s="14">
        <v>-1.603444090199786</v>
      </c>
      <c r="AJ43" s="14">
        <v>-0.55474357584368095</v>
      </c>
      <c r="AK43" s="14">
        <v>0.36759794830973413</v>
      </c>
      <c r="AM43" s="14">
        <v>-0.34311666523355028</v>
      </c>
      <c r="AN43" s="14">
        <v>4.9512014956720016E-2</v>
      </c>
      <c r="AO43" s="14">
        <v>0.18267632407629508</v>
      </c>
      <c r="AP43" s="14">
        <v>0.31409466398851293</v>
      </c>
      <c r="AQ43" s="14">
        <v>0.44951219816853472</v>
      </c>
      <c r="AR43" s="14">
        <v>0.47387275763516934</v>
      </c>
      <c r="AS43" s="14">
        <v>-0.16337787330702228</v>
      </c>
      <c r="AT43" s="14">
        <v>-0.1327539304759463</v>
      </c>
      <c r="AU43" s="14">
        <v>-1.8953214562598186E-2</v>
      </c>
      <c r="AV43" s="14">
        <v>0.25880905891587325</v>
      </c>
      <c r="AW43" s="14">
        <v>-0.56092467133001622</v>
      </c>
      <c r="AX43" s="14">
        <v>-6.0068445064706356E-2</v>
      </c>
      <c r="AY43" s="14">
        <v>-0.16743507529360305</v>
      </c>
      <c r="AZ43" s="14">
        <v>-5.1050696616782316E-3</v>
      </c>
      <c r="BA43" s="14">
        <v>-0.34923475148594485</v>
      </c>
      <c r="BB43" s="14">
        <v>0.41784948412875922</v>
      </c>
      <c r="BC43" s="14">
        <v>-0.14117210144035891</v>
      </c>
      <c r="BD43" s="14">
        <v>1.547418630408183E-2</v>
      </c>
      <c r="BE43" s="14">
        <v>-0.26353285779699148</v>
      </c>
      <c r="BF43" s="14">
        <v>0.32840172621552888</v>
      </c>
      <c r="BK43" s="16">
        <v>-4.8258179208767606E-2</v>
      </c>
      <c r="BL43" s="16">
        <v>1.036095250289925</v>
      </c>
      <c r="BN43" s="17">
        <f t="shared" si="2"/>
        <v>1</v>
      </c>
    </row>
    <row r="44" spans="1:66" x14ac:dyDescent="0.2">
      <c r="A44">
        <v>1.3824032904062129</v>
      </c>
      <c r="B44">
        <v>1.427200835916157</v>
      </c>
      <c r="C44">
        <v>1.4773094278287311</v>
      </c>
      <c r="D44">
        <v>1.2666884557173079</v>
      </c>
      <c r="E44">
        <v>2.1186729415501788</v>
      </c>
      <c r="F44">
        <v>1.479318824266411</v>
      </c>
      <c r="G44">
        <v>1.2590639533291581</v>
      </c>
      <c r="H44">
        <v>1.5818014610542039</v>
      </c>
      <c r="I44">
        <v>1.3322566444625941</v>
      </c>
      <c r="J44">
        <v>1.978035912344271</v>
      </c>
      <c r="M44" s="13">
        <v>1</v>
      </c>
      <c r="O44" s="10">
        <f t="shared" si="0"/>
        <v>0</v>
      </c>
      <c r="P44" s="10">
        <f t="shared" si="1"/>
        <v>1</v>
      </c>
      <c r="R44" s="14">
        <v>-0.91460145364774492</v>
      </c>
      <c r="S44" s="14">
        <v>-0.83290780704107603</v>
      </c>
      <c r="T44" s="14">
        <v>5.4053811320277756E-2</v>
      </c>
      <c r="U44" s="14">
        <v>0.33328340615447405</v>
      </c>
      <c r="V44" s="14">
        <v>1.2513928323076375</v>
      </c>
      <c r="W44" s="14">
        <v>-0.23090403663884287</v>
      </c>
      <c r="X44" s="14">
        <v>-0.64829661335593713</v>
      </c>
      <c r="Y44" s="14">
        <v>0.73006453615335332</v>
      </c>
      <c r="Z44" s="14">
        <v>1.3414804086147019</v>
      </c>
      <c r="AA44" s="14">
        <v>0.70565753037011436</v>
      </c>
      <c r="AB44" s="14">
        <v>-0.28629709759300292</v>
      </c>
      <c r="AC44" s="14">
        <v>-4.6777579314039835E-2</v>
      </c>
      <c r="AD44" s="14">
        <v>-7.5805783162430501E-2</v>
      </c>
      <c r="AE44" s="14">
        <v>-0.16051103243139331</v>
      </c>
      <c r="AF44" s="14">
        <v>-0.14064720831742106</v>
      </c>
      <c r="AG44" s="14">
        <v>0.1761408009748302</v>
      </c>
      <c r="AH44" s="14">
        <v>-0.20583841406814296</v>
      </c>
      <c r="AI44" s="14">
        <v>5.4300307149309557E-2</v>
      </c>
      <c r="AJ44" s="14">
        <v>-0.29368773182838509</v>
      </c>
      <c r="AK44" s="14">
        <v>-0.59032848257997572</v>
      </c>
      <c r="AM44" s="14">
        <v>-0.1480487737532348</v>
      </c>
      <c r="AN44" s="14">
        <v>0.79323535096601527</v>
      </c>
      <c r="AO44" s="14">
        <v>0.17228184764984045</v>
      </c>
      <c r="AP44" s="14">
        <v>-0.11269870119591011</v>
      </c>
      <c r="AQ44" s="14">
        <v>9.537448381265777E-2</v>
      </c>
      <c r="AR44" s="14">
        <v>0.74682532870993956</v>
      </c>
      <c r="AS44" s="14">
        <v>-0.5445072984221272</v>
      </c>
      <c r="AT44" s="14">
        <v>-0.95135362437844895</v>
      </c>
      <c r="AU44" s="14">
        <v>-0.88782396347290893</v>
      </c>
      <c r="AV44" s="14">
        <v>0.63761297845213294</v>
      </c>
      <c r="AW44" s="14">
        <v>0.78561497242021194</v>
      </c>
      <c r="AX44" s="14">
        <v>-0.47129313678844653</v>
      </c>
      <c r="AY44" s="14">
        <v>-0.59146357195898613</v>
      </c>
      <c r="AZ44" s="14">
        <v>0.62536792886768888</v>
      </c>
      <c r="BA44" s="14">
        <v>-0.44145852115339057</v>
      </c>
      <c r="BB44" s="14">
        <v>0.34239162868761447</v>
      </c>
      <c r="BC44" s="14">
        <v>-0.59714789455241291</v>
      </c>
      <c r="BD44" s="14">
        <v>-0.76690329737645468</v>
      </c>
      <c r="BE44" s="14">
        <v>-0.68160791709056034</v>
      </c>
      <c r="BF44" s="14">
        <v>0.65702618068373431</v>
      </c>
      <c r="BK44" s="16">
        <v>-0.26946586328470684</v>
      </c>
      <c r="BL44" s="16">
        <v>0.77443748499881437</v>
      </c>
      <c r="BN44" s="17">
        <f t="shared" si="2"/>
        <v>1</v>
      </c>
    </row>
    <row r="45" spans="1:66" x14ac:dyDescent="0.2">
      <c r="A45">
        <v>-0.27316857170947789</v>
      </c>
      <c r="B45">
        <v>0.31643480488959003</v>
      </c>
      <c r="C45">
        <v>-0.22342955721121499</v>
      </c>
      <c r="D45">
        <v>-0.34180743225230059</v>
      </c>
      <c r="E45">
        <v>0.71739764663467476</v>
      </c>
      <c r="F45">
        <v>8.7902073042788173E-2</v>
      </c>
      <c r="G45">
        <v>0.28701734146106173</v>
      </c>
      <c r="H45">
        <v>0.19254113774771869</v>
      </c>
      <c r="I45">
        <v>1.482489775108369E-2</v>
      </c>
      <c r="J45">
        <v>0.47900271213466411</v>
      </c>
      <c r="M45" s="13">
        <v>1</v>
      </c>
      <c r="O45" s="10">
        <f t="shared" si="0"/>
        <v>0</v>
      </c>
      <c r="P45" s="10">
        <f t="shared" si="1"/>
        <v>1</v>
      </c>
      <c r="R45" s="14">
        <v>0.35016047321498767</v>
      </c>
      <c r="S45" s="14">
        <v>0.76834691105014286</v>
      </c>
      <c r="T45" s="14">
        <v>0.26015099613426751</v>
      </c>
      <c r="U45" s="14">
        <v>-1.0482652511263346E-3</v>
      </c>
      <c r="V45" s="14">
        <v>0.92016712761903197</v>
      </c>
      <c r="W45" s="14">
        <v>-0.7113055228798284</v>
      </c>
      <c r="X45" s="14">
        <v>-1.4361809490291617</v>
      </c>
      <c r="Y45" s="14">
        <v>-0.345874774080486</v>
      </c>
      <c r="Z45" s="14">
        <v>0.98785658104577978</v>
      </c>
      <c r="AA45" s="14">
        <v>1.0638398565020866</v>
      </c>
      <c r="AB45" s="14">
        <v>0.12108176424873884</v>
      </c>
      <c r="AC45" s="14">
        <v>0.89329725464768517</v>
      </c>
      <c r="AD45" s="14">
        <v>-0.65527428144358879</v>
      </c>
      <c r="AE45" s="14">
        <v>1.6645007449290885</v>
      </c>
      <c r="AF45" s="14">
        <v>0.21054982836467184</v>
      </c>
      <c r="AG45" s="14">
        <v>-7.0310004566220052E-2</v>
      </c>
      <c r="AH45" s="14">
        <v>-0.64680124082666923</v>
      </c>
      <c r="AI45" s="14">
        <v>-1.5037089422285304</v>
      </c>
      <c r="AJ45" s="14">
        <v>-0.4915795236364992</v>
      </c>
      <c r="AK45" s="14">
        <v>-1.0115822930190028</v>
      </c>
      <c r="AM45" s="14">
        <v>-0.75956506731913587</v>
      </c>
      <c r="AN45" s="14">
        <v>0.687498691148133</v>
      </c>
      <c r="AO45" s="14">
        <v>0.27576006449079166</v>
      </c>
      <c r="AP45" s="14">
        <v>0.32621877071063582</v>
      </c>
      <c r="AQ45" s="14">
        <v>0.48581145557142497</v>
      </c>
      <c r="AR45" s="14">
        <v>0.79426086974970822</v>
      </c>
      <c r="AS45" s="14">
        <v>-0.74161379902880964</v>
      </c>
      <c r="AT45" s="14">
        <v>-0.83830998918617761</v>
      </c>
      <c r="AU45" s="14">
        <v>-0.46727350219776648</v>
      </c>
      <c r="AV45" s="14">
        <v>0.46740277780329265</v>
      </c>
      <c r="AW45" s="14">
        <v>0.23712136053163291</v>
      </c>
      <c r="AX45" s="14">
        <v>-0.41716564104941178</v>
      </c>
      <c r="AY45" s="14">
        <v>-0.73176669341994205</v>
      </c>
      <c r="AZ45" s="14">
        <v>0.48616570880887305</v>
      </c>
      <c r="BA45" s="14">
        <v>-0.61845815881339694</v>
      </c>
      <c r="BB45" s="14">
        <v>0.39336450644020865</v>
      </c>
      <c r="BC45" s="14">
        <v>-0.49052997471693449</v>
      </c>
      <c r="BD45" s="14">
        <v>-0.69255276938182453</v>
      </c>
      <c r="BE45" s="14">
        <v>-0.76808490093016046</v>
      </c>
      <c r="BF45" s="14">
        <v>0.81566363036287659</v>
      </c>
      <c r="BK45" s="16">
        <v>-0.53140299247236544</v>
      </c>
      <c r="BL45" s="16">
        <v>0.46918357368197983</v>
      </c>
      <c r="BN45" s="17">
        <f t="shared" si="2"/>
        <v>1</v>
      </c>
    </row>
    <row r="46" spans="1:66" x14ac:dyDescent="0.2">
      <c r="A46">
        <v>-0.30462157772549259</v>
      </c>
      <c r="B46">
        <v>0.6915941928522048</v>
      </c>
      <c r="C46">
        <v>-0.30228275563912821</v>
      </c>
      <c r="D46">
        <v>-0.3812426392408183</v>
      </c>
      <c r="E46">
        <v>-5.5414644026346056E-3</v>
      </c>
      <c r="F46">
        <v>-0.108976640397746</v>
      </c>
      <c r="G46">
        <v>5.5443786280284409E-2</v>
      </c>
      <c r="H46">
        <v>-4.5558619599890278E-2</v>
      </c>
      <c r="I46">
        <v>-0.28008285410084749</v>
      </c>
      <c r="J46">
        <v>0.6512193135573463</v>
      </c>
      <c r="M46" s="13">
        <v>1</v>
      </c>
      <c r="O46" s="10">
        <f t="shared" si="0"/>
        <v>0</v>
      </c>
      <c r="P46" s="10">
        <f t="shared" si="1"/>
        <v>1</v>
      </c>
      <c r="R46" s="14">
        <v>2.6425187051888288E-2</v>
      </c>
      <c r="S46" s="14">
        <v>1.0359109471372838</v>
      </c>
      <c r="T46" s="14">
        <v>0.1614215072289219</v>
      </c>
      <c r="U46" s="14">
        <v>-0.90884556242566461</v>
      </c>
      <c r="V46" s="14">
        <v>1.5039570185164806</v>
      </c>
      <c r="W46" s="14">
        <v>0.56320420650748004</v>
      </c>
      <c r="X46" s="14">
        <v>-1.4659068169589895</v>
      </c>
      <c r="Y46" s="14">
        <v>-1.1177577244763011</v>
      </c>
      <c r="Z46" s="14">
        <v>0.58420512561701465</v>
      </c>
      <c r="AA46" s="14">
        <v>1.2161577931607479</v>
      </c>
      <c r="AB46" s="14">
        <v>0.47372068311855853</v>
      </c>
      <c r="AC46" s="14">
        <v>0.85272873343730715</v>
      </c>
      <c r="AD46" s="14">
        <v>-0.81071015266801705</v>
      </c>
      <c r="AE46" s="14">
        <v>1.6893977344440954</v>
      </c>
      <c r="AF46" s="14">
        <v>-0.57168110880494305</v>
      </c>
      <c r="AG46" s="14">
        <v>0.28230869743147669</v>
      </c>
      <c r="AH46" s="14">
        <v>-1.3897448335027094</v>
      </c>
      <c r="AI46" s="14">
        <v>-1.6029111868281749</v>
      </c>
      <c r="AJ46" s="14">
        <v>-0.55679591318772759</v>
      </c>
      <c r="AK46" s="14">
        <v>0.32013819683699496</v>
      </c>
      <c r="AM46" s="14">
        <v>-6.9031315130884258E-2</v>
      </c>
      <c r="AN46" s="14">
        <v>0.25070668322165396</v>
      </c>
      <c r="AO46" s="14">
        <v>0.39455358595829026</v>
      </c>
      <c r="AP46" s="14">
        <v>0.60455901274305557</v>
      </c>
      <c r="AQ46" s="14">
        <v>0.16254046742503406</v>
      </c>
      <c r="AR46" s="14">
        <v>-0.23909409149887972</v>
      </c>
      <c r="AS46" s="14">
        <v>-0.60635039138117031</v>
      </c>
      <c r="AT46" s="14">
        <v>-6.2228949629252843E-2</v>
      </c>
      <c r="AU46" s="14">
        <v>0.42601776894241289</v>
      </c>
      <c r="AV46" s="14">
        <v>9.4249030900467379E-2</v>
      </c>
      <c r="AW46" s="14">
        <v>-0.1288635529747596</v>
      </c>
      <c r="AX46" s="14">
        <v>0.20430743472249269</v>
      </c>
      <c r="AY46" s="14">
        <v>-0.50324890375134723</v>
      </c>
      <c r="AZ46" s="14">
        <v>0.35086587214266435</v>
      </c>
      <c r="BA46" s="14">
        <v>0.17418530735170851</v>
      </c>
      <c r="BB46" s="14">
        <v>-0.19969910723109668</v>
      </c>
      <c r="BC46" s="14">
        <v>0.10594113230845671</v>
      </c>
      <c r="BD46" s="14">
        <v>-0.34951620378981557</v>
      </c>
      <c r="BE46" s="14">
        <v>-0.48913800531182017</v>
      </c>
      <c r="BF46" s="14">
        <v>-0.24285360298847142</v>
      </c>
      <c r="BK46" s="16">
        <v>-0.396137458479763</v>
      </c>
      <c r="BL46" s="16">
        <v>0.60329050454071109</v>
      </c>
      <c r="BN46" s="17">
        <f t="shared" si="2"/>
        <v>1</v>
      </c>
    </row>
    <row r="47" spans="1:66" x14ac:dyDescent="0.2">
      <c r="A47">
        <v>1.2623099947087011</v>
      </c>
      <c r="B47">
        <v>-0.34070712958087351</v>
      </c>
      <c r="C47">
        <v>1.286401684266413</v>
      </c>
      <c r="D47">
        <v>1.1860909523831109</v>
      </c>
      <c r="E47">
        <v>1.182011471208781</v>
      </c>
      <c r="F47">
        <v>1.3144267028080301</v>
      </c>
      <c r="G47">
        <v>1.292036346947613</v>
      </c>
      <c r="H47">
        <v>1.31885651163554</v>
      </c>
      <c r="I47">
        <v>1.183474355239998</v>
      </c>
      <c r="J47">
        <v>1.805819310921589</v>
      </c>
      <c r="M47" s="13">
        <v>1</v>
      </c>
      <c r="O47" s="10">
        <f t="shared" si="0"/>
        <v>0</v>
      </c>
      <c r="P47" s="10">
        <f t="shared" si="1"/>
        <v>1</v>
      </c>
      <c r="R47" s="14">
        <v>-1.0173233090092639</v>
      </c>
      <c r="S47" s="14">
        <v>0.46710939060637785</v>
      </c>
      <c r="T47" s="14">
        <v>-0.13459606141102703</v>
      </c>
      <c r="U47" s="14">
        <v>-0.12872451403900925</v>
      </c>
      <c r="V47" s="14">
        <v>1.3045823659636369</v>
      </c>
      <c r="W47" s="14">
        <v>0.46905990262365332</v>
      </c>
      <c r="X47" s="14">
        <v>-1.2192735397670933</v>
      </c>
      <c r="Y47" s="14">
        <v>-0.37826824115313695</v>
      </c>
      <c r="Z47" s="14">
        <v>0.5982998656159304</v>
      </c>
      <c r="AA47" s="14">
        <v>0.98035620566538773</v>
      </c>
      <c r="AB47" s="14">
        <v>-0.21637742335647547</v>
      </c>
      <c r="AC47" s="14">
        <v>-0.23650011934969462</v>
      </c>
      <c r="AD47" s="14">
        <v>-0.31960635998690756</v>
      </c>
      <c r="AE47" s="14">
        <v>0.42963597934185238</v>
      </c>
      <c r="AF47" s="14">
        <v>-1.389255958613306</v>
      </c>
      <c r="AG47" s="14">
        <v>-2.386762301082257E-3</v>
      </c>
      <c r="AH47" s="14">
        <v>-0.71508558809533573</v>
      </c>
      <c r="AI47" s="14">
        <v>-0.58956463684303184</v>
      </c>
      <c r="AJ47" s="14">
        <v>-0.26653405962408</v>
      </c>
      <c r="AK47" s="14">
        <v>-0.10604708640509308</v>
      </c>
      <c r="AM47" s="14">
        <v>0.14956781679710723</v>
      </c>
      <c r="AN47" s="14">
        <v>0.85761465722705277</v>
      </c>
      <c r="AO47" s="14">
        <v>0.2888237576232881</v>
      </c>
      <c r="AP47" s="14">
        <v>-7.3763922665002868E-2</v>
      </c>
      <c r="AQ47" s="14">
        <v>0.67409701018232859</v>
      </c>
      <c r="AR47" s="14">
        <v>-3.1313346282987292E-2</v>
      </c>
      <c r="AS47" s="14">
        <v>-0.90489337021883798</v>
      </c>
      <c r="AT47" s="14">
        <v>-0.86450700865525731</v>
      </c>
      <c r="AU47" s="14">
        <v>0.41676711332022437</v>
      </c>
      <c r="AV47" s="14">
        <v>0.65850827016030045</v>
      </c>
      <c r="AW47" s="14">
        <v>0.70933544788402314</v>
      </c>
      <c r="AX47" s="14">
        <v>0.3524139763726355</v>
      </c>
      <c r="AY47" s="14">
        <v>-0.77452218952037066</v>
      </c>
      <c r="AZ47" s="14">
        <v>0.88409580558876788</v>
      </c>
      <c r="BA47" s="14">
        <v>-2.1378474319982448E-2</v>
      </c>
      <c r="BB47" s="14">
        <v>7.9734006540132536E-3</v>
      </c>
      <c r="BC47" s="14">
        <v>-0.61437569563912764</v>
      </c>
      <c r="BD47" s="14">
        <v>-0.81711419134021501</v>
      </c>
      <c r="BE47" s="14">
        <v>-0.82400614493916735</v>
      </c>
      <c r="BF47" s="14">
        <v>0.49445987084461196</v>
      </c>
      <c r="BK47" s="16">
        <v>-0.46587241388852924</v>
      </c>
      <c r="BL47" s="16">
        <v>0.22755728817373905</v>
      </c>
      <c r="BN47" s="17">
        <f t="shared" si="2"/>
        <v>1</v>
      </c>
    </row>
    <row r="48" spans="1:66" x14ac:dyDescent="0.2">
      <c r="A48">
        <v>-1.7268693224860181</v>
      </c>
      <c r="B48">
        <v>-0.52706081249040826</v>
      </c>
      <c r="C48">
        <v>-1.701304502483846</v>
      </c>
      <c r="D48">
        <v>-1.3299903927747889</v>
      </c>
      <c r="E48">
        <v>-0.84686417794142632</v>
      </c>
      <c r="F48">
        <v>-0.93604080750215579</v>
      </c>
      <c r="G48">
        <v>-1.1357286631777459</v>
      </c>
      <c r="H48">
        <v>-1.549934999502264</v>
      </c>
      <c r="I48">
        <v>-1.1630348919278011</v>
      </c>
      <c r="J48">
        <v>-1.371352354977214</v>
      </c>
      <c r="M48" s="13">
        <v>0</v>
      </c>
      <c r="O48" s="10">
        <f t="shared" si="0"/>
        <v>1</v>
      </c>
      <c r="P48" s="10">
        <f t="shared" si="1"/>
        <v>0</v>
      </c>
      <c r="R48" s="14">
        <v>-0.60452461166853766</v>
      </c>
      <c r="S48" s="14">
        <v>1.035536390677988</v>
      </c>
      <c r="T48" s="14">
        <v>-0.19175057986604033</v>
      </c>
      <c r="U48" s="14">
        <v>-0.8406148441630632</v>
      </c>
      <c r="V48" s="14">
        <v>0.53388135997135144</v>
      </c>
      <c r="W48" s="14">
        <v>0.68142514297433232</v>
      </c>
      <c r="X48" s="14">
        <v>-1.4517750884383496</v>
      </c>
      <c r="Y48" s="14">
        <v>-1.1220671613517419</v>
      </c>
      <c r="Z48" s="14">
        <v>-0.24792164402501971</v>
      </c>
      <c r="AA48" s="14">
        <v>1.20308444735252</v>
      </c>
      <c r="AB48" s="14">
        <v>1.7086657936767404</v>
      </c>
      <c r="AC48" s="14">
        <v>-0.79243666240234856</v>
      </c>
      <c r="AD48" s="14">
        <v>-0.77948487019768353</v>
      </c>
      <c r="AE48" s="14">
        <v>1.6830973037877017</v>
      </c>
      <c r="AF48" s="14">
        <v>-1.2648322366912348</v>
      </c>
      <c r="AG48" s="14">
        <v>5.2692356763024084E-2</v>
      </c>
      <c r="AH48" s="14">
        <v>-1.2537261627951348</v>
      </c>
      <c r="AI48" s="14">
        <v>-1.6027669964984468</v>
      </c>
      <c r="AJ48" s="14">
        <v>-0.55334870932029223</v>
      </c>
      <c r="AK48" s="14">
        <v>0.24958452864714931</v>
      </c>
      <c r="AM48" s="14">
        <v>0.12039939527227696</v>
      </c>
      <c r="AN48" s="14">
        <v>0.76868148559516913</v>
      </c>
      <c r="AO48" s="14">
        <v>0.73197404663606236</v>
      </c>
      <c r="AP48" s="14">
        <v>0.78871721658219429</v>
      </c>
      <c r="AQ48" s="14">
        <v>0.76072349829826114</v>
      </c>
      <c r="AR48" s="14">
        <v>-0.47167581342778281</v>
      </c>
      <c r="AS48" s="14">
        <v>-0.90572624852096606</v>
      </c>
      <c r="AT48" s="14">
        <v>-0.12037302879379973</v>
      </c>
      <c r="AU48" s="14">
        <v>0.83859341446485491</v>
      </c>
      <c r="AV48" s="14">
        <v>0.58094722871352011</v>
      </c>
      <c r="AW48" s="14">
        <v>-0.47485281702887094</v>
      </c>
      <c r="AX48" s="14">
        <v>0.70571248137842391</v>
      </c>
      <c r="AY48" s="14">
        <v>-0.83054941576786345</v>
      </c>
      <c r="AZ48" s="14">
        <v>0.84751926742805961</v>
      </c>
      <c r="BA48" s="14">
        <v>0.41394104866702969</v>
      </c>
      <c r="BB48" s="14">
        <v>0.18766283310860121</v>
      </c>
      <c r="BC48" s="14">
        <v>-7.3918358338433146E-2</v>
      </c>
      <c r="BD48" s="14">
        <v>-0.77899937693098775</v>
      </c>
      <c r="BE48" s="14">
        <v>-0.84103013778211966</v>
      </c>
      <c r="BF48" s="14">
        <v>-0.18217273817277632</v>
      </c>
      <c r="BK48" s="16">
        <v>-0.43691968245294383</v>
      </c>
      <c r="BL48" s="16">
        <v>0.69483829202003222</v>
      </c>
      <c r="BN48" s="17">
        <f t="shared" si="2"/>
        <v>1</v>
      </c>
    </row>
    <row r="49" spans="1:66" x14ac:dyDescent="0.2">
      <c r="A49">
        <v>-0.30462157772549259</v>
      </c>
      <c r="B49">
        <v>-8.0792782364944166E-2</v>
      </c>
      <c r="C49">
        <v>-0.27904181294458519</v>
      </c>
      <c r="D49">
        <v>-0.37231934422881791</v>
      </c>
      <c r="E49">
        <v>0.33641431048390757</v>
      </c>
      <c r="F49">
        <v>0.38706349340299517</v>
      </c>
      <c r="G49">
        <v>0.5891364829883009</v>
      </c>
      <c r="H49">
        <v>-0.1615028492648132</v>
      </c>
      <c r="I49">
        <v>-0.24696108257153171</v>
      </c>
      <c r="J49">
        <v>1.371533968203521</v>
      </c>
      <c r="M49" s="13">
        <v>1</v>
      </c>
      <c r="O49" s="10">
        <f t="shared" si="0"/>
        <v>0</v>
      </c>
      <c r="P49" s="10">
        <f t="shared" si="1"/>
        <v>1</v>
      </c>
      <c r="R49" s="14">
        <v>-1.3450407536893918</v>
      </c>
      <c r="S49" s="14">
        <v>1.0203258556559063</v>
      </c>
      <c r="T49" s="14">
        <v>0.13369801927263891</v>
      </c>
      <c r="U49" s="14">
        <v>-0.2305419641591015</v>
      </c>
      <c r="V49" s="14">
        <v>1.1099429437685617</v>
      </c>
      <c r="W49" s="14">
        <v>0.72198376518075524</v>
      </c>
      <c r="X49" s="14">
        <v>-1.4529658451629186</v>
      </c>
      <c r="Y49" s="14">
        <v>-1.0968311015492502</v>
      </c>
      <c r="Z49" s="14">
        <v>-0.18841861980975094</v>
      </c>
      <c r="AA49" s="14">
        <v>1.1494663786486714</v>
      </c>
      <c r="AB49" s="14">
        <v>0.87662392217671004</v>
      </c>
      <c r="AC49" s="14">
        <v>-0.7399539208863174</v>
      </c>
      <c r="AD49" s="14">
        <v>-0.80309396546734324</v>
      </c>
      <c r="AE49" s="14">
        <v>1.1290172986847087</v>
      </c>
      <c r="AF49" s="14">
        <v>-1.2330108256524648</v>
      </c>
      <c r="AG49" s="14">
        <v>0.20221599757308006</v>
      </c>
      <c r="AH49" s="14">
        <v>-1.1615512206232876</v>
      </c>
      <c r="AI49" s="14">
        <v>-1.5950432608884637</v>
      </c>
      <c r="AJ49" s="14">
        <v>-0.55201110995982106</v>
      </c>
      <c r="AK49" s="14">
        <v>0.34133341046463117</v>
      </c>
      <c r="AM49" s="14">
        <v>0.61798545016420747</v>
      </c>
      <c r="AN49" s="14">
        <v>-0.19251288363935998</v>
      </c>
      <c r="AO49" s="14">
        <v>1.4796937670716574E-2</v>
      </c>
      <c r="AP49" s="14">
        <v>-4.5571002454235593E-2</v>
      </c>
      <c r="AQ49" s="14">
        <v>-0.32435338308678285</v>
      </c>
      <c r="AR49" s="14">
        <v>-0.36603649731535842</v>
      </c>
      <c r="AS49" s="14">
        <v>0.23828482867616005</v>
      </c>
      <c r="AT49" s="14">
        <v>0.17644636679128656</v>
      </c>
      <c r="AU49" s="14">
        <v>2.1805423374150687E-2</v>
      </c>
      <c r="AV49" s="14">
        <v>-0.10993746858357571</v>
      </c>
      <c r="AW49" s="14">
        <v>0.16577179283871354</v>
      </c>
      <c r="AX49" s="14">
        <v>0.29030820885713748</v>
      </c>
      <c r="AY49" s="14">
        <v>0.25488531253055796</v>
      </c>
      <c r="AZ49" s="14">
        <v>-4.7394444852693354E-2</v>
      </c>
      <c r="BA49" s="14">
        <v>0.2897315773512153</v>
      </c>
      <c r="BB49" s="14">
        <v>-0.39623924442613495</v>
      </c>
      <c r="BC49" s="14">
        <v>0.19599710626416361</v>
      </c>
      <c r="BD49" s="14">
        <v>0.22774807912842582</v>
      </c>
      <c r="BE49" s="14">
        <v>0.34445937639263069</v>
      </c>
      <c r="BF49" s="14">
        <v>-0.63378258169839663</v>
      </c>
      <c r="BK49" s="16">
        <v>-0.81346333404173188</v>
      </c>
      <c r="BL49" s="16">
        <v>0.24301301776664638</v>
      </c>
      <c r="BN49" s="17">
        <f t="shared" si="2"/>
        <v>1</v>
      </c>
    </row>
    <row r="50" spans="1:66" x14ac:dyDescent="0.2">
      <c r="A50">
        <v>-0.62487036625218895</v>
      </c>
      <c r="B50">
        <v>-1.068957706214186</v>
      </c>
      <c r="C50">
        <v>-0.60856517900649731</v>
      </c>
      <c r="D50">
        <v>-0.61785388117192386</v>
      </c>
      <c r="E50">
        <v>-0.26163660450788201</v>
      </c>
      <c r="F50">
        <v>-0.31564969789483038</v>
      </c>
      <c r="G50">
        <v>-0.58432288989795522</v>
      </c>
      <c r="H50">
        <v>-0.55695548972910347</v>
      </c>
      <c r="I50">
        <v>-0.56011237703051919</v>
      </c>
      <c r="J50">
        <v>-0.77473414622246128</v>
      </c>
      <c r="M50" s="13">
        <v>0</v>
      </c>
      <c r="O50" s="10">
        <f t="shared" si="0"/>
        <v>1</v>
      </c>
      <c r="P50" s="10">
        <f t="shared" si="1"/>
        <v>0</v>
      </c>
      <c r="R50" s="14">
        <v>-0.23075195618669</v>
      </c>
      <c r="S50" s="14">
        <v>-0.52490836976231137</v>
      </c>
      <c r="T50" s="14">
        <v>0.29111014469134289</v>
      </c>
      <c r="U50" s="14">
        <v>0.21322299208255435</v>
      </c>
      <c r="V50" s="14">
        <v>0.23707035746875571</v>
      </c>
      <c r="W50" s="14">
        <v>-0.13826256152673688</v>
      </c>
      <c r="X50" s="14">
        <v>-1.1242759335179744</v>
      </c>
      <c r="Y50" s="14">
        <v>0.3520412870120177</v>
      </c>
      <c r="Z50" s="14">
        <v>0.84211086852239414</v>
      </c>
      <c r="AA50" s="14">
        <v>0.33745018784251413</v>
      </c>
      <c r="AB50" s="14">
        <v>-0.20462100716783449</v>
      </c>
      <c r="AC50" s="14">
        <v>0.63201540093548592</v>
      </c>
      <c r="AD50" s="14">
        <v>-0.55699172855986012</v>
      </c>
      <c r="AE50" s="14">
        <v>0.33077496526275646</v>
      </c>
      <c r="AF50" s="14">
        <v>0.10041998819503917</v>
      </c>
      <c r="AG50" s="14">
        <v>-0.43588998571165238</v>
      </c>
      <c r="AH50" s="14">
        <v>-0.2535143748820019</v>
      </c>
      <c r="AI50" s="14">
        <v>-0.92495084028282237</v>
      </c>
      <c r="AJ50" s="14">
        <v>-0.12259365863683119</v>
      </c>
      <c r="AK50" s="14">
        <v>-0.97348571777168813</v>
      </c>
      <c r="AM50" s="14">
        <v>0.36975002188815159</v>
      </c>
      <c r="AN50" s="14">
        <v>-0.42426517832261151</v>
      </c>
      <c r="AO50" s="14">
        <v>-0.38528962513708581</v>
      </c>
      <c r="AP50" s="14">
        <v>-0.33805250465003467</v>
      </c>
      <c r="AQ50" s="14">
        <v>-0.20605631219443565</v>
      </c>
      <c r="AR50" s="14">
        <v>-0.37519965833776764</v>
      </c>
      <c r="AS50" s="14">
        <v>0.57942762590647789</v>
      </c>
      <c r="AT50" s="14">
        <v>0.30875545337885124</v>
      </c>
      <c r="AU50" s="14">
        <v>-0.15456349576273892</v>
      </c>
      <c r="AV50" s="14">
        <v>-9.53466031279398E-2</v>
      </c>
      <c r="AW50" s="14">
        <v>0.18899004092091495</v>
      </c>
      <c r="AX50" s="14">
        <v>-7.6968137714000073E-2</v>
      </c>
      <c r="AY50" s="14">
        <v>0.5843824987480829</v>
      </c>
      <c r="AZ50" s="14">
        <v>-0.31330442335369346</v>
      </c>
      <c r="BA50" s="14">
        <v>0.31536987246443499</v>
      </c>
      <c r="BB50" s="14">
        <v>0.10629327392132881</v>
      </c>
      <c r="BC50" s="14">
        <v>0.1122409948162052</v>
      </c>
      <c r="BD50" s="14">
        <v>0.45932623171921805</v>
      </c>
      <c r="BE50" s="14">
        <v>0.4649932187358175</v>
      </c>
      <c r="BF50" s="14">
        <v>-0.22229026659629214</v>
      </c>
      <c r="BK50" s="16">
        <v>-0.34557688231891376</v>
      </c>
      <c r="BL50" s="16">
        <v>0.59784702545180446</v>
      </c>
      <c r="BN50" s="17">
        <f t="shared" si="2"/>
        <v>1</v>
      </c>
    </row>
    <row r="51" spans="1:66" x14ac:dyDescent="0.2">
      <c r="A51">
        <v>-0.2131219238607221</v>
      </c>
      <c r="B51">
        <v>0.8117432778859841</v>
      </c>
      <c r="C51">
        <v>-0.24044524739829101</v>
      </c>
      <c r="D51">
        <v>-0.29632741251371841</v>
      </c>
      <c r="E51">
        <v>-0.52070527309040349</v>
      </c>
      <c r="F51">
        <v>-0.54389510812406427</v>
      </c>
      <c r="G51">
        <v>-0.42201692131098673</v>
      </c>
      <c r="H51">
        <v>-0.26916534823938432</v>
      </c>
      <c r="I51">
        <v>-0.35429687693926171</v>
      </c>
      <c r="J51">
        <v>0.1645202225802013</v>
      </c>
      <c r="M51" s="13">
        <v>0</v>
      </c>
      <c r="O51" s="10">
        <f t="shared" si="0"/>
        <v>1</v>
      </c>
      <c r="P51" s="10">
        <f t="shared" si="1"/>
        <v>0</v>
      </c>
      <c r="R51" s="14">
        <v>0.26084805821322443</v>
      </c>
      <c r="S51" s="14">
        <v>1.0347338435291931</v>
      </c>
      <c r="T51" s="14">
        <v>0.22338462528230807</v>
      </c>
      <c r="U51" s="14">
        <v>-0.72224959547034207</v>
      </c>
      <c r="V51" s="14">
        <v>1.3480191266566437</v>
      </c>
      <c r="W51" s="14">
        <v>0.3351634139523611</v>
      </c>
      <c r="X51" s="14">
        <v>-1.4655653495024648</v>
      </c>
      <c r="Y51" s="14">
        <v>-1.092865869933425</v>
      </c>
      <c r="Z51" s="14">
        <v>0.37330882983594571</v>
      </c>
      <c r="AA51" s="14">
        <v>1.2030094356615195</v>
      </c>
      <c r="AB51" s="14">
        <v>1.5219257887032622</v>
      </c>
      <c r="AC51" s="14">
        <v>0.85054539009346186</v>
      </c>
      <c r="AD51" s="14">
        <v>-0.80767016622286103</v>
      </c>
      <c r="AE51" s="14">
        <v>1.6889251365206062</v>
      </c>
      <c r="AF51" s="14">
        <v>0.14480566140797668</v>
      </c>
      <c r="AG51" s="14">
        <v>0.14400850158466816</v>
      </c>
      <c r="AH51" s="14">
        <v>-1.2827234821224092</v>
      </c>
      <c r="AI51" s="14">
        <v>-1.602360788762728</v>
      </c>
      <c r="AJ51" s="14">
        <v>-0.5537263798945784</v>
      </c>
      <c r="AK51" s="14">
        <v>4.4934897820870789E-2</v>
      </c>
      <c r="AM51" s="14">
        <v>0.2955417393051456</v>
      </c>
      <c r="AN51" s="14">
        <v>-0.75640735933347114</v>
      </c>
      <c r="AO51" s="14">
        <v>-0.5822719974215288</v>
      </c>
      <c r="AP51" s="14">
        <v>-0.54148571178685212</v>
      </c>
      <c r="AQ51" s="14">
        <v>-0.88426915784008508</v>
      </c>
      <c r="AR51" s="14">
        <v>-0.1101996119535979</v>
      </c>
      <c r="AS51" s="14">
        <v>0.89529970062948128</v>
      </c>
      <c r="AT51" s="14">
        <v>0.55491680264455923</v>
      </c>
      <c r="AU51" s="14">
        <v>-0.68320113612990163</v>
      </c>
      <c r="AV51" s="14">
        <v>-0.71508136982463422</v>
      </c>
      <c r="AW51" s="14">
        <v>0.59944658588347177</v>
      </c>
      <c r="AX51" s="14">
        <v>-0.38437830415918861</v>
      </c>
      <c r="AY51" s="14">
        <v>0.78434850169994963</v>
      </c>
      <c r="AZ51" s="14">
        <v>-0.81161732059517822</v>
      </c>
      <c r="BA51" s="14">
        <v>0.13661027118691618</v>
      </c>
      <c r="BB51" s="14">
        <v>-0.5613385903261765</v>
      </c>
      <c r="BC51" s="14">
        <v>0.52448097947852568</v>
      </c>
      <c r="BD51" s="14">
        <v>0.70595324238288926</v>
      </c>
      <c r="BE51" s="14">
        <v>0.86601116416191415</v>
      </c>
      <c r="BF51" s="14">
        <v>-0.51245252792626339</v>
      </c>
      <c r="BK51" s="16">
        <v>-0.56208399696472333</v>
      </c>
      <c r="BL51" s="16">
        <v>0.36973966686489751</v>
      </c>
      <c r="BN51" s="17">
        <f t="shared" si="2"/>
        <v>1</v>
      </c>
    </row>
    <row r="52" spans="1:66" x14ac:dyDescent="0.2">
      <c r="A52">
        <v>-0.70779192756713749</v>
      </c>
      <c r="B52">
        <v>0.6401017278377289</v>
      </c>
      <c r="C52">
        <v>-0.74635076783843068</v>
      </c>
      <c r="D52">
        <v>-0.67945340157734568</v>
      </c>
      <c r="E52">
        <v>-1.0284352605849869</v>
      </c>
      <c r="F52">
        <v>-0.92748625383251038</v>
      </c>
      <c r="G52">
        <v>-1.0019732090650519</v>
      </c>
      <c r="H52">
        <v>-0.71844923819096007</v>
      </c>
      <c r="I52">
        <v>-0.67718986890687161</v>
      </c>
      <c r="J52">
        <v>-1.198985999988077</v>
      </c>
      <c r="M52" s="13">
        <v>0</v>
      </c>
      <c r="O52" s="10">
        <f t="shared" si="0"/>
        <v>1</v>
      </c>
      <c r="P52" s="10">
        <f t="shared" si="1"/>
        <v>0</v>
      </c>
      <c r="R52" s="14">
        <v>0.15382769496561421</v>
      </c>
      <c r="S52" s="14">
        <v>1.0045252167237475</v>
      </c>
      <c r="T52" s="14">
        <v>0.44915169949320555</v>
      </c>
      <c r="U52" s="14">
        <v>0.38654270203810326</v>
      </c>
      <c r="V52" s="14">
        <v>1.4948808143518086</v>
      </c>
      <c r="W52" s="14">
        <v>-0.42532820188375531</v>
      </c>
      <c r="X52" s="14">
        <v>-1.4659119509337737</v>
      </c>
      <c r="Y52" s="14">
        <v>0.53116459268487981</v>
      </c>
      <c r="Z52" s="14">
        <v>1.601894116125048</v>
      </c>
      <c r="AA52" s="14">
        <v>1.2037181548049847</v>
      </c>
      <c r="AB52" s="14">
        <v>-0.28831644102451026</v>
      </c>
      <c r="AC52" s="14">
        <v>1.0640771749332283</v>
      </c>
      <c r="AD52" s="14">
        <v>-0.81571079547348924</v>
      </c>
      <c r="AE52" s="14">
        <v>1.6892858042737071</v>
      </c>
      <c r="AF52" s="14">
        <v>0.2489787267649437</v>
      </c>
      <c r="AG52" s="14">
        <v>0.27847987386660633</v>
      </c>
      <c r="AH52" s="14">
        <v>-0.64533721823408141</v>
      </c>
      <c r="AI52" s="14">
        <v>-1.6024063711457255</v>
      </c>
      <c r="AJ52" s="14">
        <v>-0.55684246795039183</v>
      </c>
      <c r="AK52" s="14">
        <v>-0.87412793877017458</v>
      </c>
      <c r="AM52" s="14">
        <v>0.78537142458176079</v>
      </c>
      <c r="AN52" s="14">
        <v>0.87638378824357588</v>
      </c>
      <c r="AO52" s="14">
        <v>0.33135251773910823</v>
      </c>
      <c r="AP52" s="14">
        <v>-0.42189278315464601</v>
      </c>
      <c r="AQ52" s="14">
        <v>0.30509201128156332</v>
      </c>
      <c r="AR52" s="14">
        <v>-0.29451564155808774</v>
      </c>
      <c r="AS52" s="14">
        <v>-0.80751732739928817</v>
      </c>
      <c r="AT52" s="14">
        <v>-0.89696263652839203</v>
      </c>
      <c r="AU52" s="14">
        <v>-9.4471364557726936E-2</v>
      </c>
      <c r="AV52" s="14">
        <v>0.67269492190802382</v>
      </c>
      <c r="AW52" s="14">
        <v>0.83508943123009238</v>
      </c>
      <c r="AX52" s="14">
        <v>0.47220707039930632</v>
      </c>
      <c r="AY52" s="14">
        <v>-0.64754055045526049</v>
      </c>
      <c r="AZ52" s="14">
        <v>0.90205992023115544</v>
      </c>
      <c r="BA52" s="14">
        <v>0.24945299081118208</v>
      </c>
      <c r="BB52" s="14">
        <v>-0.3227545956564285</v>
      </c>
      <c r="BC52" s="14">
        <v>-0.61869189208525388</v>
      </c>
      <c r="BD52" s="14">
        <v>-0.82242638265926415</v>
      </c>
      <c r="BE52" s="14">
        <v>-0.65966764678436518</v>
      </c>
      <c r="BF52" s="14">
        <v>-0.18212865972005984</v>
      </c>
      <c r="BK52" s="16">
        <v>-0.70903793763927736</v>
      </c>
      <c r="BL52" s="16">
        <v>0.3207049814481544</v>
      </c>
      <c r="BN52" s="17">
        <f t="shared" si="2"/>
        <v>1</v>
      </c>
    </row>
    <row r="53" spans="1:66" x14ac:dyDescent="0.2">
      <c r="A53">
        <v>-0.1702314611116108</v>
      </c>
      <c r="B53">
        <v>-0.64966191966773357</v>
      </c>
      <c r="C53">
        <v>-0.2279947423833574</v>
      </c>
      <c r="D53">
        <v>-0.26523980408481412</v>
      </c>
      <c r="E53">
        <v>-0.82530609648118769</v>
      </c>
      <c r="F53">
        <v>-0.90269044609440774</v>
      </c>
      <c r="G53">
        <v>-0.84656843914241164</v>
      </c>
      <c r="H53">
        <v>-0.36854611652360392</v>
      </c>
      <c r="I53">
        <v>-0.4288651433234435</v>
      </c>
      <c r="J53">
        <v>-0.46953637778817769</v>
      </c>
      <c r="M53" s="13">
        <v>0</v>
      </c>
      <c r="O53" s="10">
        <f t="shared" si="0"/>
        <v>1</v>
      </c>
      <c r="P53" s="10">
        <f t="shared" si="1"/>
        <v>0</v>
      </c>
      <c r="R53" s="14">
        <v>0.95447553768164284</v>
      </c>
      <c r="S53" s="14">
        <v>-0.81508283406790327</v>
      </c>
      <c r="T53" s="14">
        <v>-2.5447866721273416E-2</v>
      </c>
      <c r="U53" s="14">
        <v>-0.7062699476429356</v>
      </c>
      <c r="V53" s="14">
        <v>-0.42438680096309445</v>
      </c>
      <c r="W53" s="14">
        <v>-0.18098302819219253</v>
      </c>
      <c r="X53" s="14">
        <v>0.92111260966518904</v>
      </c>
      <c r="Y53" s="14">
        <v>0.68188726365336194</v>
      </c>
      <c r="Z53" s="14">
        <v>-9.5564058460231804E-2</v>
      </c>
      <c r="AA53" s="14">
        <v>0.19525022463091846</v>
      </c>
      <c r="AB53" s="14">
        <v>0.42727231953681155</v>
      </c>
      <c r="AC53" s="14">
        <v>1.0549017035854049</v>
      </c>
      <c r="AD53" s="14">
        <v>0.94762497314781102</v>
      </c>
      <c r="AE53" s="14">
        <v>0.19119546189155676</v>
      </c>
      <c r="AF53" s="14">
        <v>0.82530011475383813</v>
      </c>
      <c r="AG53" s="14">
        <v>-0.48460284827240063</v>
      </c>
      <c r="AH53" s="14">
        <v>-0.31740552976159442</v>
      </c>
      <c r="AI53" s="14">
        <v>0.13129553750223855</v>
      </c>
      <c r="AJ53" s="14">
        <v>1.5111617646894748</v>
      </c>
      <c r="AK53" s="14">
        <v>-1.4207740250256562</v>
      </c>
      <c r="AM53" s="14">
        <v>7.3383126512456126E-2</v>
      </c>
      <c r="AN53" s="14">
        <v>0.75744032191060851</v>
      </c>
      <c r="AO53" s="14">
        <v>0.65014614792152092</v>
      </c>
      <c r="AP53" s="14">
        <v>0.82785219675411259</v>
      </c>
      <c r="AQ53" s="14">
        <v>0.88210292516389843</v>
      </c>
      <c r="AR53" s="14">
        <v>-0.68016543287380471</v>
      </c>
      <c r="AS53" s="14">
        <v>-0.91270536651853973</v>
      </c>
      <c r="AT53" s="14">
        <v>0.26850978094076189</v>
      </c>
      <c r="AU53" s="14">
        <v>0.94615490321409279</v>
      </c>
      <c r="AV53" s="14">
        <v>0.67070751434177545</v>
      </c>
      <c r="AW53" s="14">
        <v>-0.75822841776029992</v>
      </c>
      <c r="AX53" s="14">
        <v>0.71990069721222105</v>
      </c>
      <c r="AY53" s="14">
        <v>-0.79900940934318687</v>
      </c>
      <c r="AZ53" s="14">
        <v>0.86875046376716647</v>
      </c>
      <c r="BA53" s="14">
        <v>0.57467981546595304</v>
      </c>
      <c r="BB53" s="14">
        <v>0.5262605147394438</v>
      </c>
      <c r="BC53" s="14">
        <v>-0.14155472357208887</v>
      </c>
      <c r="BD53" s="14">
        <v>-0.73938745020403873</v>
      </c>
      <c r="BE53" s="14">
        <v>-0.85692819523817532</v>
      </c>
      <c r="BF53" s="14">
        <v>-3.3543693112859603E-2</v>
      </c>
      <c r="BK53" s="16">
        <v>-0.63558878545490616</v>
      </c>
      <c r="BL53" s="16">
        <v>0.27095277245496235</v>
      </c>
      <c r="BN53" s="17">
        <f t="shared" si="2"/>
        <v>1</v>
      </c>
    </row>
    <row r="54" spans="1:66" x14ac:dyDescent="0.2">
      <c r="A54">
        <v>-0.65632337226820414</v>
      </c>
      <c r="B54">
        <v>-0.18377771239389781</v>
      </c>
      <c r="C54">
        <v>-0.70526410128914963</v>
      </c>
      <c r="D54">
        <v>-0.65153212363657032</v>
      </c>
      <c r="E54">
        <v>-1.0683920494983601</v>
      </c>
      <c r="F54">
        <v>-0.88843285664499883</v>
      </c>
      <c r="G54">
        <v>-0.94216282064087797</v>
      </c>
      <c r="H54">
        <v>-0.69360404611990534</v>
      </c>
      <c r="I54">
        <v>-0.65823783920827894</v>
      </c>
      <c r="J54">
        <v>-0.81247204496899672</v>
      </c>
      <c r="M54" s="13">
        <v>0</v>
      </c>
      <c r="O54" s="10">
        <f t="shared" si="0"/>
        <v>1</v>
      </c>
      <c r="P54" s="10">
        <f t="shared" si="1"/>
        <v>0</v>
      </c>
      <c r="R54" s="14">
        <v>0.53828192026730648</v>
      </c>
      <c r="S54" s="14">
        <v>-0.76397178699473345</v>
      </c>
      <c r="T54" s="14">
        <v>-0.75047667081317104</v>
      </c>
      <c r="U54" s="14">
        <v>-1.0062748421728458</v>
      </c>
      <c r="V54" s="14">
        <v>-6.3296962322858474E-2</v>
      </c>
      <c r="W54" s="14">
        <v>-0.29272919961363847</v>
      </c>
      <c r="X54" s="14">
        <v>1.0474715362132421</v>
      </c>
      <c r="Y54" s="14">
        <v>0.50518383754976526</v>
      </c>
      <c r="Z54" s="14">
        <v>-4.1207724093836773E-2</v>
      </c>
      <c r="AA54" s="14">
        <v>0.34017813716490797</v>
      </c>
      <c r="AB54" s="14">
        <v>0.6800917004659327</v>
      </c>
      <c r="AC54" s="14">
        <v>-0.11812015078790183</v>
      </c>
      <c r="AD54" s="14">
        <v>1.0967312025502087</v>
      </c>
      <c r="AE54" s="14">
        <v>-0.12529140739205308</v>
      </c>
      <c r="AF54" s="14">
        <v>0.44175551848837691</v>
      </c>
      <c r="AG54" s="14">
        <v>0.10193360423083614</v>
      </c>
      <c r="AH54" s="14">
        <v>-0.50292025370730176</v>
      </c>
      <c r="AI54" s="14">
        <v>0.17610383541182195</v>
      </c>
      <c r="AJ54" s="14">
        <v>1.4110316467471997</v>
      </c>
      <c r="AK54" s="14">
        <v>-0.90880399706123471</v>
      </c>
      <c r="AM54" s="14">
        <v>-0.3833431961353217</v>
      </c>
      <c r="AN54" s="14">
        <v>0.82482979902508258</v>
      </c>
      <c r="AO54" s="14">
        <v>0.51246693213968131</v>
      </c>
      <c r="AP54" s="14">
        <v>0.39289609225104932</v>
      </c>
      <c r="AQ54" s="14">
        <v>0.71098971714398274</v>
      </c>
      <c r="AR54" s="14">
        <v>-0.492833072941599</v>
      </c>
      <c r="AS54" s="14">
        <v>-0.93622927479224549</v>
      </c>
      <c r="AT54" s="14">
        <v>-0.3448698196888853</v>
      </c>
      <c r="AU54" s="14">
        <v>0.84624864610351924</v>
      </c>
      <c r="AV54" s="14">
        <v>0.39714594859951713</v>
      </c>
      <c r="AW54" s="14">
        <v>0.41870105269799784</v>
      </c>
      <c r="AX54" s="14">
        <v>0.57846415775833759</v>
      </c>
      <c r="AY54" s="14">
        <v>-0.85505323831859259</v>
      </c>
      <c r="AZ54" s="14">
        <v>0.87511464651279058</v>
      </c>
      <c r="BA54" s="14">
        <v>0.34200669198931816</v>
      </c>
      <c r="BB54" s="14">
        <v>-0.12874219000372125</v>
      </c>
      <c r="BC54" s="14">
        <v>-0.2689955744996792</v>
      </c>
      <c r="BD54" s="14">
        <v>-0.85164204326826687</v>
      </c>
      <c r="BE54" s="14">
        <v>-0.85392329961706581</v>
      </c>
      <c r="BF54" s="14">
        <v>0.40407365658898953</v>
      </c>
      <c r="BK54" s="16">
        <v>-0.12877515424309505</v>
      </c>
      <c r="BL54" s="16">
        <v>0.16110707481715433</v>
      </c>
      <c r="BN54" s="17">
        <f t="shared" si="2"/>
        <v>1</v>
      </c>
    </row>
    <row r="55" spans="1:66" x14ac:dyDescent="0.2">
      <c r="A55">
        <v>1.139357334827916</v>
      </c>
      <c r="B55">
        <v>-7.0984693790758349E-2</v>
      </c>
      <c r="C55">
        <v>1.1452959607638309</v>
      </c>
      <c r="D55">
        <v>1.0623162151198811</v>
      </c>
      <c r="E55">
        <v>0.80846195625119932</v>
      </c>
      <c r="F55">
        <v>1.0639890446531941</v>
      </c>
      <c r="G55">
        <v>1.422392321718249</v>
      </c>
      <c r="H55">
        <v>0.85922045832102523</v>
      </c>
      <c r="I55">
        <v>0.74775479394525268</v>
      </c>
      <c r="J55">
        <v>0.2289142561556389</v>
      </c>
      <c r="M55" s="13">
        <v>1</v>
      </c>
      <c r="O55" s="10">
        <f t="shared" si="0"/>
        <v>0</v>
      </c>
      <c r="P55" s="10">
        <f t="shared" si="1"/>
        <v>1</v>
      </c>
      <c r="R55" s="14">
        <v>0.18649006095180345</v>
      </c>
      <c r="S55" s="14">
        <v>-1.1218863539673156</v>
      </c>
      <c r="T55" s="14">
        <v>-0.8167354670042335</v>
      </c>
      <c r="U55" s="14">
        <v>-1.2684582667248172</v>
      </c>
      <c r="V55" s="14">
        <v>-0.66840713699314025</v>
      </c>
      <c r="W55" s="14">
        <v>-0.24957885639878524</v>
      </c>
      <c r="X55" s="14">
        <v>1.0654354570867386</v>
      </c>
      <c r="Y55" s="14">
        <v>0.96253147526768346</v>
      </c>
      <c r="Z55" s="14">
        <v>-0.50932836490326938</v>
      </c>
      <c r="AA55" s="14">
        <v>-0.29480301277471932</v>
      </c>
      <c r="AB55" s="14">
        <v>0.78322810297930512</v>
      </c>
      <c r="AC55" s="14">
        <v>-0.21182163287017242</v>
      </c>
      <c r="AD55" s="14">
        <v>1.1340330096651541</v>
      </c>
      <c r="AE55" s="14">
        <v>-0.65741876612701367</v>
      </c>
      <c r="AF55" s="14">
        <v>-0.14317300883384887</v>
      </c>
      <c r="AG55" s="14">
        <v>-0.63195077258236954</v>
      </c>
      <c r="AH55" s="14">
        <v>8.1589724215075154E-2</v>
      </c>
      <c r="AI55" s="14">
        <v>0.33065999441047811</v>
      </c>
      <c r="AJ55" s="14">
        <v>1.5677215563544356</v>
      </c>
      <c r="AK55" s="14">
        <v>-1.307999537585506</v>
      </c>
      <c r="AM55" s="14">
        <v>0.70945031992226948</v>
      </c>
      <c r="AN55" s="14">
        <v>0.93951424838270681</v>
      </c>
      <c r="AO55" s="14">
        <v>0.39594672746103887</v>
      </c>
      <c r="AP55" s="14">
        <v>-0.48606500693748939</v>
      </c>
      <c r="AQ55" s="14">
        <v>0.7007344302940921</v>
      </c>
      <c r="AR55" s="14">
        <v>-0.3535571995494029</v>
      </c>
      <c r="AS55" s="14">
        <v>-0.96137764660276392</v>
      </c>
      <c r="AT55" s="14">
        <v>-0.93922283872727008</v>
      </c>
      <c r="AU55" s="14">
        <v>0.67431179894735038</v>
      </c>
      <c r="AV55" s="14">
        <v>0.72522456582582018</v>
      </c>
      <c r="AW55" s="14">
        <v>0.90866837643889486</v>
      </c>
      <c r="AX55" s="14">
        <v>0.72618495124807569</v>
      </c>
      <c r="AY55" s="14">
        <v>-0.85697472544441156</v>
      </c>
      <c r="AZ55" s="14">
        <v>0.96364823145590961</v>
      </c>
      <c r="BA55" s="14">
        <v>9.9333614367278611E-2</v>
      </c>
      <c r="BB55" s="14">
        <v>-0.4746834403125802</v>
      </c>
      <c r="BC55" s="14">
        <v>-0.72586107541740419</v>
      </c>
      <c r="BD55" s="14">
        <v>-0.90273880170167264</v>
      </c>
      <c r="BE55" s="14">
        <v>-0.85727639071844686</v>
      </c>
      <c r="BF55" s="14">
        <v>0.20863242002127599</v>
      </c>
      <c r="BK55" s="16">
        <v>0.64993044949395007</v>
      </c>
      <c r="BL55" s="16">
        <v>-0.30479548931357658</v>
      </c>
      <c r="BN55" s="17">
        <f t="shared" si="2"/>
        <v>0</v>
      </c>
    </row>
    <row r="56" spans="1:66" x14ac:dyDescent="0.2">
      <c r="A56">
        <v>0.24723570964640401</v>
      </c>
      <c r="B56">
        <v>0.74308665786668171</v>
      </c>
      <c r="C56">
        <v>0.18909717561692241</v>
      </c>
      <c r="D56">
        <v>0.14062619484810429</v>
      </c>
      <c r="E56">
        <v>-0.63537196499529314</v>
      </c>
      <c r="F56">
        <v>-0.48165763070142692</v>
      </c>
      <c r="G56">
        <v>-0.43479691883751959</v>
      </c>
      <c r="H56">
        <v>0.34161229017404848</v>
      </c>
      <c r="I56">
        <v>0.23233043485268809</v>
      </c>
      <c r="J56">
        <v>0.53590906738737631</v>
      </c>
      <c r="M56" s="13">
        <v>1</v>
      </c>
      <c r="O56" s="10">
        <f t="shared" si="0"/>
        <v>0</v>
      </c>
      <c r="P56" s="10">
        <f t="shared" si="1"/>
        <v>1</v>
      </c>
      <c r="R56" s="14">
        <v>0.50963848032252257</v>
      </c>
      <c r="S56" s="14">
        <v>1.0353462770253312</v>
      </c>
      <c r="T56" s="14">
        <v>0.15131512384222412</v>
      </c>
      <c r="U56" s="14">
        <v>-1.2182322071812099</v>
      </c>
      <c r="V56" s="14">
        <v>0.53558660050957219</v>
      </c>
      <c r="W56" s="14">
        <v>-0.40874896200968319</v>
      </c>
      <c r="X56" s="14">
        <v>-1.4634728519176634</v>
      </c>
      <c r="Y56" s="14">
        <v>-1.1157575020075592</v>
      </c>
      <c r="Z56" s="14">
        <v>-7.771945727637608E-2</v>
      </c>
      <c r="AA56" s="14">
        <v>1.1892758054741757</v>
      </c>
      <c r="AB56" s="14">
        <v>1.7094348352722286</v>
      </c>
      <c r="AC56" s="14">
        <v>0.92094203983899647</v>
      </c>
      <c r="AD56" s="14">
        <v>-0.72744260864014032</v>
      </c>
      <c r="AE56" s="14">
        <v>1.6893567611341047</v>
      </c>
      <c r="AF56" s="14">
        <v>2.951490696033876E-2</v>
      </c>
      <c r="AG56" s="14">
        <v>-1.015499661260165</v>
      </c>
      <c r="AH56" s="14">
        <v>-1.2264405919630548</v>
      </c>
      <c r="AI56" s="14">
        <v>-1.6019050902942449</v>
      </c>
      <c r="AJ56" s="14">
        <v>-0.51071449665449276</v>
      </c>
      <c r="AK56" s="14">
        <v>-0.83341281577169202</v>
      </c>
      <c r="AM56" s="14">
        <v>0.41052271985400679</v>
      </c>
      <c r="AN56" s="14">
        <v>0.84644642666020609</v>
      </c>
      <c r="AO56" s="14">
        <v>0.43816349302000951</v>
      </c>
      <c r="AP56" s="14">
        <v>0.65338729688818753</v>
      </c>
      <c r="AQ56" s="14">
        <v>0.19358731531800555</v>
      </c>
      <c r="AR56" s="14">
        <v>0.33797901211684012</v>
      </c>
      <c r="AS56" s="14">
        <v>-0.85262158698317292</v>
      </c>
      <c r="AT56" s="14">
        <v>-0.95278518764202957</v>
      </c>
      <c r="AU56" s="14">
        <v>-0.60777561524488843</v>
      </c>
      <c r="AV56" s="14">
        <v>0.75023266888181073</v>
      </c>
      <c r="AW56" s="14">
        <v>0.76691901966294374</v>
      </c>
      <c r="AX56" s="14">
        <v>-0.12185115865475178</v>
      </c>
      <c r="AY56" s="14">
        <v>-0.78075293900235621</v>
      </c>
      <c r="AZ56" s="14">
        <v>0.82618893323378684</v>
      </c>
      <c r="BA56" s="14">
        <v>8.7531091087311424E-3</v>
      </c>
      <c r="BB56" s="14">
        <v>8.2628314845908574E-2</v>
      </c>
      <c r="BC56" s="14">
        <v>-0.45866786489097128</v>
      </c>
      <c r="BD56" s="14">
        <v>-0.82956538945064262</v>
      </c>
      <c r="BE56" s="14">
        <v>-0.84612572066543323</v>
      </c>
      <c r="BF56" s="14">
        <v>6.8419274692204199E-2</v>
      </c>
      <c r="BK56" s="16">
        <v>0.67044355748345474</v>
      </c>
      <c r="BL56" s="16">
        <v>-0.1123430674598527</v>
      </c>
      <c r="BN56" s="17">
        <f t="shared" si="2"/>
        <v>0</v>
      </c>
    </row>
    <row r="57" spans="1:66" x14ac:dyDescent="0.2">
      <c r="A57">
        <v>-0.77641666796571529</v>
      </c>
      <c r="B57">
        <v>-5.8724583073025638E-2</v>
      </c>
      <c r="C57">
        <v>-0.80362309090712558</v>
      </c>
      <c r="D57">
        <v>-0.73385671632792826</v>
      </c>
      <c r="E57">
        <v>-0.93421157696135815</v>
      </c>
      <c r="F57">
        <v>-0.7565191594782934</v>
      </c>
      <c r="G57">
        <v>-0.7047104665978956</v>
      </c>
      <c r="H57">
        <v>-0.74743529560719091</v>
      </c>
      <c r="I57">
        <v>-0.69543341151392801</v>
      </c>
      <c r="J57">
        <v>-0.80947697363990678</v>
      </c>
      <c r="M57" s="13">
        <v>0</v>
      </c>
      <c r="O57" s="10">
        <f t="shared" si="0"/>
        <v>1</v>
      </c>
      <c r="P57" s="10">
        <f t="shared" si="1"/>
        <v>0</v>
      </c>
      <c r="R57" s="14">
        <v>0.10137486986292688</v>
      </c>
      <c r="S57" s="14">
        <v>0.95486305411931316</v>
      </c>
      <c r="T57" s="14">
        <v>0.44866414813236666</v>
      </c>
      <c r="U57" s="14">
        <v>0.42399895393212073</v>
      </c>
      <c r="V57" s="14">
        <v>1.5038487201137074</v>
      </c>
      <c r="W57" s="14">
        <v>-0.84877264829505905</v>
      </c>
      <c r="X57" s="14">
        <v>-1.4659120941284496</v>
      </c>
      <c r="Y57" s="14">
        <v>0.81314345597509141</v>
      </c>
      <c r="Z57" s="14">
        <v>1.7234494564442229</v>
      </c>
      <c r="AA57" s="14">
        <v>1.2094271927409976</v>
      </c>
      <c r="AB57" s="14">
        <v>-0.28839013022970372</v>
      </c>
      <c r="AC57" s="14">
        <v>1.0642843307901737</v>
      </c>
      <c r="AD57" s="14">
        <v>-0.81565138506087875</v>
      </c>
      <c r="AE57" s="14">
        <v>1.6892950523052659</v>
      </c>
      <c r="AF57" s="14">
        <v>0.24937051824772638</v>
      </c>
      <c r="AG57" s="14">
        <v>0.28829490160100846</v>
      </c>
      <c r="AH57" s="14">
        <v>-0.6324783037005407</v>
      </c>
      <c r="AI57" s="14">
        <v>-1.6004220957144226</v>
      </c>
      <c r="AJ57" s="14">
        <v>-0.55688421452070136</v>
      </c>
      <c r="AK57" s="14">
        <v>-0.73112999298029391</v>
      </c>
      <c r="AM57" s="14">
        <v>0.15701420656315718</v>
      </c>
      <c r="AN57" s="14">
        <v>0.47908413810085887</v>
      </c>
      <c r="AO57" s="14">
        <v>0.50195355036754197</v>
      </c>
      <c r="AP57" s="14">
        <v>0.1629256111031358</v>
      </c>
      <c r="AQ57" s="14">
        <v>0.70252463820574929</v>
      </c>
      <c r="AR57" s="14">
        <v>-0.29543981602224123</v>
      </c>
      <c r="AS57" s="14">
        <v>-0.71880713179566602</v>
      </c>
      <c r="AT57" s="14">
        <v>-7.060192452537091E-2</v>
      </c>
      <c r="AU57" s="14">
        <v>0.75241162332734257</v>
      </c>
      <c r="AV57" s="14">
        <v>0.38164277230796395</v>
      </c>
      <c r="AW57" s="14">
        <v>-0.5747908385576862</v>
      </c>
      <c r="AX57" s="14">
        <v>0.55131829225015372</v>
      </c>
      <c r="AY57" s="14">
        <v>-0.5487533776902549</v>
      </c>
      <c r="AZ57" s="14">
        <v>0.62676995765616483</v>
      </c>
      <c r="BA57" s="14">
        <v>3.0646534939130797E-2</v>
      </c>
      <c r="BB57" s="14">
        <v>0.13200283089514947</v>
      </c>
      <c r="BC57" s="14">
        <v>-0.26751793500659837</v>
      </c>
      <c r="BD57" s="14">
        <v>-0.42734446667248938</v>
      </c>
      <c r="BE57" s="14">
        <v>-0.58938281174632923</v>
      </c>
      <c r="BF57" s="14">
        <v>-1.9568912963917589E-2</v>
      </c>
      <c r="BK57" s="16">
        <v>-0.19092700964597201</v>
      </c>
      <c r="BL57" s="16">
        <v>0.53797774683627331</v>
      </c>
      <c r="BN57" s="17">
        <f t="shared" si="2"/>
        <v>1</v>
      </c>
    </row>
    <row r="58" spans="1:66" x14ac:dyDescent="0.2">
      <c r="A58">
        <v>1.4224343889720501</v>
      </c>
      <c r="B58">
        <v>-0.10286098165686269</v>
      </c>
      <c r="C58">
        <v>1.361104714356016</v>
      </c>
      <c r="D58">
        <v>1.4048556042902161</v>
      </c>
      <c r="E58">
        <v>0.40331870122257901</v>
      </c>
      <c r="F58">
        <v>0.50732316093279239</v>
      </c>
      <c r="G58">
        <v>1.0118988011660111</v>
      </c>
      <c r="H58">
        <v>2.006240158934725</v>
      </c>
      <c r="I58">
        <v>2.2072382025097652</v>
      </c>
      <c r="J58">
        <v>1.3760265751971561</v>
      </c>
      <c r="M58" s="13">
        <v>1</v>
      </c>
      <c r="O58" s="10">
        <f t="shared" si="0"/>
        <v>0</v>
      </c>
      <c r="P58" s="10">
        <f t="shared" si="1"/>
        <v>1</v>
      </c>
      <c r="R58" s="14">
        <v>-0.50697216101503551</v>
      </c>
      <c r="S58" s="14">
        <v>0.99670680112842769</v>
      </c>
      <c r="T58" s="14">
        <v>0.43073607656296009</v>
      </c>
      <c r="U58" s="14">
        <v>-3.0676750475804593E-2</v>
      </c>
      <c r="V58" s="14">
        <v>1.4006355568830922</v>
      </c>
      <c r="W58" s="14">
        <v>-0.31227041588375148</v>
      </c>
      <c r="X58" s="14">
        <v>-1.4658875361539132</v>
      </c>
      <c r="Y58" s="14">
        <v>0.24215159471681352</v>
      </c>
      <c r="Z58" s="14">
        <v>1.4646766066232446</v>
      </c>
      <c r="AA58" s="14">
        <v>1.0591403301601532</v>
      </c>
      <c r="AB58" s="14">
        <v>-0.23257471427351273</v>
      </c>
      <c r="AC58" s="14">
        <v>1.0441149713582547</v>
      </c>
      <c r="AD58" s="14">
        <v>-0.81557938915489903</v>
      </c>
      <c r="AE58" s="14">
        <v>1.6882458830316118</v>
      </c>
      <c r="AF58" s="14">
        <v>0.24883956111518624</v>
      </c>
      <c r="AG58" s="14">
        <v>0.25773910967115732</v>
      </c>
      <c r="AH58" s="14">
        <v>-0.91282490929650595</v>
      </c>
      <c r="AI58" s="14">
        <v>-1.603266992683996</v>
      </c>
      <c r="AJ58" s="14">
        <v>-0.55671085076955507</v>
      </c>
      <c r="AK58" s="14">
        <v>-7.0576926524522854E-2</v>
      </c>
      <c r="AM58" s="14">
        <v>-0.57112090801596038</v>
      </c>
      <c r="AN58" s="14">
        <v>0.79671174626754271</v>
      </c>
      <c r="AO58" s="14">
        <v>0.41138854694106619</v>
      </c>
      <c r="AP58" s="14">
        <v>0.357393783886439</v>
      </c>
      <c r="AQ58" s="14">
        <v>0.59370098387461101</v>
      </c>
      <c r="AR58" s="14">
        <v>0.48637381894223797</v>
      </c>
      <c r="AS58" s="14">
        <v>-0.88710659119958968</v>
      </c>
      <c r="AT58" s="14">
        <v>-0.84824974239017437</v>
      </c>
      <c r="AU58" s="14">
        <v>2.5577382141357484E-2</v>
      </c>
      <c r="AV58" s="14">
        <v>0.53405785020116703</v>
      </c>
      <c r="AW58" s="14">
        <v>0.48529194681685806</v>
      </c>
      <c r="AX58" s="14">
        <v>-4.9923004028003731E-2</v>
      </c>
      <c r="AY58" s="14">
        <v>-0.82474414017152198</v>
      </c>
      <c r="AZ58" s="14">
        <v>0.75231753286401093</v>
      </c>
      <c r="BA58" s="14">
        <v>-0.35711288682304942</v>
      </c>
      <c r="BB58" s="14">
        <v>0.1680449857007493</v>
      </c>
      <c r="BC58" s="14">
        <v>-0.49049179459887449</v>
      </c>
      <c r="BD58" s="14">
        <v>-0.80581063440153111</v>
      </c>
      <c r="BE58" s="14">
        <v>-0.85410325761438777</v>
      </c>
      <c r="BF58" s="14">
        <v>0.70272113147757931</v>
      </c>
      <c r="BK58" s="16">
        <v>0.2728541572979305</v>
      </c>
      <c r="BL58" s="16">
        <v>0.32222168184630634</v>
      </c>
      <c r="BN58" s="17">
        <f t="shared" si="2"/>
        <v>1</v>
      </c>
    </row>
    <row r="59" spans="1:66" x14ac:dyDescent="0.2">
      <c r="A59">
        <v>0.13572050649871539</v>
      </c>
      <c r="B59">
        <v>0.637649705694182</v>
      </c>
      <c r="C59">
        <v>0.1181292970317999</v>
      </c>
      <c r="D59">
        <v>-2.028096359409521E-2</v>
      </c>
      <c r="E59">
        <v>0.58544732045562864</v>
      </c>
      <c r="F59">
        <v>0.4701294493256386</v>
      </c>
      <c r="G59">
        <v>0.78927124425380668</v>
      </c>
      <c r="H59">
        <v>0.29399233870452662</v>
      </c>
      <c r="I59">
        <v>0.15351124591928911</v>
      </c>
      <c r="J59">
        <v>0.99115990940907517</v>
      </c>
      <c r="M59" s="13">
        <v>1</v>
      </c>
      <c r="O59" s="10">
        <f t="shared" si="0"/>
        <v>0</v>
      </c>
      <c r="P59" s="10">
        <f t="shared" si="1"/>
        <v>1</v>
      </c>
      <c r="R59" s="14">
        <v>0.52125171373761914</v>
      </c>
      <c r="S59" s="14">
        <v>1.0358972695120381</v>
      </c>
      <c r="T59" s="14">
        <v>0.35939743964198134</v>
      </c>
      <c r="U59" s="14">
        <v>-1.2477709561380537</v>
      </c>
      <c r="V59" s="14">
        <v>1.3980940779549955</v>
      </c>
      <c r="W59" s="14">
        <v>4.1831909366749964E-2</v>
      </c>
      <c r="X59" s="14">
        <v>-1.465907580221024</v>
      </c>
      <c r="Y59" s="14">
        <v>-1.1143941182280928</v>
      </c>
      <c r="Z59" s="14">
        <v>0.78135805968546435</v>
      </c>
      <c r="AA59" s="14">
        <v>1.2121719405855682</v>
      </c>
      <c r="AB59" s="14">
        <v>1.6949438949606657</v>
      </c>
      <c r="AC59" s="14">
        <v>1.0596295148310706</v>
      </c>
      <c r="AD59" s="14">
        <v>-0.813887087174198</v>
      </c>
      <c r="AE59" s="14">
        <v>1.6894081365774642</v>
      </c>
      <c r="AF59" s="14">
        <v>0.2158521523910174</v>
      </c>
      <c r="AG59" s="14">
        <v>-0.28829558766902336</v>
      </c>
      <c r="AH59" s="14">
        <v>-1.368887869561938</v>
      </c>
      <c r="AI59" s="14">
        <v>-1.6034980425215644</v>
      </c>
      <c r="AJ59" s="14">
        <v>-0.55329483935973278</v>
      </c>
      <c r="AK59" s="14">
        <v>-0.34111267369659332</v>
      </c>
      <c r="AM59" s="14">
        <v>0.78032418006558169</v>
      </c>
      <c r="AN59" s="14">
        <v>0.32356406691859224</v>
      </c>
      <c r="AO59" s="14">
        <v>0.23847235824675495</v>
      </c>
      <c r="AP59" s="14">
        <v>-8.3762532132259607E-2</v>
      </c>
      <c r="AQ59" s="14">
        <v>0.53732004856617843</v>
      </c>
      <c r="AR59" s="14">
        <v>-0.66624457386532132</v>
      </c>
      <c r="AS59" s="14">
        <v>-0.50951681011212702</v>
      </c>
      <c r="AT59" s="14">
        <v>3.0686555448170786E-2</v>
      </c>
      <c r="AU59" s="14">
        <v>0.78388270505710655</v>
      </c>
      <c r="AV59" s="14">
        <v>0.38654771750532058</v>
      </c>
      <c r="AW59" s="14">
        <v>-0.13381013025107599</v>
      </c>
      <c r="AX59" s="14">
        <v>0.71152205395991375</v>
      </c>
      <c r="AY59" s="14">
        <v>-0.14969983986863569</v>
      </c>
      <c r="AZ59" s="14">
        <v>0.63718593699259696</v>
      </c>
      <c r="BA59" s="14">
        <v>0.42525649128173892</v>
      </c>
      <c r="BB59" s="14">
        <v>-0.15417383464559462</v>
      </c>
      <c r="BC59" s="14">
        <v>-0.17431921614258028</v>
      </c>
      <c r="BD59" s="14">
        <v>-0.13510822506116402</v>
      </c>
      <c r="BE59" s="14">
        <v>-0.21747584778661977</v>
      </c>
      <c r="BF59" s="14">
        <v>-0.55285612572895648</v>
      </c>
      <c r="BK59" s="16">
        <v>6.967637360508816E-2</v>
      </c>
      <c r="BL59" s="16">
        <v>0.10251026082522594</v>
      </c>
      <c r="BN59" s="17">
        <f t="shared" si="2"/>
        <v>1</v>
      </c>
    </row>
    <row r="60" spans="1:66" x14ac:dyDescent="0.2">
      <c r="A60">
        <v>-0.33893394792478132</v>
      </c>
      <c r="B60">
        <v>7.8588656965578374E-2</v>
      </c>
      <c r="C60">
        <v>-0.41890248594567397</v>
      </c>
      <c r="D60">
        <v>-0.39362011296714122</v>
      </c>
      <c r="E60">
        <v>-1.247175449194476</v>
      </c>
      <c r="F60">
        <v>-1.1243401714653061</v>
      </c>
      <c r="G60">
        <v>-1.1804586545206111</v>
      </c>
      <c r="H60">
        <v>-0.45964515411747159</v>
      </c>
      <c r="I60">
        <v>-0.48660684128364151</v>
      </c>
      <c r="J60">
        <v>-1.588944287035611</v>
      </c>
      <c r="M60" s="13">
        <v>0</v>
      </c>
      <c r="O60" s="10">
        <f t="shared" si="0"/>
        <v>1</v>
      </c>
      <c r="P60" s="10">
        <f t="shared" si="1"/>
        <v>0</v>
      </c>
      <c r="R60" s="14">
        <v>0.40667741010807323</v>
      </c>
      <c r="S60" s="14">
        <v>1.0327781016921613</v>
      </c>
      <c r="T60" s="14">
        <v>0.34263508610815041</v>
      </c>
      <c r="U60" s="14">
        <v>0.27872772826624448</v>
      </c>
      <c r="V60" s="14">
        <v>0.27011007601859649</v>
      </c>
      <c r="W60" s="14">
        <v>0.60121947947904331</v>
      </c>
      <c r="X60" s="14">
        <v>-1.4581381812173122</v>
      </c>
      <c r="Y60" s="14">
        <v>-1.1201096519742433</v>
      </c>
      <c r="Z60" s="14">
        <v>-0.23255082212683631</v>
      </c>
      <c r="AA60" s="14">
        <v>1.2124361979332354</v>
      </c>
      <c r="AB60" s="14">
        <v>1.5510307238923602</v>
      </c>
      <c r="AC60" s="14">
        <v>5.6043931253911092E-2</v>
      </c>
      <c r="AD60" s="14">
        <v>-0.7942422514668207</v>
      </c>
      <c r="AE60" s="14">
        <v>1.681752396814268</v>
      </c>
      <c r="AF60" s="14">
        <v>0.10070432965147524</v>
      </c>
      <c r="AG60" s="14">
        <v>0.13402665847892115</v>
      </c>
      <c r="AH60" s="14">
        <v>-1.0858022460569858</v>
      </c>
      <c r="AI60" s="14">
        <v>-1.6007648097228007</v>
      </c>
      <c r="AJ60" s="14">
        <v>-0.55188774885312131</v>
      </c>
      <c r="AK60" s="14">
        <v>-0.53637251018322074</v>
      </c>
      <c r="AM60" s="14">
        <v>-0.45762446471108842</v>
      </c>
      <c r="AN60" s="14">
        <v>0.8901211351947903</v>
      </c>
      <c r="AO60" s="14">
        <v>0.42489130466477532</v>
      </c>
      <c r="AP60" s="14">
        <v>-0.29527801527017739</v>
      </c>
      <c r="AQ60" s="14">
        <v>0.87892706399896614</v>
      </c>
      <c r="AR60" s="14">
        <v>0.47420276057732463</v>
      </c>
      <c r="AS60" s="14">
        <v>-0.94002347385025808</v>
      </c>
      <c r="AT60" s="14">
        <v>-0.82133264658229832</v>
      </c>
      <c r="AU60" s="14">
        <v>0.70591278332251017</v>
      </c>
      <c r="AV60" s="14">
        <v>0.64223619633764328</v>
      </c>
      <c r="AW60" s="14">
        <v>0.23980359659578745</v>
      </c>
      <c r="AX60" s="14">
        <v>0.48480552874756289</v>
      </c>
      <c r="AY60" s="14">
        <v>-0.86306234346904676</v>
      </c>
      <c r="AZ60" s="14">
        <v>0.88739409638699129</v>
      </c>
      <c r="BA60" s="14">
        <v>-0.53087810037999017</v>
      </c>
      <c r="BB60" s="14">
        <v>0.20999932719038142</v>
      </c>
      <c r="BC60" s="14">
        <v>-0.72401313049861638</v>
      </c>
      <c r="BD60" s="14">
        <v>-0.84120842203551716</v>
      </c>
      <c r="BE60" s="14">
        <v>-0.86318744486179366</v>
      </c>
      <c r="BF60" s="14">
        <v>0.82668173970323044</v>
      </c>
      <c r="BK60" s="16">
        <v>-0.12109831839980363</v>
      </c>
      <c r="BL60" s="16">
        <v>0.55759112440205272</v>
      </c>
      <c r="BN60" s="17">
        <f t="shared" si="2"/>
        <v>1</v>
      </c>
    </row>
    <row r="61" spans="1:66" x14ac:dyDescent="0.2">
      <c r="A61">
        <v>-1.6062041539518519</v>
      </c>
      <c r="B61">
        <v>-1.7653319949813939</v>
      </c>
      <c r="C61">
        <v>-1.592155075186261</v>
      </c>
      <c r="D61">
        <v>-1.264936693655045</v>
      </c>
      <c r="E61">
        <v>-0.97156652845711622</v>
      </c>
      <c r="F61">
        <v>-0.87739872220154325</v>
      </c>
      <c r="G61">
        <v>-1.0876247524878759</v>
      </c>
      <c r="H61">
        <v>-1.43751050538074</v>
      </c>
      <c r="I61">
        <v>-1.1051160721947191</v>
      </c>
      <c r="J61">
        <v>-1.093559489204105</v>
      </c>
      <c r="M61" s="13">
        <v>0</v>
      </c>
      <c r="O61" s="10">
        <f t="shared" si="0"/>
        <v>1</v>
      </c>
      <c r="P61" s="10">
        <f t="shared" si="1"/>
        <v>0</v>
      </c>
      <c r="R61" s="14">
        <v>0.10094626513689953</v>
      </c>
      <c r="S61" s="14">
        <v>0.96926698630198083</v>
      </c>
      <c r="T61" s="14">
        <v>0.395501123267048</v>
      </c>
      <c r="U61" s="14">
        <v>-0.51259578400066752</v>
      </c>
      <c r="V61" s="14">
        <v>1.4751969126800528</v>
      </c>
      <c r="W61" s="14">
        <v>-0.30701064039231873</v>
      </c>
      <c r="X61" s="14">
        <v>-1.4653874745137754</v>
      </c>
      <c r="Y61" s="14">
        <v>0.12125581200927255</v>
      </c>
      <c r="Z61" s="14">
        <v>1.5337429447988107</v>
      </c>
      <c r="AA61" s="14">
        <v>1.1266328028541277</v>
      </c>
      <c r="AB61" s="14">
        <v>-0.27619835134838766</v>
      </c>
      <c r="AC61" s="14">
        <v>1.0411432517010322</v>
      </c>
      <c r="AD61" s="14">
        <v>-0.75626363391877838</v>
      </c>
      <c r="AE61" s="14">
        <v>1.6846733695444374</v>
      </c>
      <c r="AF61" s="14">
        <v>-0.17252120736625176</v>
      </c>
      <c r="AG61" s="14">
        <v>-6.8706721906364621E-2</v>
      </c>
      <c r="AH61" s="14">
        <v>-0.9396494718656363</v>
      </c>
      <c r="AI61" s="14">
        <v>-1.4625867450797823</v>
      </c>
      <c r="AJ61" s="14">
        <v>-0.51923315274851878</v>
      </c>
      <c r="AK61" s="14">
        <v>-0.61063597996361541</v>
      </c>
      <c r="AM61" s="14">
        <v>-0.39415275014639339</v>
      </c>
      <c r="AN61" s="14">
        <v>0.4758780361293054</v>
      </c>
      <c r="AO61" s="14">
        <v>-1.1851623460830773E-2</v>
      </c>
      <c r="AP61" s="14">
        <v>-0.10727747574377391</v>
      </c>
      <c r="AQ61" s="14">
        <v>-0.22527487824243214</v>
      </c>
      <c r="AR61" s="14">
        <v>-9.1155477992353448E-2</v>
      </c>
      <c r="AS61" s="14">
        <v>-0.54908684666194429</v>
      </c>
      <c r="AT61" s="14">
        <v>-0.58705783391088129</v>
      </c>
      <c r="AU61" s="14">
        <v>-0.22299420504662437</v>
      </c>
      <c r="AV61" s="14">
        <v>-3.1518428852046601E-2</v>
      </c>
      <c r="AW61" s="14">
        <v>0.77136284993224036</v>
      </c>
      <c r="AX61" s="14">
        <v>-0.32172602671375311</v>
      </c>
      <c r="AY61" s="14">
        <v>-0.48727156155210194</v>
      </c>
      <c r="AZ61" s="14">
        <v>0.39079728112003931</v>
      </c>
      <c r="BA61" s="14">
        <v>5.1946805396946891E-2</v>
      </c>
      <c r="BB61" s="14">
        <v>-0.28667195312175925</v>
      </c>
      <c r="BC61" s="14">
        <v>-0.18223488780207006</v>
      </c>
      <c r="BD61" s="14">
        <v>-0.60275835707220971</v>
      </c>
      <c r="BE61" s="14">
        <v>-0.49162549604881844</v>
      </c>
      <c r="BF61" s="14">
        <v>0.4033336804813214</v>
      </c>
      <c r="BK61" s="16">
        <v>-0.81911850502131889</v>
      </c>
      <c r="BL61" s="16">
        <v>0.2885795902365928</v>
      </c>
      <c r="BN61" s="17">
        <f t="shared" si="2"/>
        <v>1</v>
      </c>
    </row>
    <row r="62" spans="1:66" x14ac:dyDescent="0.2">
      <c r="A62">
        <v>-1.162430832707716</v>
      </c>
      <c r="B62">
        <v>-1.0076571526255229</v>
      </c>
      <c r="C62">
        <v>-1.1684228878446841</v>
      </c>
      <c r="D62">
        <v>-1.0133573439618739</v>
      </c>
      <c r="E62">
        <v>-0.4532433457622434</v>
      </c>
      <c r="F62">
        <v>-0.99852624300217407</v>
      </c>
      <c r="G62">
        <v>-0.95724321772218679</v>
      </c>
      <c r="H62">
        <v>-1.1242540420181899</v>
      </c>
      <c r="I62">
        <v>-0.93915297100237083</v>
      </c>
      <c r="J62">
        <v>-1.3691060514803961</v>
      </c>
      <c r="M62" s="13">
        <v>0</v>
      </c>
      <c r="O62" s="10">
        <f t="shared" si="0"/>
        <v>1</v>
      </c>
      <c r="P62" s="10">
        <f t="shared" si="1"/>
        <v>0</v>
      </c>
      <c r="R62" s="14">
        <v>-0.9368149752017938</v>
      </c>
      <c r="S62" s="14">
        <v>1.0293091633250884</v>
      </c>
      <c r="T62" s="14">
        <v>0.33387755810473874</v>
      </c>
      <c r="U62" s="14">
        <v>-0.1707868187786627</v>
      </c>
      <c r="V62" s="14">
        <v>1.217287522804539</v>
      </c>
      <c r="W62" s="14">
        <v>0.67121299633146259</v>
      </c>
      <c r="X62" s="14">
        <v>-1.4649823010621905</v>
      </c>
      <c r="Y62" s="14">
        <v>-1.0817575539271671</v>
      </c>
      <c r="Z62" s="14">
        <v>-4.8491878203733685E-2</v>
      </c>
      <c r="AA62" s="14">
        <v>1.1810008769910274</v>
      </c>
      <c r="AB62" s="14">
        <v>0.74450449852301026</v>
      </c>
      <c r="AC62" s="14">
        <v>0.14003224202541104</v>
      </c>
      <c r="AD62" s="14">
        <v>-0.81264675730985259</v>
      </c>
      <c r="AE62" s="14">
        <v>1.6566232472975471</v>
      </c>
      <c r="AF62" s="14">
        <v>-3.0200051762533153E-2</v>
      </c>
      <c r="AG62" s="14">
        <v>0.21953653816159724</v>
      </c>
      <c r="AH62" s="14">
        <v>-1.1926811338120054</v>
      </c>
      <c r="AI62" s="14">
        <v>-1.6019454857001432</v>
      </c>
      <c r="AJ62" s="14">
        <v>-0.55552087176877363</v>
      </c>
      <c r="AK62" s="14">
        <v>0.25883366093292259</v>
      </c>
      <c r="AM62" s="14">
        <v>-0.52418117213731641</v>
      </c>
      <c r="AN62" s="14">
        <v>0.88169042495386007</v>
      </c>
      <c r="AO62" s="14">
        <v>0.5024248381874965</v>
      </c>
      <c r="AP62" s="14">
        <v>-0.40127496839390092</v>
      </c>
      <c r="AQ62" s="14">
        <v>0.78679625719501833</v>
      </c>
      <c r="AR62" s="14">
        <v>0.62914497865422203</v>
      </c>
      <c r="AS62" s="14">
        <v>-0.94039356901485727</v>
      </c>
      <c r="AT62" s="14">
        <v>-0.81987952939327968</v>
      </c>
      <c r="AU62" s="14">
        <v>0.64078804010147905</v>
      </c>
      <c r="AV62" s="14">
        <v>0.44830409501560048</v>
      </c>
      <c r="AW62" s="14">
        <v>0.30867952860234465</v>
      </c>
      <c r="AX62" s="14">
        <v>0.50192172657407408</v>
      </c>
      <c r="AY62" s="14">
        <v>-0.88492378861224796</v>
      </c>
      <c r="AZ62" s="14">
        <v>0.85728388481531625</v>
      </c>
      <c r="BA62" s="14">
        <v>-0.67647940542377327</v>
      </c>
      <c r="BB62" s="14">
        <v>-0.2741658027079753</v>
      </c>
      <c r="BC62" s="14">
        <v>-0.69598315736592931</v>
      </c>
      <c r="BD62" s="14">
        <v>-0.84036357438137022</v>
      </c>
      <c r="BE62" s="14">
        <v>-0.8127365317216162</v>
      </c>
      <c r="BF62" s="14">
        <v>0.76795848636513075</v>
      </c>
      <c r="BK62" s="16">
        <v>-0.69647622160247236</v>
      </c>
      <c r="BL62" s="16">
        <v>0.5092885158649133</v>
      </c>
      <c r="BN62" s="17">
        <f t="shared" si="2"/>
        <v>1</v>
      </c>
    </row>
    <row r="63" spans="1:66" x14ac:dyDescent="0.2">
      <c r="A63">
        <v>-1.6119228823184</v>
      </c>
      <c r="B63">
        <v>0.48807635493784529</v>
      </c>
      <c r="C63">
        <v>-1.5788745365036649</v>
      </c>
      <c r="D63">
        <v>-1.272708595762271</v>
      </c>
      <c r="E63">
        <v>-0.28561067785590583</v>
      </c>
      <c r="F63">
        <v>-0.76098240487115187</v>
      </c>
      <c r="G63">
        <v>-1.0503071597103999</v>
      </c>
      <c r="H63">
        <v>-1.4255019958797299</v>
      </c>
      <c r="I63">
        <v>-1.1068872899235589</v>
      </c>
      <c r="J63">
        <v>-1.339305091755949</v>
      </c>
      <c r="M63" s="13">
        <v>0</v>
      </c>
      <c r="O63" s="10">
        <f t="shared" si="0"/>
        <v>1</v>
      </c>
      <c r="P63" s="10">
        <f t="shared" si="1"/>
        <v>0</v>
      </c>
      <c r="R63" s="14">
        <v>0.50457132112980985</v>
      </c>
      <c r="S63" s="14">
        <v>0.85258718671208822</v>
      </c>
      <c r="T63" s="14">
        <v>0.11042782463160961</v>
      </c>
      <c r="U63" s="14">
        <v>-0.61982400316577058</v>
      </c>
      <c r="V63" s="14">
        <v>1.3825614614534603</v>
      </c>
      <c r="W63" s="14">
        <v>-1.0467463906923107</v>
      </c>
      <c r="X63" s="14">
        <v>-1.4511980061258887</v>
      </c>
      <c r="Y63" s="14">
        <v>0.220053532754729</v>
      </c>
      <c r="Z63" s="14">
        <v>1.6494244105511471</v>
      </c>
      <c r="AA63" s="14">
        <v>1.0928192787885807</v>
      </c>
      <c r="AB63" s="14">
        <v>-6.1014393375361409E-2</v>
      </c>
      <c r="AC63" s="14">
        <v>1.0493723287675674</v>
      </c>
      <c r="AD63" s="14">
        <v>-0.13304162921272636</v>
      </c>
      <c r="AE63" s="14">
        <v>1.6866241975002438</v>
      </c>
      <c r="AF63" s="14">
        <v>8.9449487927467541E-2</v>
      </c>
      <c r="AG63" s="14">
        <v>-0.7068097538903283</v>
      </c>
      <c r="AH63" s="14">
        <v>-0.76326438187068424</v>
      </c>
      <c r="AI63" s="14">
        <v>-0.85612468725095736</v>
      </c>
      <c r="AJ63" s="14">
        <v>0.19032488491214783</v>
      </c>
      <c r="AK63" s="14">
        <v>-1.3100041987908693</v>
      </c>
      <c r="AM63" s="14">
        <v>-0.50175402827737337</v>
      </c>
      <c r="AN63" s="14">
        <v>0.77163922221586456</v>
      </c>
      <c r="AO63" s="14">
        <v>0.52698569697568898</v>
      </c>
      <c r="AP63" s="14">
        <v>0.58420558036283543</v>
      </c>
      <c r="AQ63" s="14">
        <v>0.86775899059524142</v>
      </c>
      <c r="AR63" s="14">
        <v>4.624150469293492E-2</v>
      </c>
      <c r="AS63" s="14">
        <v>-0.86952503451102547</v>
      </c>
      <c r="AT63" s="14">
        <v>-0.5363914458773551</v>
      </c>
      <c r="AU63" s="14">
        <v>0.55162460500055577</v>
      </c>
      <c r="AV63" s="14">
        <v>0.72093504899286975</v>
      </c>
      <c r="AW63" s="14">
        <v>-0.5454115276976288</v>
      </c>
      <c r="AX63" s="14">
        <v>0.14338298423999124</v>
      </c>
      <c r="AY63" s="14">
        <v>-0.77781337180877108</v>
      </c>
      <c r="AZ63" s="14">
        <v>0.79208159064349437</v>
      </c>
      <c r="BA63" s="14">
        <v>-5.017594139855636E-3</v>
      </c>
      <c r="BB63" s="14">
        <v>0.73817165137418428</v>
      </c>
      <c r="BC63" s="14">
        <v>-0.49163003372748965</v>
      </c>
      <c r="BD63" s="14">
        <v>-0.76495427300779795</v>
      </c>
      <c r="BE63" s="14">
        <v>-0.88796940326189722</v>
      </c>
      <c r="BF63" s="14">
        <v>0.67795655828722734</v>
      </c>
      <c r="BK63" s="16">
        <v>-0.36300914998959444</v>
      </c>
      <c r="BL63" s="16">
        <v>0.5940430393689381</v>
      </c>
      <c r="BN63" s="17">
        <f t="shared" si="2"/>
        <v>1</v>
      </c>
    </row>
    <row r="64" spans="1:66" x14ac:dyDescent="0.2">
      <c r="A64">
        <v>4.1897540681076553E-3</v>
      </c>
      <c r="B64">
        <v>0.77496294573278601</v>
      </c>
      <c r="C64">
        <v>0.1542357615751079</v>
      </c>
      <c r="D64">
        <v>-5.2519964927773638E-2</v>
      </c>
      <c r="E64">
        <v>1.7804340772602301</v>
      </c>
      <c r="F64">
        <v>1.5140329550997551</v>
      </c>
      <c r="G64">
        <v>0.92473921803505599</v>
      </c>
      <c r="H64">
        <v>0.25258368525276859</v>
      </c>
      <c r="I64">
        <v>0.107459584969438</v>
      </c>
      <c r="J64">
        <v>0.91778066184636686</v>
      </c>
      <c r="M64" s="13">
        <v>1</v>
      </c>
      <c r="O64" s="10">
        <f t="shared" si="0"/>
        <v>0</v>
      </c>
      <c r="P64" s="10">
        <f t="shared" si="1"/>
        <v>1</v>
      </c>
      <c r="R64" s="14">
        <v>-0.65010154848041179</v>
      </c>
      <c r="S64" s="14">
        <v>1.0357956296279849</v>
      </c>
      <c r="T64" s="14">
        <v>0.39957189154258765</v>
      </c>
      <c r="U64" s="14">
        <v>-1.1202715449994185</v>
      </c>
      <c r="V64" s="14">
        <v>1.5007860043517334</v>
      </c>
      <c r="W64" s="14">
        <v>0.66058430926982759</v>
      </c>
      <c r="X64" s="14">
        <v>-1.4659116490975976</v>
      </c>
      <c r="Y64" s="14">
        <v>-1.0518918294374582</v>
      </c>
      <c r="Z64" s="14">
        <v>1.1146530614247623</v>
      </c>
      <c r="AA64" s="14">
        <v>1.2089993653703772</v>
      </c>
      <c r="AB64" s="14">
        <v>4.9387596634458353E-2</v>
      </c>
      <c r="AC64" s="14">
        <v>1.0331022369354714</v>
      </c>
      <c r="AD64" s="14">
        <v>-0.81553958514509839</v>
      </c>
      <c r="AE64" s="14">
        <v>1.689334316194155</v>
      </c>
      <c r="AF64" s="14">
        <v>-0.16543965210337841</v>
      </c>
      <c r="AG64" s="14">
        <v>0.23730870044099128</v>
      </c>
      <c r="AH64" s="14">
        <v>-1.3717368394429543</v>
      </c>
      <c r="AI64" s="14">
        <v>-1.6033491598961049</v>
      </c>
      <c r="AJ64" s="14">
        <v>-0.55660433379288921</v>
      </c>
      <c r="AK64" s="14">
        <v>0.34533675624784399</v>
      </c>
      <c r="AM64" s="14">
        <v>0.43660059373588189</v>
      </c>
      <c r="AN64" s="14">
        <v>0.62573122058428476</v>
      </c>
      <c r="AO64" s="14">
        <v>0.33994966419400957</v>
      </c>
      <c r="AP64" s="14">
        <v>0.10561912165671647</v>
      </c>
      <c r="AQ64" s="14">
        <v>0.47508901692151084</v>
      </c>
      <c r="AR64" s="14">
        <v>-0.41998706980260403</v>
      </c>
      <c r="AS64" s="14">
        <v>-0.72724740663357401</v>
      </c>
      <c r="AT64" s="14">
        <v>-0.5354787726191389</v>
      </c>
      <c r="AU64" s="14">
        <v>0.42950024464501718</v>
      </c>
      <c r="AV64" s="14">
        <v>0.48234226614016973</v>
      </c>
      <c r="AW64" s="14">
        <v>0.35815111944281852</v>
      </c>
      <c r="AX64" s="14">
        <v>0.43446919780139076</v>
      </c>
      <c r="AY64" s="14">
        <v>-0.52905757583000357</v>
      </c>
      <c r="AZ64" s="14">
        <v>0.7404252113435239</v>
      </c>
      <c r="BA64" s="14">
        <v>0.29948240723824449</v>
      </c>
      <c r="BB64" s="14">
        <v>-4.7642978129649002E-2</v>
      </c>
      <c r="BC64" s="14">
        <v>-0.30374328164524333</v>
      </c>
      <c r="BD64" s="14">
        <v>-0.58933620397516173</v>
      </c>
      <c r="BE64" s="14">
        <v>-0.6169727314286082</v>
      </c>
      <c r="BF64" s="14">
        <v>-0.1157588886006289</v>
      </c>
      <c r="BK64" s="16">
        <v>0.35988283212441002</v>
      </c>
      <c r="BL64" s="16">
        <v>-0.51435687679221798</v>
      </c>
      <c r="BN64" s="17">
        <f t="shared" si="2"/>
        <v>0</v>
      </c>
    </row>
    <row r="65" spans="1:66" x14ac:dyDescent="0.2">
      <c r="A65">
        <v>-1.4475094417801411</v>
      </c>
      <c r="B65">
        <v>-1.2577634112672671</v>
      </c>
      <c r="C65">
        <v>-1.390456893944334</v>
      </c>
      <c r="D65">
        <v>-1.160159939320589</v>
      </c>
      <c r="E65">
        <v>-0.32500993017979002</v>
      </c>
      <c r="F65">
        <v>-0.3905330372639001</v>
      </c>
      <c r="G65">
        <v>-0.72975926174990025</v>
      </c>
      <c r="H65">
        <v>-1.3333677419495691</v>
      </c>
      <c r="I65">
        <v>-1.0427692081395361</v>
      </c>
      <c r="J65">
        <v>-0.9935241068124947</v>
      </c>
      <c r="M65" s="13">
        <v>0</v>
      </c>
      <c r="O65" s="10">
        <f t="shared" si="0"/>
        <v>1</v>
      </c>
      <c r="P65" s="10">
        <f t="shared" si="1"/>
        <v>0</v>
      </c>
      <c r="R65" s="14">
        <v>-0.78484212455114133</v>
      </c>
      <c r="S65" s="14">
        <v>0.63726392897974271</v>
      </c>
      <c r="T65" s="14">
        <v>-0.65145366067439137</v>
      </c>
      <c r="U65" s="14">
        <v>-0.80205130794457835</v>
      </c>
      <c r="V65" s="14">
        <v>-0.34321790926219042</v>
      </c>
      <c r="W65" s="14">
        <v>3.6584801942605272E-2</v>
      </c>
      <c r="X65" s="14">
        <v>-0.32984986872589317</v>
      </c>
      <c r="Y65" s="14">
        <v>-0.92528821573780884</v>
      </c>
      <c r="Z65" s="14">
        <v>-5.169505250883788E-2</v>
      </c>
      <c r="AA65" s="14">
        <v>-0.15851911030332227</v>
      </c>
      <c r="AB65" s="14">
        <v>1.6969891495212623</v>
      </c>
      <c r="AC65" s="14">
        <v>-0.62790128614015595</v>
      </c>
      <c r="AD65" s="14">
        <v>-0.45420031224134683</v>
      </c>
      <c r="AE65" s="14">
        <v>0.72182511194939536</v>
      </c>
      <c r="AF65" s="14">
        <v>-0.15130059277477037</v>
      </c>
      <c r="AG65" s="14">
        <v>-0.73705913235951137</v>
      </c>
      <c r="AH65" s="14">
        <v>-0.70819567486429658</v>
      </c>
      <c r="AI65" s="14">
        <v>-1.5550108986826197</v>
      </c>
      <c r="AJ65" s="14">
        <v>-0.31301430157887661</v>
      </c>
      <c r="AK65" s="14">
        <v>-7.3990566633986732E-2</v>
      </c>
      <c r="AM65" s="14">
        <v>1.1455537697983426E-2</v>
      </c>
      <c r="AN65" s="14">
        <v>0.58307651627627655</v>
      </c>
      <c r="AO65" s="14">
        <v>0.49932766793832828</v>
      </c>
      <c r="AP65" s="14">
        <v>0.52365554790586022</v>
      </c>
      <c r="AQ65" s="14">
        <v>0.55682143191938027</v>
      </c>
      <c r="AR65" s="14">
        <v>-0.11277383297085766</v>
      </c>
      <c r="AS65" s="14">
        <v>-0.70989458685227635</v>
      </c>
      <c r="AT65" s="14">
        <v>-0.46643056473803468</v>
      </c>
      <c r="AU65" s="14">
        <v>0.21774335024560681</v>
      </c>
      <c r="AV65" s="14">
        <v>0.53333572568370458</v>
      </c>
      <c r="AW65" s="14">
        <v>-0.2955844718925813</v>
      </c>
      <c r="AX65" s="14">
        <v>0.17157764394523636</v>
      </c>
      <c r="AY65" s="14">
        <v>-0.60577734825634899</v>
      </c>
      <c r="AZ65" s="14">
        <v>0.63820301975728866</v>
      </c>
      <c r="BA65" s="14">
        <v>0.13007297458465897</v>
      </c>
      <c r="BB65" s="14">
        <v>0.33021384231309603</v>
      </c>
      <c r="BC65" s="14">
        <v>-0.26285172258054018</v>
      </c>
      <c r="BD65" s="14">
        <v>-0.59290368783757541</v>
      </c>
      <c r="BE65" s="14">
        <v>-0.71633795278327872</v>
      </c>
      <c r="BF65" s="14">
        <v>6.3115223881736945E-2</v>
      </c>
      <c r="BK65" s="16">
        <v>-0.32256021075992403</v>
      </c>
      <c r="BL65" s="16">
        <v>0.52972178944039283</v>
      </c>
      <c r="BN65" s="17">
        <f t="shared" si="2"/>
        <v>1</v>
      </c>
    </row>
    <row r="66" spans="1:66" x14ac:dyDescent="0.2">
      <c r="A66">
        <v>-0.44473042270592239</v>
      </c>
      <c r="B66">
        <v>1.1893546879921459</v>
      </c>
      <c r="C66">
        <v>-0.41558235127502507</v>
      </c>
      <c r="D66">
        <v>-0.47479331275372499</v>
      </c>
      <c r="E66">
        <v>0.39402642473109678</v>
      </c>
      <c r="F66">
        <v>0.26556403548629282</v>
      </c>
      <c r="G66">
        <v>0.46977130609048279</v>
      </c>
      <c r="H66">
        <v>0.13249859024266961</v>
      </c>
      <c r="I66">
        <v>-1.8651117324000561E-2</v>
      </c>
      <c r="J66">
        <v>0.81445070099275785</v>
      </c>
      <c r="M66" s="13">
        <v>1</v>
      </c>
      <c r="O66" s="10">
        <f t="shared" si="0"/>
        <v>0</v>
      </c>
      <c r="P66" s="10">
        <f t="shared" si="1"/>
        <v>1</v>
      </c>
      <c r="R66" s="14">
        <v>-0.83927593671752887</v>
      </c>
      <c r="S66" s="14">
        <v>1.0350719968863262</v>
      </c>
      <c r="T66" s="14">
        <v>0.3946734942939043</v>
      </c>
      <c r="U66" s="14">
        <v>-1.3010969392495599</v>
      </c>
      <c r="V66" s="14">
        <v>1.4447223003102434</v>
      </c>
      <c r="W66" s="14">
        <v>0.70256851112012986</v>
      </c>
      <c r="X66" s="14">
        <v>-1.465895273121113</v>
      </c>
      <c r="Y66" s="14">
        <v>-1.0257819397779031</v>
      </c>
      <c r="Z66" s="14">
        <v>0.68512238785844048</v>
      </c>
      <c r="AA66" s="14">
        <v>1.1124749966527019</v>
      </c>
      <c r="AB66" s="14">
        <v>0.94806323114005076</v>
      </c>
      <c r="AC66" s="14">
        <v>1.0093486491976389</v>
      </c>
      <c r="AD66" s="14">
        <v>-0.81491689375548526</v>
      </c>
      <c r="AE66" s="14">
        <v>1.68742879981711</v>
      </c>
      <c r="AF66" s="14">
        <v>-0.97769070239475586</v>
      </c>
      <c r="AG66" s="14">
        <v>-0.43388399749114598</v>
      </c>
      <c r="AH66" s="14">
        <v>-1.3385962481128768</v>
      </c>
      <c r="AI66" s="14">
        <v>-1.602317769906906</v>
      </c>
      <c r="AJ66" s="14">
        <v>-0.54612303783340566</v>
      </c>
      <c r="AK66" s="14">
        <v>0.30586823439321154</v>
      </c>
      <c r="AM66" s="14">
        <v>-0.29041793902834739</v>
      </c>
      <c r="AN66" s="14">
        <v>0.22390038359158082</v>
      </c>
      <c r="AO66" s="14">
        <v>0.23932332199855921</v>
      </c>
      <c r="AP66" s="14">
        <v>0.14007327821978996</v>
      </c>
      <c r="AQ66" s="14">
        <v>9.0120775697301189E-2</v>
      </c>
      <c r="AR66" s="14">
        <v>0.47819119778780833</v>
      </c>
      <c r="AS66" s="14">
        <v>-0.22070337436676224</v>
      </c>
      <c r="AT66" s="14">
        <v>-0.39209496797796922</v>
      </c>
      <c r="AU66" s="14">
        <v>-0.36462339528958587</v>
      </c>
      <c r="AV66" s="14">
        <v>0.12553341680843311</v>
      </c>
      <c r="AW66" s="14">
        <v>-5.2093691160315501E-2</v>
      </c>
      <c r="AX66" s="14">
        <v>-0.10987356473846624</v>
      </c>
      <c r="AY66" s="14">
        <v>-0.29875062052621709</v>
      </c>
      <c r="AZ66" s="14">
        <v>8.6388980875894306E-2</v>
      </c>
      <c r="BA66" s="14">
        <v>-0.33192879942053249</v>
      </c>
      <c r="BB66" s="14">
        <v>5.3227268327803487E-2</v>
      </c>
      <c r="BC66" s="14">
        <v>-0.1268868565824823</v>
      </c>
      <c r="BD66" s="14">
        <v>-0.23915780737431294</v>
      </c>
      <c r="BE66" s="14">
        <v>-0.26028118250737942</v>
      </c>
      <c r="BF66" s="14">
        <v>0.22583068340971058</v>
      </c>
      <c r="BK66" s="16">
        <v>0.74496525180655171</v>
      </c>
      <c r="BL66" s="16">
        <v>-0.22229783380667031</v>
      </c>
      <c r="BN66" s="17">
        <f t="shared" si="2"/>
        <v>0</v>
      </c>
    </row>
    <row r="67" spans="1:66" x14ac:dyDescent="0.2">
      <c r="A67">
        <v>0.15573605578163349</v>
      </c>
      <c r="B67">
        <v>1.2138749094276109</v>
      </c>
      <c r="C67">
        <v>0.19490741129055819</v>
      </c>
      <c r="D67">
        <v>1.253373419197047E-2</v>
      </c>
      <c r="E67">
        <v>0.797311224461421</v>
      </c>
      <c r="F67">
        <v>0.43789489926610542</v>
      </c>
      <c r="G67">
        <v>1.0208447994345839</v>
      </c>
      <c r="H67">
        <v>0.1780481090396033</v>
      </c>
      <c r="I67">
        <v>4.6529695097327309E-2</v>
      </c>
      <c r="J67">
        <v>0.66170206320916136</v>
      </c>
      <c r="M67" s="13">
        <v>1</v>
      </c>
      <c r="O67" s="10">
        <f t="shared" ref="O67:O130" si="3">IF(M67=0,1,0)</f>
        <v>0</v>
      </c>
      <c r="P67" s="10">
        <f t="shared" ref="P67:P130" si="4">IF(M67=1,1,0)</f>
        <v>1</v>
      </c>
      <c r="R67" s="14">
        <v>-0.92949278261576995</v>
      </c>
      <c r="S67" s="14">
        <v>1.0320441657257695</v>
      </c>
      <c r="T67" s="14">
        <v>0.42704453906409712</v>
      </c>
      <c r="U67" s="14">
        <v>0.15514877132060778</v>
      </c>
      <c r="V67" s="14">
        <v>1.5017706005772258</v>
      </c>
      <c r="W67" s="14">
        <v>0.34787428724949682</v>
      </c>
      <c r="X67" s="14">
        <v>-1.4658992589682642</v>
      </c>
      <c r="Y67" s="14">
        <v>-0.79545107695203621</v>
      </c>
      <c r="Z67" s="14">
        <v>0.90697603491643708</v>
      </c>
      <c r="AA67" s="14">
        <v>1.2132624792075002</v>
      </c>
      <c r="AB67" s="14">
        <v>-0.28625908996113281</v>
      </c>
      <c r="AC67" s="14">
        <v>0.86171502682603374</v>
      </c>
      <c r="AD67" s="14">
        <v>-0.81457076936857387</v>
      </c>
      <c r="AE67" s="14">
        <v>1.6886272651258427</v>
      </c>
      <c r="AF67" s="14">
        <v>0.18837202430475775</v>
      </c>
      <c r="AG67" s="14">
        <v>0.28771531626331981</v>
      </c>
      <c r="AH67" s="14">
        <v>-1.1837248732942838</v>
      </c>
      <c r="AI67" s="14">
        <v>-1.6023780192561308</v>
      </c>
      <c r="AJ67" s="14">
        <v>-0.55688672167597719</v>
      </c>
      <c r="AK67" s="14">
        <v>0.24623133781440854</v>
      </c>
      <c r="AM67" s="14">
        <v>-5.1548860862850744E-4</v>
      </c>
      <c r="AN67" s="14">
        <v>-0.65508934739669622</v>
      </c>
      <c r="AO67" s="14">
        <v>-0.26054143353847592</v>
      </c>
      <c r="AP67" s="14">
        <v>-6.0695619111207008E-2</v>
      </c>
      <c r="AQ67" s="14">
        <v>-0.31299401385832265</v>
      </c>
      <c r="AR67" s="14">
        <v>0.18970646551621023</v>
      </c>
      <c r="AS67" s="14">
        <v>0.69445231302620247</v>
      </c>
      <c r="AT67" s="14">
        <v>0.65208781812119609</v>
      </c>
      <c r="AU67" s="14">
        <v>-4.9089180128455208E-2</v>
      </c>
      <c r="AV67" s="14">
        <v>-0.40860629007811744</v>
      </c>
      <c r="AW67" s="14">
        <v>-0.47789312507166271</v>
      </c>
      <c r="AX67" s="14">
        <v>-2.6421856320465047E-2</v>
      </c>
      <c r="AY67" s="14">
        <v>0.58319224717041007</v>
      </c>
      <c r="AZ67" s="14">
        <v>-0.66534121623194931</v>
      </c>
      <c r="BA67" s="14">
        <v>-0.14163517724052158</v>
      </c>
      <c r="BB67" s="14">
        <v>-0.10732584211097665</v>
      </c>
      <c r="BC67" s="14">
        <v>0.33837118153472828</v>
      </c>
      <c r="BD67" s="14">
        <v>0.68231532727264799</v>
      </c>
      <c r="BE67" s="14">
        <v>0.67489854534960525</v>
      </c>
      <c r="BF67" s="14">
        <v>-0.29480019176405531</v>
      </c>
      <c r="BK67" s="16">
        <v>0.23937527152524873</v>
      </c>
      <c r="BL67" s="16">
        <v>0.2555770176710046</v>
      </c>
      <c r="BN67" s="17">
        <f t="shared" si="2"/>
        <v>1</v>
      </c>
    </row>
    <row r="68" spans="1:66" x14ac:dyDescent="0.2">
      <c r="A68">
        <v>-1.3640160076285379</v>
      </c>
      <c r="B68">
        <v>0.49543242136848509</v>
      </c>
      <c r="C68">
        <v>-1.352690362065702</v>
      </c>
      <c r="D68">
        <v>-1.1356928400941371</v>
      </c>
      <c r="E68">
        <v>-0.50676685835318058</v>
      </c>
      <c r="F68">
        <v>-0.8636370489068963</v>
      </c>
      <c r="G68">
        <v>-0.90254482830862592</v>
      </c>
      <c r="H68">
        <v>-1.2505504350460519</v>
      </c>
      <c r="I68">
        <v>-1.0062821229254231</v>
      </c>
      <c r="J68">
        <v>-0.77937650678255088</v>
      </c>
      <c r="M68" s="13">
        <v>0</v>
      </c>
      <c r="O68" s="10">
        <f t="shared" si="3"/>
        <v>1</v>
      </c>
      <c r="P68" s="10">
        <f t="shared" si="4"/>
        <v>0</v>
      </c>
      <c r="R68" s="14">
        <v>0.36894840707740451</v>
      </c>
      <c r="S68" s="14">
        <v>1.0011269255836779</v>
      </c>
      <c r="T68" s="14">
        <v>0.22909727586907302</v>
      </c>
      <c r="U68" s="14">
        <v>-0.44384613607479151</v>
      </c>
      <c r="V68" s="14">
        <v>1.1531601445713027</v>
      </c>
      <c r="W68" s="14">
        <v>-0.52418660283702434</v>
      </c>
      <c r="X68" s="14">
        <v>-1.4594596588026176</v>
      </c>
      <c r="Y68" s="14">
        <v>-0.83646897574450985</v>
      </c>
      <c r="Z68" s="14">
        <v>0.80928446977756918</v>
      </c>
      <c r="AA68" s="14">
        <v>1.1440951442801994</v>
      </c>
      <c r="AB68" s="14">
        <v>0.85886437383425107</v>
      </c>
      <c r="AC68" s="14">
        <v>0.91651968462603839</v>
      </c>
      <c r="AD68" s="14">
        <v>-0.71864894092627007</v>
      </c>
      <c r="AE68" s="14">
        <v>1.6860407417516172</v>
      </c>
      <c r="AF68" s="14">
        <v>0.16357915624695518</v>
      </c>
      <c r="AG68" s="14">
        <v>-0.1093766370286462</v>
      </c>
      <c r="AH68" s="14">
        <v>-0.95112807233635777</v>
      </c>
      <c r="AI68" s="14">
        <v>-1.575130558914887</v>
      </c>
      <c r="AJ68" s="14">
        <v>-0.52171034033653729</v>
      </c>
      <c r="AK68" s="14">
        <v>-0.74664939891855664</v>
      </c>
      <c r="AM68" s="14">
        <v>-0.58099480405382276</v>
      </c>
      <c r="AN68" s="14">
        <v>-0.55552153504744128</v>
      </c>
      <c r="AO68" s="14">
        <v>-0.2082691091358749</v>
      </c>
      <c r="AP68" s="14">
        <v>0.30745413775292196</v>
      </c>
      <c r="AQ68" s="14">
        <v>0.35689574382668249</v>
      </c>
      <c r="AR68" s="14">
        <v>0.58385951677436043</v>
      </c>
      <c r="AS68" s="14">
        <v>0.51047856530103886</v>
      </c>
      <c r="AT68" s="14">
        <v>0.5845157479265346</v>
      </c>
      <c r="AU68" s="14">
        <v>9.8504101538105113E-2</v>
      </c>
      <c r="AV68" s="14">
        <v>-6.7390036151139185E-2</v>
      </c>
      <c r="AW68" s="14">
        <v>-0.83860700317716019</v>
      </c>
      <c r="AX68" s="14">
        <v>-0.25266071212108365</v>
      </c>
      <c r="AY68" s="14">
        <v>0.4017859697921658</v>
      </c>
      <c r="AZ68" s="14">
        <v>-0.6180007872086043</v>
      </c>
      <c r="BA68" s="14">
        <v>-0.43706898680335848</v>
      </c>
      <c r="BB68" s="14">
        <v>0.56670255949038528</v>
      </c>
      <c r="BC68" s="14">
        <v>0.1018669298826127</v>
      </c>
      <c r="BD68" s="14">
        <v>0.62556018817147807</v>
      </c>
      <c r="BE68" s="14">
        <v>0.34512343642129145</v>
      </c>
      <c r="BF68" s="14">
        <v>0.39899476061005407</v>
      </c>
      <c r="BK68" s="16">
        <v>0.65791295419553564</v>
      </c>
      <c r="BL68" s="16">
        <v>-0.32748153991164802</v>
      </c>
      <c r="BN68" s="17">
        <f t="shared" si="2"/>
        <v>0</v>
      </c>
    </row>
    <row r="69" spans="1:66" x14ac:dyDescent="0.2">
      <c r="A69">
        <v>-0.83646331581447064</v>
      </c>
      <c r="B69">
        <v>1.238405908982282E-2</v>
      </c>
      <c r="C69">
        <v>-0.86753568331711883</v>
      </c>
      <c r="D69">
        <v>-0.77674610203076855</v>
      </c>
      <c r="E69">
        <v>-1.0776843259898421</v>
      </c>
      <c r="F69">
        <v>-0.67308126643957844</v>
      </c>
      <c r="G69">
        <v>-0.71697926422336733</v>
      </c>
      <c r="H69">
        <v>-0.85302736190917405</v>
      </c>
      <c r="I69">
        <v>-0.76539651180312485</v>
      </c>
      <c r="J69">
        <v>-0.71288592327675016</v>
      </c>
      <c r="M69" s="13">
        <v>0</v>
      </c>
      <c r="O69" s="10">
        <f t="shared" si="3"/>
        <v>1</v>
      </c>
      <c r="P69" s="10">
        <f t="shared" si="4"/>
        <v>0</v>
      </c>
      <c r="R69" s="14">
        <v>-0.16659588456975583</v>
      </c>
      <c r="S69" s="14">
        <v>0.94885915672553411</v>
      </c>
      <c r="T69" s="14">
        <v>0.36838655801519327</v>
      </c>
      <c r="U69" s="14">
        <v>5.8096549511018503E-2</v>
      </c>
      <c r="V69" s="14">
        <v>1.2877408404102608</v>
      </c>
      <c r="W69" s="14">
        <v>6.617306209353746E-3</v>
      </c>
      <c r="X69" s="14">
        <v>-1.4590413025237954</v>
      </c>
      <c r="Y69" s="14">
        <v>-0.76355958291267534</v>
      </c>
      <c r="Z69" s="14">
        <v>0.35382183252507782</v>
      </c>
      <c r="AA69" s="14">
        <v>1.164902314930335</v>
      </c>
      <c r="AB69" s="14">
        <v>-0.19305667284890105</v>
      </c>
      <c r="AC69" s="14">
        <v>0.60000597006854484</v>
      </c>
      <c r="AD69" s="14">
        <v>-0.74743362920136114</v>
      </c>
      <c r="AE69" s="14">
        <v>1.6578081117029848</v>
      </c>
      <c r="AF69" s="14">
        <v>1.7250387031568448E-2</v>
      </c>
      <c r="AG69" s="14">
        <v>0.15639658456312977</v>
      </c>
      <c r="AH69" s="14">
        <v>-0.84342736343913871</v>
      </c>
      <c r="AI69" s="14">
        <v>-1.5589591200900941</v>
      </c>
      <c r="AJ69" s="14">
        <v>-0.54833804721599533</v>
      </c>
      <c r="AK69" s="14">
        <v>-0.47602857304214824</v>
      </c>
      <c r="AM69" s="14">
        <v>0.23394516686642322</v>
      </c>
      <c r="AN69" s="14">
        <v>0.50006708147355006</v>
      </c>
      <c r="AO69" s="14">
        <v>0.38903636424067589</v>
      </c>
      <c r="AP69" s="14">
        <v>0.71664019213951424</v>
      </c>
      <c r="AQ69" s="14">
        <v>-0.25731344081590113</v>
      </c>
      <c r="AR69" s="14">
        <v>0.35834124620417857</v>
      </c>
      <c r="AS69" s="14">
        <v>-0.43068596750239152</v>
      </c>
      <c r="AT69" s="14">
        <v>-0.78246451953776641</v>
      </c>
      <c r="AU69" s="14">
        <v>-0.74894795246486123</v>
      </c>
      <c r="AV69" s="14">
        <v>0.4608665870498469</v>
      </c>
      <c r="AW69" s="14">
        <v>0.3973809466446116</v>
      </c>
      <c r="AX69" s="14">
        <v>-0.30323510586432773</v>
      </c>
      <c r="AY69" s="14">
        <v>-0.49705942589096835</v>
      </c>
      <c r="AZ69" s="14">
        <v>0.38046441676220027</v>
      </c>
      <c r="BA69" s="14">
        <v>3.3218412623811526E-2</v>
      </c>
      <c r="BB69" s="14">
        <v>6.4467303336074089E-2</v>
      </c>
      <c r="BC69" s="14">
        <v>-5.3258348645318442E-2</v>
      </c>
      <c r="BD69" s="14">
        <v>-0.54559691796799958</v>
      </c>
      <c r="BE69" s="14">
        <v>-0.55962245276469935</v>
      </c>
      <c r="BF69" s="14">
        <v>-0.24616816840204372</v>
      </c>
      <c r="BK69" s="16">
        <v>0.92163439543617576</v>
      </c>
      <c r="BL69" s="16">
        <v>-0.12830571441403327</v>
      </c>
      <c r="BN69" s="17">
        <f t="shared" si="2"/>
        <v>0</v>
      </c>
    </row>
    <row r="70" spans="1:66" x14ac:dyDescent="0.2">
      <c r="A70">
        <v>-1.4886842860192879</v>
      </c>
      <c r="B70">
        <v>-0.4069117274566299</v>
      </c>
      <c r="C70">
        <v>-1.4074725841314111</v>
      </c>
      <c r="D70">
        <v>-1.19009615484472</v>
      </c>
      <c r="E70">
        <v>0.67465317477385711</v>
      </c>
      <c r="F70">
        <v>2.7476243900703561</v>
      </c>
      <c r="G70">
        <v>-0.16871737033510359</v>
      </c>
      <c r="H70">
        <v>-1.271254761771931</v>
      </c>
      <c r="I70">
        <v>-1.0169094292984659</v>
      </c>
      <c r="J70">
        <v>0.86536691358728968</v>
      </c>
      <c r="M70" s="13">
        <v>0</v>
      </c>
      <c r="O70" s="10">
        <f t="shared" si="3"/>
        <v>1</v>
      </c>
      <c r="P70" s="10">
        <f t="shared" si="4"/>
        <v>0</v>
      </c>
      <c r="R70" s="14">
        <v>-0.93920026924498179</v>
      </c>
      <c r="S70" s="14">
        <v>0.65961953667697848</v>
      </c>
      <c r="T70" s="14">
        <v>-8.1563518537931534E-2</v>
      </c>
      <c r="U70" s="14">
        <v>-0.47323343129804757</v>
      </c>
      <c r="V70" s="14">
        <v>0.45250620814601161</v>
      </c>
      <c r="W70" s="14">
        <v>0.4738913110645005</v>
      </c>
      <c r="X70" s="14">
        <v>-1.0799493226065036</v>
      </c>
      <c r="Y70" s="14">
        <v>-0.81037338855762009</v>
      </c>
      <c r="Z70" s="14">
        <v>2.7248465401291444E-2</v>
      </c>
      <c r="AA70" s="14">
        <v>0.58155790780474603</v>
      </c>
      <c r="AB70" s="14">
        <v>0.86938002251551949</v>
      </c>
      <c r="AC70" s="14">
        <v>-0.32079588801075082</v>
      </c>
      <c r="AD70" s="14">
        <v>-0.44447528425135863</v>
      </c>
      <c r="AE70" s="14">
        <v>0.60101416483207282</v>
      </c>
      <c r="AF70" s="14">
        <v>-1.2919293624697064</v>
      </c>
      <c r="AG70" s="14">
        <v>-0.64548571604495153</v>
      </c>
      <c r="AH70" s="14">
        <v>-0.6664452203678265</v>
      </c>
      <c r="AI70" s="14">
        <v>-1.2395155243213696</v>
      </c>
      <c r="AJ70" s="14">
        <v>-0.12444403871475179</v>
      </c>
      <c r="AK70" s="14">
        <v>-0.22538303869622339</v>
      </c>
      <c r="AM70" s="14">
        <v>-0.3231528492343147</v>
      </c>
      <c r="AN70" s="14">
        <v>-0.33427048714951069</v>
      </c>
      <c r="AO70" s="14">
        <v>0.13754726559342217</v>
      </c>
      <c r="AP70" s="14">
        <v>0.66036501917545887</v>
      </c>
      <c r="AQ70" s="14">
        <v>-0.1415965428919447</v>
      </c>
      <c r="AR70" s="14">
        <v>4.4444269619367816E-2</v>
      </c>
      <c r="AS70" s="14">
        <v>0.14599593160519989</v>
      </c>
      <c r="AT70" s="14">
        <v>0.28351124799089988</v>
      </c>
      <c r="AU70" s="14">
        <v>-0.19742442163138862</v>
      </c>
      <c r="AV70" s="14">
        <v>-8.1368979029998248E-2</v>
      </c>
      <c r="AW70" s="14">
        <v>-0.46652191748665356</v>
      </c>
      <c r="AX70" s="14">
        <v>-0.29401333486061798</v>
      </c>
      <c r="AY70" s="14">
        <v>3.1309516177907878E-2</v>
      </c>
      <c r="AZ70" s="14">
        <v>-0.35533067908415672</v>
      </c>
      <c r="BA70" s="14">
        <v>8.9883710815984424E-2</v>
      </c>
      <c r="BB70" s="14">
        <v>0.20176522764428034</v>
      </c>
      <c r="BC70" s="14">
        <v>0.31402519866800194</v>
      </c>
      <c r="BD70" s="14">
        <v>0.19376636325123786</v>
      </c>
      <c r="BE70" s="14">
        <v>-6.9824922475495571E-2</v>
      </c>
      <c r="BF70" s="14">
        <v>-0.16697488055274051</v>
      </c>
      <c r="BK70" s="16">
        <v>0.80609085756280607</v>
      </c>
      <c r="BL70" s="16">
        <v>-0.21321968253823192</v>
      </c>
      <c r="BN70" s="17">
        <f t="shared" si="2"/>
        <v>0</v>
      </c>
    </row>
    <row r="71" spans="1:66" x14ac:dyDescent="0.2">
      <c r="A71">
        <v>-0.41613678087318179</v>
      </c>
      <c r="B71">
        <v>-0.61288158751453636</v>
      </c>
      <c r="C71">
        <v>-0.47036457334073323</v>
      </c>
      <c r="D71">
        <v>-0.46471862483695048</v>
      </c>
      <c r="E71">
        <v>-0.97862865859064274</v>
      </c>
      <c r="F71">
        <v>-0.68002409260624708</v>
      </c>
      <c r="G71">
        <v>-0.55492889558692948</v>
      </c>
      <c r="H71">
        <v>-0.61906846990674047</v>
      </c>
      <c r="I71">
        <v>-0.60917510811939912</v>
      </c>
      <c r="J71">
        <v>-0.87447002148116237</v>
      </c>
      <c r="M71" s="13">
        <v>0</v>
      </c>
      <c r="O71" s="10">
        <f t="shared" si="3"/>
        <v>1</v>
      </c>
      <c r="P71" s="10">
        <f t="shared" si="4"/>
        <v>0</v>
      </c>
      <c r="R71" s="14">
        <v>-0.25365995386186035</v>
      </c>
      <c r="S71" s="14">
        <v>-1.1181864104798724</v>
      </c>
      <c r="T71" s="14">
        <v>-0.60401260575017635</v>
      </c>
      <c r="U71" s="14">
        <v>-0.64766651232026695</v>
      </c>
      <c r="V71" s="14">
        <v>-0.25593410792794646</v>
      </c>
      <c r="W71" s="14">
        <v>0.31832825181371205</v>
      </c>
      <c r="X71" s="14">
        <v>1.0600389465974331</v>
      </c>
      <c r="Y71" s="14">
        <v>1.2480360853365948</v>
      </c>
      <c r="Z71" s="14">
        <v>0.24290158709130349</v>
      </c>
      <c r="AA71" s="14">
        <v>-0.21186512458854323</v>
      </c>
      <c r="AB71" s="14">
        <v>-0.68874626831034624</v>
      </c>
      <c r="AC71" s="14">
        <v>4.4132606944830677E-2</v>
      </c>
      <c r="AD71" s="14">
        <v>1.0937374938493518</v>
      </c>
      <c r="AE71" s="14">
        <v>-0.65720530993444082</v>
      </c>
      <c r="AF71" s="14">
        <v>-0.22622503382383774</v>
      </c>
      <c r="AG71" s="14">
        <v>-0.43141293042832696</v>
      </c>
      <c r="AH71" s="14">
        <v>-0.10997992438315973</v>
      </c>
      <c r="AI71" s="14">
        <v>0.33559982953098277</v>
      </c>
      <c r="AJ71" s="14">
        <v>1.5613451430642606</v>
      </c>
      <c r="AK71" s="14">
        <v>-1.0363310079668475</v>
      </c>
      <c r="AM71" s="14">
        <v>-0.45844210437025029</v>
      </c>
      <c r="AN71" s="14">
        <v>0.10460114913610807</v>
      </c>
      <c r="AO71" s="14">
        <v>-0.21305643980969641</v>
      </c>
      <c r="AP71" s="14">
        <v>-4.7981765084082084E-2</v>
      </c>
      <c r="AQ71" s="14">
        <v>-0.55113948220869102</v>
      </c>
      <c r="AR71" s="14">
        <v>0.69654905098286324</v>
      </c>
      <c r="AS71" s="14">
        <v>0.10173998682495909</v>
      </c>
      <c r="AT71" s="14">
        <v>-0.64587857733940224</v>
      </c>
      <c r="AU71" s="14">
        <v>-0.78407909904278439</v>
      </c>
      <c r="AV71" s="14">
        <v>-0.16433630162166066</v>
      </c>
      <c r="AW71" s="14">
        <v>0.71463265084025229</v>
      </c>
      <c r="AX71" s="14">
        <v>-0.56506503152893306</v>
      </c>
      <c r="AY71" s="14">
        <v>-0.12908107267970595</v>
      </c>
      <c r="AZ71" s="14">
        <v>-0.25650118455750398</v>
      </c>
      <c r="BA71" s="14">
        <v>-0.46849020498360855</v>
      </c>
      <c r="BB71" s="14">
        <v>-0.21292988764423049</v>
      </c>
      <c r="BC71" s="14">
        <v>-4.0064170191406713E-2</v>
      </c>
      <c r="BD71" s="14">
        <v>-0.17603428125478712</v>
      </c>
      <c r="BE71" s="14">
        <v>1.4641745645126119E-2</v>
      </c>
      <c r="BF71" s="14">
        <v>0.44655747020105441</v>
      </c>
      <c r="BK71" s="16">
        <v>-0.72857358195224775</v>
      </c>
      <c r="BL71" s="16">
        <v>0.32536927073972566</v>
      </c>
      <c r="BN71" s="17">
        <f t="shared" si="2"/>
        <v>1</v>
      </c>
    </row>
    <row r="72" spans="1:66" x14ac:dyDescent="0.2">
      <c r="A72">
        <v>1.3452315560236501</v>
      </c>
      <c r="B72">
        <v>0.56899308567487961</v>
      </c>
      <c r="C72">
        <v>1.282251515928102</v>
      </c>
      <c r="D72">
        <v>1.341528994527633</v>
      </c>
      <c r="E72">
        <v>-3.8993659771970182E-2</v>
      </c>
      <c r="F72">
        <v>0.20605409691484669</v>
      </c>
      <c r="G72">
        <v>0.74530805276253331</v>
      </c>
      <c r="H72">
        <v>1.741224776843473</v>
      </c>
      <c r="I72">
        <v>1.7130684561632861</v>
      </c>
      <c r="J72">
        <v>0.92377080450454729</v>
      </c>
      <c r="M72" s="13">
        <v>1</v>
      </c>
      <c r="O72" s="10">
        <f t="shared" si="3"/>
        <v>0</v>
      </c>
      <c r="P72" s="10">
        <f t="shared" si="4"/>
        <v>1</v>
      </c>
      <c r="R72" s="14">
        <v>-1.3687400326699635</v>
      </c>
      <c r="S72" s="14">
        <v>-0.91128237840175941</v>
      </c>
      <c r="T72" s="14">
        <v>-1.1368142961374019</v>
      </c>
      <c r="U72" s="14">
        <v>9.7309446570255087E-3</v>
      </c>
      <c r="V72" s="14">
        <v>1.27299258706759</v>
      </c>
      <c r="W72" s="14">
        <v>0.40196126542164329</v>
      </c>
      <c r="X72" s="14">
        <v>0.45826769123804029</v>
      </c>
      <c r="Y72" s="14">
        <v>0.72802678721003145</v>
      </c>
      <c r="Z72" s="14">
        <v>1.2880163492093024</v>
      </c>
      <c r="AA72" s="14">
        <v>-5.885665041279714E-3</v>
      </c>
      <c r="AB72" s="14">
        <v>-0.2794287998278665</v>
      </c>
      <c r="AC72" s="14">
        <v>-0.78142980669964102</v>
      </c>
      <c r="AD72" s="14">
        <v>0.91598960405481666</v>
      </c>
      <c r="AE72" s="14">
        <v>-0.30683475022568618</v>
      </c>
      <c r="AF72" s="14">
        <v>-1.6721570562915753</v>
      </c>
      <c r="AG72" s="14">
        <v>-6.9474579455033436E-2</v>
      </c>
      <c r="AH72" s="14">
        <v>-0.22269638903298467</v>
      </c>
      <c r="AI72" s="14">
        <v>0.37979207095467427</v>
      </c>
      <c r="AJ72" s="14">
        <v>1.1648772844739599</v>
      </c>
      <c r="AK72" s="14">
        <v>-4.4943112151438647E-2</v>
      </c>
      <c r="AM72" s="14">
        <v>-0.10803448297974404</v>
      </c>
      <c r="AN72" s="14">
        <v>0.93140113621703657</v>
      </c>
      <c r="AO72" s="14">
        <v>0.66936962523278531</v>
      </c>
      <c r="AP72" s="14">
        <v>0.55588646507078487</v>
      </c>
      <c r="AQ72" s="14">
        <v>0.87533399972086845</v>
      </c>
      <c r="AR72" s="14">
        <v>-2.9015175517859454E-2</v>
      </c>
      <c r="AS72" s="14">
        <v>-0.96735421552980871</v>
      </c>
      <c r="AT72" s="14">
        <v>-0.91716839311560006</v>
      </c>
      <c r="AU72" s="14">
        <v>0.43005508704757084</v>
      </c>
      <c r="AV72" s="14">
        <v>0.85285409590106387</v>
      </c>
      <c r="AW72" s="14">
        <v>0.17650255852958222</v>
      </c>
      <c r="AX72" s="14">
        <v>0.26191917334328207</v>
      </c>
      <c r="AY72" s="14">
        <v>-0.91451553460286206</v>
      </c>
      <c r="AZ72" s="14">
        <v>0.94431109740036145</v>
      </c>
      <c r="BA72" s="14">
        <v>3.5151417371966268E-2</v>
      </c>
      <c r="BB72" s="14">
        <v>0.56304849053920991</v>
      </c>
      <c r="BC72" s="14">
        <v>-0.69275451002377764</v>
      </c>
      <c r="BD72" s="14">
        <v>-0.92516602487675847</v>
      </c>
      <c r="BE72" s="14">
        <v>-0.96091884816773776</v>
      </c>
      <c r="BF72" s="14">
        <v>0.61790802972126946</v>
      </c>
      <c r="BK72" s="16">
        <v>-0.33422656169792936</v>
      </c>
      <c r="BL72" s="16">
        <v>0.51156535375184931</v>
      </c>
      <c r="BN72" s="17">
        <f t="shared" si="2"/>
        <v>1</v>
      </c>
    </row>
    <row r="73" spans="1:66" x14ac:dyDescent="0.2">
      <c r="A73">
        <v>-1.5290013210034521</v>
      </c>
      <c r="B73">
        <v>-1.0665056840706399</v>
      </c>
      <c r="C73">
        <v>-1.4074725841314111</v>
      </c>
      <c r="D73">
        <v>-1.2088062895473011</v>
      </c>
      <c r="E73">
        <v>0.89395089997283528</v>
      </c>
      <c r="F73">
        <v>-6.5955913972138056E-2</v>
      </c>
      <c r="G73">
        <v>-0.55288409598268418</v>
      </c>
      <c r="H73">
        <v>-1.390718726980253</v>
      </c>
      <c r="I73">
        <v>-1.088289503770735</v>
      </c>
      <c r="J73">
        <v>-1.0385999303153011</v>
      </c>
      <c r="M73" s="13">
        <v>0</v>
      </c>
      <c r="O73" s="10">
        <f t="shared" si="3"/>
        <v>1</v>
      </c>
      <c r="P73" s="10">
        <f t="shared" si="4"/>
        <v>0</v>
      </c>
      <c r="R73" s="14">
        <v>5.4663968573147481E-2</v>
      </c>
      <c r="S73" s="14">
        <v>0.78763432973383729</v>
      </c>
      <c r="T73" s="14">
        <v>0.26029357826595922</v>
      </c>
      <c r="U73" s="14">
        <v>0.33224745608718165</v>
      </c>
      <c r="V73" s="14">
        <v>-0.27327532335645643</v>
      </c>
      <c r="W73" s="14">
        <v>0.46027606880593902</v>
      </c>
      <c r="X73" s="14">
        <v>-0.92143479541121709</v>
      </c>
      <c r="Y73" s="14">
        <v>-1.0861895133218409</v>
      </c>
      <c r="Z73" s="14">
        <v>-0.22708316617133506</v>
      </c>
      <c r="AA73" s="14">
        <v>1.1214478618403234</v>
      </c>
      <c r="AB73" s="14">
        <v>1.0741955895596838</v>
      </c>
      <c r="AC73" s="14">
        <v>-0.48149090909860937</v>
      </c>
      <c r="AD73" s="14">
        <v>-0.56665913913089083</v>
      </c>
      <c r="AE73" s="14">
        <v>1.0034286396225069</v>
      </c>
      <c r="AF73" s="14">
        <v>-0.19635120996565403</v>
      </c>
      <c r="AG73" s="14">
        <v>-0.22393471083075617</v>
      </c>
      <c r="AH73" s="14">
        <v>-0.43534136440678112</v>
      </c>
      <c r="AI73" s="14">
        <v>-1.495012423609162</v>
      </c>
      <c r="AJ73" s="14">
        <v>-0.45057763965421888</v>
      </c>
      <c r="AK73" s="14">
        <v>-0.9405534911275798</v>
      </c>
      <c r="AM73" s="14">
        <v>-0.21183686253297962</v>
      </c>
      <c r="AN73" s="14">
        <v>0.44478270582801283</v>
      </c>
      <c r="AO73" s="14">
        <v>1.2147871172960076E-2</v>
      </c>
      <c r="AP73" s="14">
        <v>8.8861266536129524E-2</v>
      </c>
      <c r="AQ73" s="14">
        <v>0.12184880578122721</v>
      </c>
      <c r="AR73" s="14">
        <v>1.569763752024949E-2</v>
      </c>
      <c r="AS73" s="14">
        <v>-0.5824466459997385</v>
      </c>
      <c r="AT73" s="14">
        <v>-0.57080875037315881</v>
      </c>
      <c r="AU73" s="14">
        <v>2.6767378427398431E-2</v>
      </c>
      <c r="AV73" s="14">
        <v>0.19686634283086382</v>
      </c>
      <c r="AW73" s="14">
        <v>0.58396012555613108</v>
      </c>
      <c r="AX73" s="14">
        <v>-0.12767238452175075</v>
      </c>
      <c r="AY73" s="14">
        <v>-0.4452592401209477</v>
      </c>
      <c r="AZ73" s="14">
        <v>0.43842373008861935</v>
      </c>
      <c r="BA73" s="14">
        <v>-1.3401018304714869E-2</v>
      </c>
      <c r="BB73" s="14">
        <v>-9.0475820279403721E-2</v>
      </c>
      <c r="BC73" s="14">
        <v>-0.23193144644640684</v>
      </c>
      <c r="BD73" s="14">
        <v>-0.47517338166374579</v>
      </c>
      <c r="BE73" s="14">
        <v>-0.50364894519677961</v>
      </c>
      <c r="BF73" s="14">
        <v>0.34876233235600562</v>
      </c>
      <c r="BK73" s="16">
        <v>0.74310154069131418</v>
      </c>
      <c r="BL73" s="16">
        <v>-0.16418985135332445</v>
      </c>
      <c r="BN73" s="17">
        <f t="shared" si="2"/>
        <v>0</v>
      </c>
    </row>
    <row r="74" spans="1:66" x14ac:dyDescent="0.2">
      <c r="A74">
        <v>0.84770218813396003</v>
      </c>
      <c r="B74">
        <v>1.3560921937533079</v>
      </c>
      <c r="C74">
        <v>0.89213569212684585</v>
      </c>
      <c r="D74">
        <v>0.76410545278335351</v>
      </c>
      <c r="E74">
        <v>1.4496290341634659</v>
      </c>
      <c r="F74">
        <v>0.96480581370078389</v>
      </c>
      <c r="G74">
        <v>0.74351885310881871</v>
      </c>
      <c r="H74">
        <v>1.422378145264936</v>
      </c>
      <c r="I74">
        <v>1.3853931763278069</v>
      </c>
      <c r="J74">
        <v>1.0884997276045041</v>
      </c>
      <c r="M74" s="13">
        <v>1</v>
      </c>
      <c r="O74" s="10">
        <f t="shared" si="3"/>
        <v>0</v>
      </c>
      <c r="P74" s="10">
        <f t="shared" si="4"/>
        <v>1</v>
      </c>
      <c r="R74" s="14">
        <v>-1.0140241521030435</v>
      </c>
      <c r="S74" s="14">
        <v>-0.92213857976131641</v>
      </c>
      <c r="T74" s="14">
        <v>-0.33291319127459512</v>
      </c>
      <c r="U74" s="14">
        <v>0.30603042795880775</v>
      </c>
      <c r="V74" s="14">
        <v>-7.2287038688665484E-2</v>
      </c>
      <c r="W74" s="14">
        <v>-9.0372984201381124E-2</v>
      </c>
      <c r="X74" s="14">
        <v>0.47403051480684227</v>
      </c>
      <c r="Y74" s="14">
        <v>0.47120394140710647</v>
      </c>
      <c r="Z74" s="14">
        <v>0.37227573466114611</v>
      </c>
      <c r="AA74" s="14">
        <v>-0.14862626757830877</v>
      </c>
      <c r="AB74" s="14">
        <v>-0.21445537909869528</v>
      </c>
      <c r="AC74" s="14">
        <v>-0.71334414559516302</v>
      </c>
      <c r="AD74" s="14">
        <v>0.67777682903976633</v>
      </c>
      <c r="AE74" s="14">
        <v>-0.29946883595535589</v>
      </c>
      <c r="AF74" s="14">
        <v>-0.58489876541890085</v>
      </c>
      <c r="AG74" s="14">
        <v>-0.28665040250699614</v>
      </c>
      <c r="AH74" s="14">
        <v>7.0421225389354747E-2</v>
      </c>
      <c r="AI74" s="14">
        <v>0.21556136599311848</v>
      </c>
      <c r="AJ74" s="14">
        <v>0.61636342453313775</v>
      </c>
      <c r="AK74" s="14">
        <v>-0.82942695668212219</v>
      </c>
      <c r="AM74" s="14">
        <v>-0.28286502656461215</v>
      </c>
      <c r="AN74" s="14">
        <v>0.34953206389615193</v>
      </c>
      <c r="AO74" s="14">
        <v>0.19832800022583016</v>
      </c>
      <c r="AP74" s="14">
        <v>0.50642817361646009</v>
      </c>
      <c r="AQ74" s="14">
        <v>-2.1438795308065278E-2</v>
      </c>
      <c r="AR74" s="14">
        <v>0.26050136413180847</v>
      </c>
      <c r="AS74" s="14">
        <v>-0.55280158037464511</v>
      </c>
      <c r="AT74" s="14">
        <v>-0.56585474161935212</v>
      </c>
      <c r="AU74" s="14">
        <v>-0.20690902109774828</v>
      </c>
      <c r="AV74" s="14">
        <v>0.17788807063834794</v>
      </c>
      <c r="AW74" s="14">
        <v>0.29035077555412125</v>
      </c>
      <c r="AX74" s="14">
        <v>-0.2558630784245936</v>
      </c>
      <c r="AY74" s="14">
        <v>-0.50285527597395807</v>
      </c>
      <c r="AZ74" s="14">
        <v>0.27320475442857795</v>
      </c>
      <c r="BA74" s="14">
        <v>-0.13645839299709897</v>
      </c>
      <c r="BB74" s="14">
        <v>-8.2231953878979941E-2</v>
      </c>
      <c r="BC74" s="14">
        <v>-9.3162069334337141E-2</v>
      </c>
      <c r="BD74" s="14">
        <v>-0.42193423017652437</v>
      </c>
      <c r="BE74" s="14">
        <v>-0.52354015071023874</v>
      </c>
      <c r="BF74" s="14">
        <v>0.17012859896246388</v>
      </c>
      <c r="BK74" s="16">
        <v>-0.48456073972684588</v>
      </c>
      <c r="BL74" s="16">
        <v>0.66683390190697012</v>
      </c>
      <c r="BN74" s="17">
        <f t="shared" si="2"/>
        <v>1</v>
      </c>
    </row>
    <row r="75" spans="1:66" x14ac:dyDescent="0.2">
      <c r="A75">
        <v>-0.1244816341792256</v>
      </c>
      <c r="B75">
        <v>-0.78452313756279157</v>
      </c>
      <c r="C75">
        <v>-9.4359321889735004E-2</v>
      </c>
      <c r="D75">
        <v>-0.2298344722630061</v>
      </c>
      <c r="E75">
        <v>0.42747862010043242</v>
      </c>
      <c r="F75">
        <v>-0.16724678858228681</v>
      </c>
      <c r="G75">
        <v>8.6689953331738363E-3</v>
      </c>
      <c r="H75">
        <v>2.4836091268098531E-2</v>
      </c>
      <c r="I75">
        <v>-0.15308654294298901</v>
      </c>
      <c r="J75">
        <v>0.31577132469925251</v>
      </c>
      <c r="M75" s="13">
        <v>1</v>
      </c>
      <c r="O75" s="10">
        <f t="shared" si="3"/>
        <v>0</v>
      </c>
      <c r="P75" s="10">
        <f t="shared" si="4"/>
        <v>1</v>
      </c>
      <c r="R75" s="14">
        <v>-1.1312234411245963</v>
      </c>
      <c r="S75" s="14">
        <v>0.40919754504202221</v>
      </c>
      <c r="T75" s="14">
        <v>-1.0833348636436102</v>
      </c>
      <c r="U75" s="14">
        <v>-0.5579766620968295</v>
      </c>
      <c r="V75" s="14">
        <v>-0.4002209057979792</v>
      </c>
      <c r="W75" s="14">
        <v>0.63235225640184645</v>
      </c>
      <c r="X75" s="14">
        <v>0.37725621800545123</v>
      </c>
      <c r="Y75" s="14">
        <v>-1.0409688343632584</v>
      </c>
      <c r="Z75" s="14">
        <v>-0.19264644429473465</v>
      </c>
      <c r="AA75" s="14">
        <v>-0.16444529276032699</v>
      </c>
      <c r="AB75" s="14">
        <v>1.6938489661724985</v>
      </c>
      <c r="AC75" s="14">
        <v>-0.84136243019431922</v>
      </c>
      <c r="AD75" s="14">
        <v>-0.11061044513386667</v>
      </c>
      <c r="AE75" s="14">
        <v>-0.22784396614567959</v>
      </c>
      <c r="AF75" s="14">
        <v>-1.4763326863223827</v>
      </c>
      <c r="AG75" s="14">
        <v>-1.0957332387318717</v>
      </c>
      <c r="AH75" s="14">
        <v>-0.51676420593551131</v>
      </c>
      <c r="AI75" s="14">
        <v>-1.1519055215389415</v>
      </c>
      <c r="AJ75" s="14">
        <v>0.78526152890715784</v>
      </c>
      <c r="AK75" s="14">
        <v>-9.8465582854336819E-3</v>
      </c>
      <c r="AM75" s="14">
        <v>0.63559856406885462</v>
      </c>
      <c r="AN75" s="14">
        <v>0.86864868588172994</v>
      </c>
      <c r="AO75" s="14">
        <v>0.63667070015325311</v>
      </c>
      <c r="AP75" s="14">
        <v>0.17892527760886798</v>
      </c>
      <c r="AQ75" s="14">
        <v>0.71380525096266623</v>
      </c>
      <c r="AR75" s="14">
        <v>-0.52004458227345352</v>
      </c>
      <c r="AS75" s="14">
        <v>-0.91984530844226797</v>
      </c>
      <c r="AT75" s="14">
        <v>-0.73843289042817628</v>
      </c>
      <c r="AU75" s="14">
        <v>0.67245589026498775</v>
      </c>
      <c r="AV75" s="14">
        <v>0.70200871028152234</v>
      </c>
      <c r="AW75" s="14">
        <v>0.22162062312599592</v>
      </c>
      <c r="AX75" s="14">
        <v>0.67173073171013264</v>
      </c>
      <c r="AY75" s="14">
        <v>-0.80695924487799009</v>
      </c>
      <c r="AZ75" s="14">
        <v>0.92168365184179823</v>
      </c>
      <c r="BA75" s="14">
        <v>0.32731647633457184</v>
      </c>
      <c r="BB75" s="14">
        <v>-6.924320189647766E-2</v>
      </c>
      <c r="BC75" s="14">
        <v>-0.51836695984680548</v>
      </c>
      <c r="BD75" s="14">
        <v>-0.83845295412588794</v>
      </c>
      <c r="BE75" s="14">
        <v>-0.83915542038294388</v>
      </c>
      <c r="BF75" s="14">
        <v>-0.19823945173464341</v>
      </c>
      <c r="BK75" s="16">
        <v>-0.59176113016504828</v>
      </c>
      <c r="BL75" s="16">
        <v>0.42591389361110599</v>
      </c>
      <c r="BN75" s="17">
        <f t="shared" si="2"/>
        <v>1</v>
      </c>
    </row>
    <row r="76" spans="1:66" x14ac:dyDescent="0.2">
      <c r="A76">
        <v>-0.55052689748706307</v>
      </c>
      <c r="B76">
        <v>-0.60552552108389657</v>
      </c>
      <c r="C76">
        <v>-0.56083824311591846</v>
      </c>
      <c r="D76">
        <v>-0.55567866431411528</v>
      </c>
      <c r="E76">
        <v>-0.68220503851236292</v>
      </c>
      <c r="F76">
        <v>-0.71486220247828114</v>
      </c>
      <c r="G76">
        <v>-0.70624406630107961</v>
      </c>
      <c r="H76">
        <v>-0.48449034618852682</v>
      </c>
      <c r="I76">
        <v>-0.50963267175856708</v>
      </c>
      <c r="J76">
        <v>-0.45845461387054443</v>
      </c>
      <c r="M76" s="13">
        <v>0</v>
      </c>
      <c r="O76" s="10">
        <f t="shared" si="3"/>
        <v>1</v>
      </c>
      <c r="P76" s="10">
        <f t="shared" si="4"/>
        <v>0</v>
      </c>
      <c r="R76" s="14">
        <v>0.11400221641632147</v>
      </c>
      <c r="S76" s="14">
        <v>1.0358328571298201</v>
      </c>
      <c r="T76" s="14">
        <v>0.44036544966467683</v>
      </c>
      <c r="U76" s="14">
        <v>3.6382128897962551E-2</v>
      </c>
      <c r="V76" s="14">
        <v>1.4956305773737051</v>
      </c>
      <c r="W76" s="14">
        <v>0.50972734855726243</v>
      </c>
      <c r="X76" s="14">
        <v>-1.46591127524397</v>
      </c>
      <c r="Y76" s="14">
        <v>-1.111593651204317</v>
      </c>
      <c r="Z76" s="14">
        <v>8.6793759674916093E-2</v>
      </c>
      <c r="AA76" s="14">
        <v>1.2160085889514307</v>
      </c>
      <c r="AB76" s="14">
        <v>-0.18191147538902142</v>
      </c>
      <c r="AC76" s="14">
        <v>0.95079669033088887</v>
      </c>
      <c r="AD76" s="14">
        <v>-0.81542722945502577</v>
      </c>
      <c r="AE76" s="14">
        <v>1.6893886074533069</v>
      </c>
      <c r="AF76" s="14">
        <v>0.21391940489398431</v>
      </c>
      <c r="AG76" s="14">
        <v>0.28515102417962157</v>
      </c>
      <c r="AH76" s="14">
        <v>-1.3458573448994373</v>
      </c>
      <c r="AI76" s="14">
        <v>-1.6035673231019965</v>
      </c>
      <c r="AJ76" s="14">
        <v>-0.55690107505844932</v>
      </c>
      <c r="AK76" s="14">
        <v>0.18909918387857871</v>
      </c>
      <c r="AM76" s="14">
        <v>-0.5300179745607666</v>
      </c>
      <c r="AN76" s="14">
        <v>-0.85200176638080416</v>
      </c>
      <c r="AO76" s="14">
        <v>-0.71592365191699492</v>
      </c>
      <c r="AP76" s="14">
        <v>-0.47790053929294413</v>
      </c>
      <c r="AQ76" s="14">
        <v>-0.91974639068041064</v>
      </c>
      <c r="AR76" s="14">
        <v>0.42348175363308288</v>
      </c>
      <c r="AS76" s="14">
        <v>0.94363674746570292</v>
      </c>
      <c r="AT76" s="14">
        <v>0.60267712969294696</v>
      </c>
      <c r="AU76" s="14">
        <v>-0.86044796065485585</v>
      </c>
      <c r="AV76" s="14">
        <v>-0.81800172782339942</v>
      </c>
      <c r="AW76" s="14">
        <v>0.53864089444726471</v>
      </c>
      <c r="AX76" s="14">
        <v>-0.77419815253940982</v>
      </c>
      <c r="AY76" s="14">
        <v>0.81896246836186071</v>
      </c>
      <c r="AZ76" s="14">
        <v>-0.93207772068325689</v>
      </c>
      <c r="BA76" s="14">
        <v>-0.23115037796537802</v>
      </c>
      <c r="BB76" s="14">
        <v>-0.32096879479073886</v>
      </c>
      <c r="BC76" s="14">
        <v>0.58729833020046973</v>
      </c>
      <c r="BD76" s="14">
        <v>0.7747734940790264</v>
      </c>
      <c r="BE76" s="14">
        <v>0.8832727492575968</v>
      </c>
      <c r="BF76" s="14">
        <v>9.3019443918179137E-2</v>
      </c>
      <c r="BK76" s="16">
        <v>0.49461158236118086</v>
      </c>
      <c r="BL76" s="16">
        <v>-0.52023406963199503</v>
      </c>
      <c r="BN76" s="17">
        <f t="shared" si="2"/>
        <v>0</v>
      </c>
    </row>
    <row r="77" spans="1:66" x14ac:dyDescent="0.2">
      <c r="A77">
        <v>0.52459403542398964</v>
      </c>
      <c r="B77">
        <v>0.1619574098461595</v>
      </c>
      <c r="C77">
        <v>0.47296868995741059</v>
      </c>
      <c r="D77">
        <v>0.44257898412514812</v>
      </c>
      <c r="E77">
        <v>-0.38578141843408331</v>
      </c>
      <c r="F77">
        <v>7.8231708024928154E-2</v>
      </c>
      <c r="G77">
        <v>0.40970531771577778</v>
      </c>
      <c r="H77">
        <v>0.68737454649622864</v>
      </c>
      <c r="I77">
        <v>0.57417545651889068</v>
      </c>
      <c r="J77">
        <v>0.52093371074192574</v>
      </c>
      <c r="M77" s="13">
        <v>1</v>
      </c>
      <c r="O77" s="10">
        <f t="shared" si="3"/>
        <v>0</v>
      </c>
      <c r="P77" s="10">
        <f t="shared" si="4"/>
        <v>1</v>
      </c>
      <c r="R77" s="14">
        <v>-0.4407566382925307</v>
      </c>
      <c r="S77" s="14">
        <v>0.70656916285375759</v>
      </c>
      <c r="T77" s="14">
        <v>-0.55263727879904134</v>
      </c>
      <c r="U77" s="14">
        <v>-0.41337643680102398</v>
      </c>
      <c r="V77" s="14">
        <v>0.14771161064785843</v>
      </c>
      <c r="W77" s="14">
        <v>0.19707354056580284</v>
      </c>
      <c r="X77" s="14">
        <v>-0.83794922375751835</v>
      </c>
      <c r="Y77" s="14">
        <v>-0.8691171514970204</v>
      </c>
      <c r="Z77" s="14">
        <v>0.20869657872905722</v>
      </c>
      <c r="AA77" s="14">
        <v>0.66402641748726898</v>
      </c>
      <c r="AB77" s="14">
        <v>1.5429366708302057</v>
      </c>
      <c r="AC77" s="14">
        <v>-0.38502210366636591</v>
      </c>
      <c r="AD77" s="14">
        <v>-0.46604590977374749</v>
      </c>
      <c r="AE77" s="14">
        <v>0.93647708968568588</v>
      </c>
      <c r="AF77" s="14">
        <v>-0.20904776438107719</v>
      </c>
      <c r="AG77" s="14">
        <v>-0.29353696476382479</v>
      </c>
      <c r="AH77" s="14">
        <v>-0.80999433037318602</v>
      </c>
      <c r="AI77" s="14">
        <v>-1.4620889895661118</v>
      </c>
      <c r="AJ77" s="14">
        <v>-0.30064240252810531</v>
      </c>
      <c r="AK77" s="14">
        <v>-0.14826131513724833</v>
      </c>
      <c r="AM77" s="14">
        <v>0.31561030205152285</v>
      </c>
      <c r="AN77" s="14">
        <v>0.5740300293080417</v>
      </c>
      <c r="AO77" s="14">
        <v>0.25278754124557712</v>
      </c>
      <c r="AP77" s="14">
        <v>0.2979148271273514</v>
      </c>
      <c r="AQ77" s="14">
        <v>-0.23293708615154443</v>
      </c>
      <c r="AR77" s="14">
        <v>0.28941536421070868</v>
      </c>
      <c r="AS77" s="14">
        <v>-0.54861344449168226</v>
      </c>
      <c r="AT77" s="14">
        <v>-0.7635332912326267</v>
      </c>
      <c r="AU77" s="14">
        <v>-0.45766896553717379</v>
      </c>
      <c r="AV77" s="14">
        <v>0.29705970609244309</v>
      </c>
      <c r="AW77" s="14">
        <v>0.65305639517125336</v>
      </c>
      <c r="AX77" s="14">
        <v>-1.1189487447943083E-2</v>
      </c>
      <c r="AY77" s="14">
        <v>-0.52055944783852293</v>
      </c>
      <c r="AZ77" s="14">
        <v>0.50082657592179236</v>
      </c>
      <c r="BA77" s="14">
        <v>-8.6030723970055969E-2</v>
      </c>
      <c r="BB77" s="14">
        <v>-0.36509858588728544</v>
      </c>
      <c r="BC77" s="14">
        <v>-0.18003401283084131</v>
      </c>
      <c r="BD77" s="14">
        <v>-0.55922418906383609</v>
      </c>
      <c r="BE77" s="14">
        <v>-0.42700765767786802</v>
      </c>
      <c r="BF77" s="14">
        <v>-0.16938078847565868</v>
      </c>
      <c r="BK77" s="16">
        <v>0.45484176638369478</v>
      </c>
      <c r="BL77" s="16">
        <v>-0.43666870866143304</v>
      </c>
      <c r="BN77" s="17">
        <f t="shared" si="2"/>
        <v>0</v>
      </c>
    </row>
    <row r="78" spans="1:66" x14ac:dyDescent="0.2">
      <c r="A78">
        <v>-0.201684467127626</v>
      </c>
      <c r="B78">
        <v>-1.9737538771828469</v>
      </c>
      <c r="C78">
        <v>-0.1989435640151786</v>
      </c>
      <c r="D78">
        <v>-0.3015086805852023</v>
      </c>
      <c r="E78">
        <v>-5.5414644026346056E-3</v>
      </c>
      <c r="F78">
        <v>-0.28031567186803441</v>
      </c>
      <c r="G78">
        <v>0.38874612177226381</v>
      </c>
      <c r="H78">
        <v>-0.49070164420629042</v>
      </c>
      <c r="I78">
        <v>-0.51955149104007348</v>
      </c>
      <c r="J78">
        <v>-0.64609583263804049</v>
      </c>
      <c r="M78" s="13">
        <v>0</v>
      </c>
      <c r="O78" s="10">
        <f t="shared" si="3"/>
        <v>1</v>
      </c>
      <c r="P78" s="10">
        <f t="shared" si="4"/>
        <v>0</v>
      </c>
      <c r="R78" s="14">
        <v>-0.59805363402399236</v>
      </c>
      <c r="S78" s="14">
        <v>6.0787057313968572E-2</v>
      </c>
      <c r="T78" s="14">
        <v>-0.10546396251630796</v>
      </c>
      <c r="U78" s="14">
        <v>0.10462798032097032</v>
      </c>
      <c r="V78" s="14">
        <v>-0.15888903855775049</v>
      </c>
      <c r="W78" s="14">
        <v>0.47811528574642698</v>
      </c>
      <c r="X78" s="14">
        <v>-0.26451032672834984</v>
      </c>
      <c r="Y78" s="14">
        <v>-0.81664426112570077</v>
      </c>
      <c r="Z78" s="14">
        <v>-3.6891498895390562E-2</v>
      </c>
      <c r="AA78" s="14">
        <v>0.58016617877046972</v>
      </c>
      <c r="AB78" s="14">
        <v>0.86852312892275929</v>
      </c>
      <c r="AC78" s="14">
        <v>-0.55237546300536944</v>
      </c>
      <c r="AD78" s="14">
        <v>-0.34608565489892462</v>
      </c>
      <c r="AE78" s="14">
        <v>-9.8049273863139552E-2</v>
      </c>
      <c r="AF78" s="14">
        <v>-0.58947813650494363</v>
      </c>
      <c r="AG78" s="14">
        <v>-0.45847029697971892</v>
      </c>
      <c r="AH78" s="14">
        <v>-0.54067036727150453</v>
      </c>
      <c r="AI78" s="14">
        <v>-1.0993526059683896</v>
      </c>
      <c r="AJ78" s="14">
        <v>-2.0824207489195889E-2</v>
      </c>
      <c r="AK78" s="14">
        <v>-0.40871033763008513</v>
      </c>
      <c r="AM78" s="14">
        <v>0.1252117583607826</v>
      </c>
      <c r="AN78" s="14">
        <v>-0.51275090937984635</v>
      </c>
      <c r="AO78" s="14">
        <v>-0.31259578111963637</v>
      </c>
      <c r="AP78" s="14">
        <v>-0.49672891965149607</v>
      </c>
      <c r="AQ78" s="14">
        <v>-0.4741268999607447</v>
      </c>
      <c r="AR78" s="14">
        <v>-0.31963753970498565</v>
      </c>
      <c r="AS78" s="14">
        <v>0.60971779917091795</v>
      </c>
      <c r="AT78" s="14">
        <v>0.49432860272743556</v>
      </c>
      <c r="AU78" s="14">
        <v>-0.12586375820594389</v>
      </c>
      <c r="AV78" s="14">
        <v>-0.4649485399796135</v>
      </c>
      <c r="AW78" s="14">
        <v>0.21371208498323235</v>
      </c>
      <c r="AX78" s="14">
        <v>-6.5896515566807035E-2</v>
      </c>
      <c r="AY78" s="14">
        <v>0.53509398470590053</v>
      </c>
      <c r="AZ78" s="14">
        <v>-0.48269543772223406</v>
      </c>
      <c r="BA78" s="14">
        <v>0.16871241568376208</v>
      </c>
      <c r="BB78" s="14">
        <v>-0.31208145582538827</v>
      </c>
      <c r="BC78" s="14">
        <v>0.24760821386837423</v>
      </c>
      <c r="BD78" s="14">
        <v>0.46028660578364888</v>
      </c>
      <c r="BE78" s="14">
        <v>0.58851250664447452</v>
      </c>
      <c r="BF78" s="14">
        <v>-0.27035182238882965</v>
      </c>
      <c r="BK78" s="16">
        <v>0.50669229099774027</v>
      </c>
      <c r="BL78" s="16">
        <v>-0.44340058721391518</v>
      </c>
      <c r="BN78" s="17">
        <f t="shared" si="2"/>
        <v>0</v>
      </c>
    </row>
    <row r="79" spans="1:66" x14ac:dyDescent="0.2">
      <c r="A79">
        <v>1.090748143712257</v>
      </c>
      <c r="B79">
        <v>-0.69625034039511757</v>
      </c>
      <c r="C79">
        <v>1.1411457924255199</v>
      </c>
      <c r="D79">
        <v>0.98459719404761981</v>
      </c>
      <c r="E79">
        <v>2.036900908425137</v>
      </c>
      <c r="F79">
        <v>0.95488749060554301</v>
      </c>
      <c r="G79">
        <v>1.4735123118243809</v>
      </c>
      <c r="H79">
        <v>1.2298279067142599</v>
      </c>
      <c r="I79">
        <v>1.259636717580136</v>
      </c>
      <c r="J79">
        <v>1.3924994675071509</v>
      </c>
      <c r="M79" s="13">
        <v>1</v>
      </c>
      <c r="O79" s="10">
        <f t="shared" si="3"/>
        <v>0</v>
      </c>
      <c r="P79" s="10">
        <f t="shared" si="4"/>
        <v>1</v>
      </c>
      <c r="R79" s="14">
        <v>0.49286296793560613</v>
      </c>
      <c r="S79" s="14">
        <v>1.0347477345023157</v>
      </c>
      <c r="T79" s="14">
        <v>0.43538562242682821</v>
      </c>
      <c r="U79" s="14">
        <v>-0.52158241001382377</v>
      </c>
      <c r="V79" s="14">
        <v>1.4459645810318866</v>
      </c>
      <c r="W79" s="14">
        <v>-0.4818862088454513</v>
      </c>
      <c r="X79" s="14">
        <v>-1.465897787965817</v>
      </c>
      <c r="Y79" s="14">
        <v>-0.99635813329187317</v>
      </c>
      <c r="Z79" s="14">
        <v>0.94079126127807655</v>
      </c>
      <c r="AA79" s="14">
        <v>1.2087538483493772</v>
      </c>
      <c r="AB79" s="14">
        <v>6.9778038656248431E-2</v>
      </c>
      <c r="AC79" s="14">
        <v>1.0584006509512931</v>
      </c>
      <c r="AD79" s="14">
        <v>-0.81004952144364828</v>
      </c>
      <c r="AE79" s="14">
        <v>1.6893926806176487</v>
      </c>
      <c r="AF79" s="14">
        <v>0.2169801844346485</v>
      </c>
      <c r="AG79" s="14">
        <v>1.9647357133073751E-2</v>
      </c>
      <c r="AH79" s="14">
        <v>-1.1827652395524517</v>
      </c>
      <c r="AI79" s="14">
        <v>-1.6021559209284197</v>
      </c>
      <c r="AJ79" s="14">
        <v>-0.55505867056176927</v>
      </c>
      <c r="AK79" s="14">
        <v>-0.87899805709443468</v>
      </c>
      <c r="AM79" s="14">
        <v>-0.23099822003699463</v>
      </c>
      <c r="AN79" s="14">
        <v>-0.15584297685782411</v>
      </c>
      <c r="AO79" s="14">
        <v>0.10468991251933446</v>
      </c>
      <c r="AP79" s="14">
        <v>0.61933420940681516</v>
      </c>
      <c r="AQ79" s="14">
        <v>-0.1219962160552181</v>
      </c>
      <c r="AR79" s="14">
        <v>0.34772469669113459</v>
      </c>
      <c r="AS79" s="14">
        <v>8.7204008083988746E-2</v>
      </c>
      <c r="AT79" s="14">
        <v>-8.7043743493208717E-2</v>
      </c>
      <c r="AU79" s="14">
        <v>-0.41685785537175546</v>
      </c>
      <c r="AV79" s="14">
        <v>8.2845014034374206E-2</v>
      </c>
      <c r="AW79" s="14">
        <v>-0.29634916264943989</v>
      </c>
      <c r="AX79" s="14">
        <v>-0.32202368490977851</v>
      </c>
      <c r="AY79" s="14">
        <v>-3.6218959243542591E-2</v>
      </c>
      <c r="AZ79" s="14">
        <v>-0.25060920933737985</v>
      </c>
      <c r="BA79" s="14">
        <v>-9.6837897249182056E-2</v>
      </c>
      <c r="BB79" s="14">
        <v>0.2245242193560949</v>
      </c>
      <c r="BC79" s="14">
        <v>0.16624288799843867</v>
      </c>
      <c r="BD79" s="14">
        <v>9.8497876190533296E-2</v>
      </c>
      <c r="BE79" s="14">
        <v>-0.10921039983867353</v>
      </c>
      <c r="BF79" s="14">
        <v>-5.1890695623166547E-2</v>
      </c>
      <c r="BK79" s="16">
        <v>0.27210697775330117</v>
      </c>
      <c r="BL79" s="16">
        <v>-0.65676437541596921</v>
      </c>
      <c r="BN79" s="17">
        <f t="shared" si="2"/>
        <v>0</v>
      </c>
    </row>
    <row r="80" spans="1:66" x14ac:dyDescent="0.2">
      <c r="A80">
        <v>1.699792714749635</v>
      </c>
      <c r="B80">
        <v>1.22123097585825</v>
      </c>
      <c r="C80">
        <v>2.1164353519286601</v>
      </c>
      <c r="D80">
        <v>1.672554454650226</v>
      </c>
      <c r="E80">
        <v>4.4677604385968603</v>
      </c>
      <c r="F80">
        <v>3.5212535914991552</v>
      </c>
      <c r="G80">
        <v>2.812856052605035</v>
      </c>
      <c r="H80">
        <v>1.4327303086278751</v>
      </c>
      <c r="I80">
        <v>1.282662548055062</v>
      </c>
      <c r="J80">
        <v>2.000498947312447</v>
      </c>
      <c r="M80" s="13">
        <v>1</v>
      </c>
      <c r="O80" s="10">
        <f t="shared" si="3"/>
        <v>0</v>
      </c>
      <c r="P80" s="10">
        <f t="shared" si="4"/>
        <v>1</v>
      </c>
      <c r="R80" s="14">
        <v>-0.7785258856209526</v>
      </c>
      <c r="S80" s="14">
        <v>-1.1301999338945179</v>
      </c>
      <c r="T80" s="14">
        <v>-0.83817671967862883</v>
      </c>
      <c r="U80" s="14">
        <v>-1.1460363628327128</v>
      </c>
      <c r="V80" s="14">
        <v>-0.66991696668775225</v>
      </c>
      <c r="W80" s="14">
        <v>0.41312394050405726</v>
      </c>
      <c r="X80" s="14">
        <v>1.0655193158523319</v>
      </c>
      <c r="Y80" s="14">
        <v>0.97136314399052814</v>
      </c>
      <c r="Z80" s="14">
        <v>-0.88534661111950341</v>
      </c>
      <c r="AA80" s="14">
        <v>-0.29925439769309847</v>
      </c>
      <c r="AB80" s="14">
        <v>0.77827770245739247</v>
      </c>
      <c r="AC80" s="14">
        <v>-0.39549902366039114</v>
      </c>
      <c r="AD80" s="14">
        <v>1.1321550522213586</v>
      </c>
      <c r="AE80" s="14">
        <v>-0.66243576926314551</v>
      </c>
      <c r="AF80" s="14">
        <v>-0.33591910404245207</v>
      </c>
      <c r="AG80" s="14">
        <v>-0.58206153542622974</v>
      </c>
      <c r="AH80" s="14">
        <v>0.12172862287938568</v>
      </c>
      <c r="AI80" s="14">
        <v>0.33390260971825791</v>
      </c>
      <c r="AJ80" s="14">
        <v>1.5669181853075398</v>
      </c>
      <c r="AK80" s="14">
        <v>-0.51960444992130006</v>
      </c>
      <c r="AM80" s="14">
        <v>-0.61668219569479021</v>
      </c>
      <c r="AN80" s="14">
        <v>-0.69933532321899705</v>
      </c>
      <c r="AO80" s="14">
        <v>-0.34408357087624064</v>
      </c>
      <c r="AP80" s="14">
        <v>0.14630858403947208</v>
      </c>
      <c r="AQ80" s="14">
        <v>-0.41976037608783751</v>
      </c>
      <c r="AR80" s="14">
        <v>0.39168106171735811</v>
      </c>
      <c r="AS80" s="14">
        <v>0.71512178188075204</v>
      </c>
      <c r="AT80" s="14">
        <v>0.60300161080910653</v>
      </c>
      <c r="AU80" s="14">
        <v>-0.40396745942530793</v>
      </c>
      <c r="AV80" s="14">
        <v>-0.49454376832365404</v>
      </c>
      <c r="AW80" s="14">
        <v>-0.42355521653027656</v>
      </c>
      <c r="AX80" s="14">
        <v>-0.51884191132106972</v>
      </c>
      <c r="AY80" s="14">
        <v>0.53144849163992336</v>
      </c>
      <c r="AZ80" s="14">
        <v>-0.78087026697462025</v>
      </c>
      <c r="BA80" s="14">
        <v>-0.24768152756578357</v>
      </c>
      <c r="BB80" s="14">
        <v>0.16279497337702564</v>
      </c>
      <c r="BC80" s="14">
        <v>0.38228972657177157</v>
      </c>
      <c r="BD80" s="14">
        <v>0.63261666274537887</v>
      </c>
      <c r="BE80" s="14">
        <v>0.55308566024192385</v>
      </c>
      <c r="BF80" s="14">
        <v>0.19596493742394874</v>
      </c>
      <c r="BK80" s="16">
        <v>-0.51426913727845525</v>
      </c>
      <c r="BL80" s="16">
        <v>0.48800734115457944</v>
      </c>
      <c r="BN80" s="17">
        <f t="shared" si="2"/>
        <v>1</v>
      </c>
    </row>
    <row r="81" spans="1:66" x14ac:dyDescent="0.2">
      <c r="A81">
        <v>-0.39326186740698921</v>
      </c>
      <c r="B81">
        <v>-0.2426262438390136</v>
      </c>
      <c r="C81">
        <v>-0.39483150958346902</v>
      </c>
      <c r="D81">
        <v>-0.45378039224159522</v>
      </c>
      <c r="E81">
        <v>-0.17726273396522421</v>
      </c>
      <c r="F81">
        <v>-0.65076503947528619</v>
      </c>
      <c r="G81">
        <v>-0.6952532684282613</v>
      </c>
      <c r="H81">
        <v>-0.45757472144488381</v>
      </c>
      <c r="I81">
        <v>-0.4901492767413223</v>
      </c>
      <c r="J81">
        <v>-0.56837373164815186</v>
      </c>
      <c r="M81" s="13">
        <v>0</v>
      </c>
      <c r="O81" s="10">
        <f t="shared" si="3"/>
        <v>1</v>
      </c>
      <c r="P81" s="10">
        <f t="shared" si="4"/>
        <v>0</v>
      </c>
      <c r="R81" s="14">
        <v>0.21461314620037131</v>
      </c>
      <c r="S81" s="14">
        <v>0.86903923238750858</v>
      </c>
      <c r="T81" s="14">
        <v>8.6596487850841508E-2</v>
      </c>
      <c r="U81" s="14">
        <v>-0.15401422447985214</v>
      </c>
      <c r="V81" s="14">
        <v>-0.30115146942237381</v>
      </c>
      <c r="W81" s="14">
        <v>0.40980550942013888</v>
      </c>
      <c r="X81" s="14">
        <v>-1.0947136360012724</v>
      </c>
      <c r="Y81" s="14">
        <v>-1.0541088429000458</v>
      </c>
      <c r="Z81" s="14">
        <v>-0.14624923613249152</v>
      </c>
      <c r="AA81" s="14">
        <v>0.85574254691749818</v>
      </c>
      <c r="AB81" s="14">
        <v>1.6146950709498638</v>
      </c>
      <c r="AC81" s="14">
        <v>0.20562322047803866</v>
      </c>
      <c r="AD81" s="14">
        <v>-0.57819154705955222</v>
      </c>
      <c r="AE81" s="14">
        <v>1.3309571453460527</v>
      </c>
      <c r="AF81" s="14">
        <v>-0.35705759782367158</v>
      </c>
      <c r="AG81" s="14">
        <v>-1.1103275893472511</v>
      </c>
      <c r="AH81" s="14">
        <v>-0.63500570223524644</v>
      </c>
      <c r="AI81" s="14">
        <v>-1.4844445314151513</v>
      </c>
      <c r="AJ81" s="14">
        <v>0.10102308204672006</v>
      </c>
      <c r="AK81" s="14">
        <v>-0.87448630838543306</v>
      </c>
      <c r="AM81" s="14">
        <v>0.4071388974099715</v>
      </c>
      <c r="AN81" s="14">
        <v>-0.56893792408169963</v>
      </c>
      <c r="AO81" s="14">
        <v>-7.0485295536669393E-2</v>
      </c>
      <c r="AP81" s="14">
        <v>0.29382413674470192</v>
      </c>
      <c r="AQ81" s="14">
        <v>-0.29512160127871651</v>
      </c>
      <c r="AR81" s="14">
        <v>-0.39248888206818294</v>
      </c>
      <c r="AS81" s="14">
        <v>0.59986462644866512</v>
      </c>
      <c r="AT81" s="14">
        <v>0.6010500880701114</v>
      </c>
      <c r="AU81" s="14">
        <v>-7.2531810253762E-2</v>
      </c>
      <c r="AV81" s="14">
        <v>-0.16916586723653745</v>
      </c>
      <c r="AW81" s="14">
        <v>-0.46252811943175348</v>
      </c>
      <c r="AX81" s="14">
        <v>1.5343780000399727E-2</v>
      </c>
      <c r="AY81" s="14">
        <v>0.5332379904513026</v>
      </c>
      <c r="AZ81" s="14">
        <v>-0.46430080927059991</v>
      </c>
      <c r="BA81" s="14">
        <v>0.37664337075070409</v>
      </c>
      <c r="BB81" s="14">
        <v>5.0084151505734274E-2</v>
      </c>
      <c r="BC81" s="14">
        <v>0.38436306430974193</v>
      </c>
      <c r="BD81" s="14">
        <v>0.5501684468476371</v>
      </c>
      <c r="BE81" s="14">
        <v>0.47640655902611162</v>
      </c>
      <c r="BF81" s="14">
        <v>-0.61562982668246602</v>
      </c>
      <c r="BK81" s="16">
        <v>0.4822076455000967</v>
      </c>
      <c r="BL81" s="16">
        <v>-0.4894437017293829</v>
      </c>
      <c r="BN81" s="17">
        <f t="shared" si="2"/>
        <v>0</v>
      </c>
    </row>
    <row r="82" spans="1:66" x14ac:dyDescent="0.2">
      <c r="A82">
        <v>-0.796432217248634</v>
      </c>
      <c r="B82">
        <v>0.4856243327942984</v>
      </c>
      <c r="C82">
        <v>-0.78411729971706279</v>
      </c>
      <c r="D82">
        <v>-0.75544533329244523</v>
      </c>
      <c r="E82">
        <v>-0.21145831145387861</v>
      </c>
      <c r="F82">
        <v>-0.56373175431454625</v>
      </c>
      <c r="G82">
        <v>-0.71621246437177533</v>
      </c>
      <c r="H82">
        <v>-0.69153361344731745</v>
      </c>
      <c r="I82">
        <v>-0.66195739643884388</v>
      </c>
      <c r="J82">
        <v>-0.83778039769980839</v>
      </c>
      <c r="M82" s="13">
        <v>0</v>
      </c>
      <c r="O82" s="10">
        <f t="shared" si="3"/>
        <v>1</v>
      </c>
      <c r="P82" s="10">
        <f t="shared" si="4"/>
        <v>0</v>
      </c>
      <c r="R82" s="14">
        <v>9.4370066763793434E-2</v>
      </c>
      <c r="S82" s="14">
        <v>-1.0351098992896806</v>
      </c>
      <c r="T82" s="14">
        <v>-0.71061427405364885</v>
      </c>
      <c r="U82" s="14">
        <v>-1.3390529572964618</v>
      </c>
      <c r="V82" s="14">
        <v>-0.51797764723159057</v>
      </c>
      <c r="W82" s="14">
        <v>-0.24806590193405814</v>
      </c>
      <c r="X82" s="14">
        <v>1.0582957123289105</v>
      </c>
      <c r="Y82" s="14">
        <v>0.97139386761762314</v>
      </c>
      <c r="Z82" s="14">
        <v>-3.0852221184600154E-2</v>
      </c>
      <c r="AA82" s="14">
        <v>-0.24715429434969516</v>
      </c>
      <c r="AB82" s="14">
        <v>0.73794088270391123</v>
      </c>
      <c r="AC82" s="14">
        <v>2.5712617907485136E-3</v>
      </c>
      <c r="AD82" s="14">
        <v>1.0990959290972695</v>
      </c>
      <c r="AE82" s="14">
        <v>-0.56186742644855969</v>
      </c>
      <c r="AF82" s="14">
        <v>7.107078152461821E-2</v>
      </c>
      <c r="AG82" s="14">
        <v>-0.52717072859176861</v>
      </c>
      <c r="AH82" s="14">
        <v>-0.28855083132091713</v>
      </c>
      <c r="AI82" s="14">
        <v>0.244603446816679</v>
      </c>
      <c r="AJ82" s="14">
        <v>1.5451521568529887</v>
      </c>
      <c r="AK82" s="14">
        <v>-0.97701720628575606</v>
      </c>
      <c r="AM82" s="14">
        <v>-0.16157200900411581</v>
      </c>
      <c r="AN82" s="14">
        <v>-0.66138029670408083</v>
      </c>
      <c r="AO82" s="14">
        <v>-0.24444237687048451</v>
      </c>
      <c r="AP82" s="14">
        <v>0.14423747447277946</v>
      </c>
      <c r="AQ82" s="14">
        <v>-0.52311382089595593</v>
      </c>
      <c r="AR82" s="14">
        <v>4.7100962965383651E-2</v>
      </c>
      <c r="AS82" s="14">
        <v>0.70519722523987205</v>
      </c>
      <c r="AT82" s="14">
        <v>0.60448624130126105</v>
      </c>
      <c r="AU82" s="14">
        <v>-0.35210799545195837</v>
      </c>
      <c r="AV82" s="14">
        <v>-0.45472636725212595</v>
      </c>
      <c r="AW82" s="14">
        <v>-0.30852976966593165</v>
      </c>
      <c r="AX82" s="14">
        <v>-0.31300501653484242</v>
      </c>
      <c r="AY82" s="14">
        <v>0.54973903373163635</v>
      </c>
      <c r="AZ82" s="14">
        <v>-0.6981793797125353</v>
      </c>
      <c r="BA82" s="14">
        <v>3.5203301325734015E-2</v>
      </c>
      <c r="BB82" s="14">
        <v>-6.3171548423963719E-2</v>
      </c>
      <c r="BC82" s="14">
        <v>0.42895873868570511</v>
      </c>
      <c r="BD82" s="14">
        <v>0.60061094735230625</v>
      </c>
      <c r="BE82" s="14">
        <v>0.59290577775421172</v>
      </c>
      <c r="BF82" s="14">
        <v>-0.29383568617347972</v>
      </c>
      <c r="BK82" s="16">
        <v>-0.78968395599339714</v>
      </c>
      <c r="BL82" s="16">
        <v>0.57985628859490812</v>
      </c>
      <c r="BN82" s="17">
        <f t="shared" si="2"/>
        <v>1</v>
      </c>
    </row>
    <row r="83" spans="1:66" x14ac:dyDescent="0.2">
      <c r="A83">
        <v>-0.25601238660983328</v>
      </c>
      <c r="B83">
        <v>-0.76735898255796597</v>
      </c>
      <c r="C83">
        <v>-0.25787595441919831</v>
      </c>
      <c r="D83">
        <v>-0.41434518525307762</v>
      </c>
      <c r="E83">
        <v>0.90138472116602075</v>
      </c>
      <c r="F83">
        <v>0.31639544134940301</v>
      </c>
      <c r="G83">
        <v>0.49890970045097799</v>
      </c>
      <c r="H83">
        <v>-0.19048890668104401</v>
      </c>
      <c r="I83">
        <v>-0.50290204438897346</v>
      </c>
      <c r="J83">
        <v>0.80247041567639743</v>
      </c>
      <c r="M83" s="13">
        <v>0</v>
      </c>
      <c r="O83" s="10">
        <f t="shared" si="3"/>
        <v>1</v>
      </c>
      <c r="P83" s="10">
        <f t="shared" si="4"/>
        <v>0</v>
      </c>
      <c r="R83" s="14">
        <v>-0.28458789620234282</v>
      </c>
      <c r="S83" s="14">
        <v>-0.92120768870082792</v>
      </c>
      <c r="T83" s="14">
        <v>0.33341512150842956</v>
      </c>
      <c r="U83" s="14">
        <v>0.11392523673849309</v>
      </c>
      <c r="V83" s="14">
        <v>-0.174662668248455</v>
      </c>
      <c r="W83" s="14">
        <v>1.0331422457793098</v>
      </c>
      <c r="X83" s="14">
        <v>0.91723974553810317</v>
      </c>
      <c r="Y83" s="14">
        <v>0.26002718506197015</v>
      </c>
      <c r="Z83" s="14">
        <v>-0.92988924610905821</v>
      </c>
      <c r="AA83" s="14">
        <v>0.89123859312122233</v>
      </c>
      <c r="AB83" s="14">
        <v>-1.0043756668386836</v>
      </c>
      <c r="AC83" s="14">
        <v>-0.20008947706800329</v>
      </c>
      <c r="AD83" s="14">
        <v>0.37165074480128757</v>
      </c>
      <c r="AE83" s="14">
        <v>-0.63042746141626993</v>
      </c>
      <c r="AF83" s="14">
        <v>0.41490595703334504</v>
      </c>
      <c r="AG83" s="14">
        <v>0.78625522014929072</v>
      </c>
      <c r="AH83" s="14">
        <v>-0.34935825135133591</v>
      </c>
      <c r="AI83" s="14">
        <v>-2.0846109366473908E-2</v>
      </c>
      <c r="AJ83" s="14">
        <v>0.61715368673431559</v>
      </c>
      <c r="AK83" s="14">
        <v>-0.71711377455267222</v>
      </c>
      <c r="AM83" s="14">
        <v>0.3398833562414677</v>
      </c>
      <c r="AN83" s="14">
        <v>0.64975632897221069</v>
      </c>
      <c r="AO83" s="14">
        <v>0.195894366040297</v>
      </c>
      <c r="AP83" s="14">
        <v>-0.5946744114650383</v>
      </c>
      <c r="AQ83" s="14">
        <v>0.7687946478234341</v>
      </c>
      <c r="AR83" s="14">
        <v>-0.12091125239261701</v>
      </c>
      <c r="AS83" s="14">
        <v>-0.74769474009543235</v>
      </c>
      <c r="AT83" s="14">
        <v>-0.36817575983176265</v>
      </c>
      <c r="AU83" s="14">
        <v>0.81840691966194623</v>
      </c>
      <c r="AV83" s="14">
        <v>0.42222008467025368</v>
      </c>
      <c r="AW83" s="14">
        <v>-1.6822139859711972E-3</v>
      </c>
      <c r="AX83" s="14">
        <v>0.68508779531218444</v>
      </c>
      <c r="AY83" s="14">
        <v>-0.48907765112932061</v>
      </c>
      <c r="AZ83" s="14">
        <v>0.75683751153806078</v>
      </c>
      <c r="BA83" s="14">
        <v>-0.20222129019010474</v>
      </c>
      <c r="BB83" s="14">
        <v>-9.4052702113439468E-2</v>
      </c>
      <c r="BC83" s="14">
        <v>-0.56027470636587151</v>
      </c>
      <c r="BD83" s="14">
        <v>-0.4554774113036813</v>
      </c>
      <c r="BE83" s="14">
        <v>-0.43974599497180467</v>
      </c>
      <c r="BF83" s="14">
        <v>0.31494810738644735</v>
      </c>
      <c r="BK83" s="16">
        <v>-0.64288935630398014</v>
      </c>
      <c r="BL83" s="16">
        <v>0.41488455211562658</v>
      </c>
      <c r="BN83" s="17">
        <f t="shared" ref="BN83:BN146" si="5">IF(BK83&gt;BL83,0,1)</f>
        <v>1</v>
      </c>
    </row>
    <row r="84" spans="1:66" x14ac:dyDescent="0.2">
      <c r="A84">
        <v>3.1409122631197688</v>
      </c>
      <c r="B84">
        <v>1.4517210573516219</v>
      </c>
      <c r="C84">
        <v>3.2701821499791852</v>
      </c>
      <c r="D84">
        <v>3.4946337264554548</v>
      </c>
      <c r="E84">
        <v>3.0014392082409809</v>
      </c>
      <c r="F84">
        <v>3.0067405809335268</v>
      </c>
      <c r="G84">
        <v>3.4288519333839238</v>
      </c>
      <c r="H84">
        <v>2.8054271705536569</v>
      </c>
      <c r="I84">
        <v>2.9458359954362239</v>
      </c>
      <c r="J84">
        <v>2.538114250884123</v>
      </c>
      <c r="M84" s="13">
        <v>1</v>
      </c>
      <c r="O84" s="10">
        <f t="shared" si="3"/>
        <v>0</v>
      </c>
      <c r="P84" s="10">
        <f t="shared" si="4"/>
        <v>1</v>
      </c>
      <c r="R84" s="14">
        <v>-0.78307746678410783</v>
      </c>
      <c r="S84" s="14">
        <v>-1.1261822679630078</v>
      </c>
      <c r="T84" s="14">
        <v>-0.69594357910209059</v>
      </c>
      <c r="U84" s="14">
        <v>-0.37091777033548379</v>
      </c>
      <c r="V84" s="14">
        <v>-0.4249810109205967</v>
      </c>
      <c r="W84" s="14">
        <v>0.77808715865995715</v>
      </c>
      <c r="X84" s="14">
        <v>1.0643162083786089</v>
      </c>
      <c r="Y84" s="14">
        <v>1.1822650590704451</v>
      </c>
      <c r="Z84" s="14">
        <v>-0.38564859225538589</v>
      </c>
      <c r="AA84" s="14">
        <v>-0.24573267032122537</v>
      </c>
      <c r="AB84" s="14">
        <v>-0.65079689053910617</v>
      </c>
      <c r="AC84" s="14">
        <v>-0.37134254796181021</v>
      </c>
      <c r="AD84" s="14">
        <v>1.0740062398914363</v>
      </c>
      <c r="AE84" s="14">
        <v>-0.66218619325414485</v>
      </c>
      <c r="AF84" s="14">
        <v>-0.25444245917602859</v>
      </c>
      <c r="AG84" s="14">
        <v>8.3753786368439387E-2</v>
      </c>
      <c r="AH84" s="14">
        <v>-8.0571543591807626E-2</v>
      </c>
      <c r="AI84" s="14">
        <v>0.32718347380879109</v>
      </c>
      <c r="AJ84" s="14">
        <v>1.5238585956972368</v>
      </c>
      <c r="AK84" s="14">
        <v>-0.34885811404252148</v>
      </c>
      <c r="AM84" s="14">
        <v>-9.9795494792433534E-2</v>
      </c>
      <c r="AN84" s="14">
        <v>4.6789189249692095E-2</v>
      </c>
      <c r="AO84" s="14">
        <v>0.39980980616383144</v>
      </c>
      <c r="AP84" s="14">
        <v>0.79156200673269406</v>
      </c>
      <c r="AQ84" s="14">
        <v>0.17632398032768887</v>
      </c>
      <c r="AR84" s="14">
        <v>-7.4904598487271781E-2</v>
      </c>
      <c r="AS84" s="14">
        <v>-0.31806899518506987</v>
      </c>
      <c r="AT84" s="14">
        <v>4.0861561714987449E-2</v>
      </c>
      <c r="AU84" s="14">
        <v>2.4636320321053649E-2</v>
      </c>
      <c r="AV84" s="14">
        <v>0.25498854745572097</v>
      </c>
      <c r="AW84" s="14">
        <v>-0.55476291162322777</v>
      </c>
      <c r="AX84" s="14">
        <v>-6.2521930232300085E-2</v>
      </c>
      <c r="AY84" s="14">
        <v>-0.31134820061344309</v>
      </c>
      <c r="AZ84" s="14">
        <v>0.10126248640133872</v>
      </c>
      <c r="BA84" s="14">
        <v>0.20603639107361721</v>
      </c>
      <c r="BB84" s="14">
        <v>0.28582620072474879</v>
      </c>
      <c r="BC84" s="14">
        <v>0.18510664499930335</v>
      </c>
      <c r="BD84" s="14">
        <v>-0.15143894931871965</v>
      </c>
      <c r="BE84" s="14">
        <v>-0.44209100052105926</v>
      </c>
      <c r="BF84" s="14">
        <v>-0.278156863266312</v>
      </c>
      <c r="BK84" s="16">
        <v>0.47799420643196588</v>
      </c>
      <c r="BL84" s="16">
        <v>-0.54650356905654929</v>
      </c>
      <c r="BN84" s="17">
        <f t="shared" si="5"/>
        <v>0</v>
      </c>
    </row>
    <row r="85" spans="1:66" x14ac:dyDescent="0.2">
      <c r="A85">
        <v>1.3909813829560349</v>
      </c>
      <c r="B85">
        <v>1.7901001131610399</v>
      </c>
      <c r="C85">
        <v>1.51051077453522</v>
      </c>
      <c r="D85">
        <v>1.3472859590515041</v>
      </c>
      <c r="E85">
        <v>1.3771492775299059</v>
      </c>
      <c r="F85">
        <v>1.2685544584925399</v>
      </c>
      <c r="G85">
        <v>2.4677961193886451</v>
      </c>
      <c r="H85">
        <v>0.8033187761611511</v>
      </c>
      <c r="I85">
        <v>0.70701678618192287</v>
      </c>
      <c r="J85">
        <v>1.0016426590608909</v>
      </c>
      <c r="M85" s="13">
        <v>1</v>
      </c>
      <c r="O85" s="10">
        <f t="shared" si="3"/>
        <v>0</v>
      </c>
      <c r="P85" s="10">
        <f t="shared" si="4"/>
        <v>1</v>
      </c>
      <c r="R85" s="14">
        <v>0.5381817627716815</v>
      </c>
      <c r="S85" s="14">
        <v>-1.1106790022096573</v>
      </c>
      <c r="T85" s="14">
        <v>-0.3199169961862951</v>
      </c>
      <c r="U85" s="14">
        <v>-0.18134370134565747</v>
      </c>
      <c r="V85" s="14">
        <v>-0.30606738851565096</v>
      </c>
      <c r="W85" s="14">
        <v>-0.29650875249170677</v>
      </c>
      <c r="X85" s="14">
        <v>1.0567037482205903</v>
      </c>
      <c r="Y85" s="14">
        <v>1.1739010772442637</v>
      </c>
      <c r="Z85" s="14">
        <v>3.0474435437674807E-2</v>
      </c>
      <c r="AA85" s="14">
        <v>5.6890891849100789E-2</v>
      </c>
      <c r="AB85" s="14">
        <v>-0.83781744728899554</v>
      </c>
      <c r="AC85" s="14">
        <v>0.14252152628630638</v>
      </c>
      <c r="AD85" s="14">
        <v>1.1044278013967854</v>
      </c>
      <c r="AE85" s="14">
        <v>-0.61108944330342263</v>
      </c>
      <c r="AF85" s="14">
        <v>0.59786403867539506</v>
      </c>
      <c r="AG85" s="14">
        <v>-0.10573567606459833</v>
      </c>
      <c r="AH85" s="14">
        <v>-4.4685360368777016E-2</v>
      </c>
      <c r="AI85" s="14">
        <v>0.3210225508567166</v>
      </c>
      <c r="AJ85" s="14">
        <v>1.51027483117207</v>
      </c>
      <c r="AK85" s="14">
        <v>-1.3949970435251164</v>
      </c>
      <c r="AM85" s="14">
        <v>-0.2908535392895788</v>
      </c>
      <c r="AN85" s="14">
        <v>-0.61766722173818345</v>
      </c>
      <c r="AO85" s="14">
        <v>-0.3136034023111553</v>
      </c>
      <c r="AP85" s="14">
        <v>-1.7933132324507269E-2</v>
      </c>
      <c r="AQ85" s="14">
        <v>-0.54775212230384585</v>
      </c>
      <c r="AR85" s="14">
        <v>0.2208893064388863</v>
      </c>
      <c r="AS85" s="14">
        <v>0.66352169040703501</v>
      </c>
      <c r="AT85" s="14">
        <v>0.48451687603333843</v>
      </c>
      <c r="AU85" s="14">
        <v>-0.38397583507488087</v>
      </c>
      <c r="AV85" s="14">
        <v>-0.4966441572515663</v>
      </c>
      <c r="AW85" s="14">
        <v>-6.6703129079783943E-2</v>
      </c>
      <c r="AX85" s="14">
        <v>-0.35390479385062773</v>
      </c>
      <c r="AY85" s="14">
        <v>0.49684088710935753</v>
      </c>
      <c r="AZ85" s="14">
        <v>-0.69041553493615893</v>
      </c>
      <c r="BA85" s="14">
        <v>-0.1299714095779364</v>
      </c>
      <c r="BB85" s="14">
        <v>-0.16646297456073175</v>
      </c>
      <c r="BC85" s="14">
        <v>0.37001241533552426</v>
      </c>
      <c r="BD85" s="14">
        <v>0.55781546494165379</v>
      </c>
      <c r="BE85" s="14">
        <v>0.58400378536788145</v>
      </c>
      <c r="BF85" s="14">
        <v>-9.859818909531945E-2</v>
      </c>
      <c r="BK85" s="16">
        <v>0.8176465766218719</v>
      </c>
      <c r="BL85" s="16">
        <v>-0.17411773798784894</v>
      </c>
      <c r="BN85" s="17">
        <f t="shared" si="5"/>
        <v>0</v>
      </c>
    </row>
    <row r="86" spans="1:66" x14ac:dyDescent="0.2">
      <c r="A86">
        <v>-0.63916718716855958</v>
      </c>
      <c r="B86">
        <v>-0.81885144757244244</v>
      </c>
      <c r="C86">
        <v>-0.65380201389408987</v>
      </c>
      <c r="D86">
        <v>-0.63512477474353746</v>
      </c>
      <c r="E86">
        <v>-0.61976094048960295</v>
      </c>
      <c r="F86">
        <v>-0.61828253133837185</v>
      </c>
      <c r="G86">
        <v>-0.81078444606811917</v>
      </c>
      <c r="H86">
        <v>-0.57558938378239455</v>
      </c>
      <c r="I86">
        <v>-0.58614927764447355</v>
      </c>
      <c r="J86">
        <v>-0.61240128018577666</v>
      </c>
      <c r="M86" s="13">
        <v>0</v>
      </c>
      <c r="O86" s="10">
        <f t="shared" si="3"/>
        <v>1</v>
      </c>
      <c r="P86" s="10">
        <f t="shared" si="4"/>
        <v>0</v>
      </c>
      <c r="R86" s="14">
        <v>-0.43102150243900028</v>
      </c>
      <c r="S86" s="14">
        <v>-1.1255201452974926</v>
      </c>
      <c r="T86" s="14">
        <v>-0.60023939903224055</v>
      </c>
      <c r="U86" s="14">
        <v>-0.38235929635103283</v>
      </c>
      <c r="V86" s="14">
        <v>-0.54892007299367385</v>
      </c>
      <c r="W86" s="14">
        <v>0.1727276947115019</v>
      </c>
      <c r="X86" s="14">
        <v>1.0641441423671443</v>
      </c>
      <c r="Y86" s="14">
        <v>1.1835703038246188</v>
      </c>
      <c r="Z86" s="14">
        <v>-0.32383447815247896</v>
      </c>
      <c r="AA86" s="14">
        <v>-0.24189965320995022</v>
      </c>
      <c r="AB86" s="14">
        <v>-0.30727832458793136</v>
      </c>
      <c r="AC86" s="14">
        <v>-0.26774198129039095</v>
      </c>
      <c r="AD86" s="14">
        <v>1.1010909672507074</v>
      </c>
      <c r="AE86" s="14">
        <v>-0.66050485752809274</v>
      </c>
      <c r="AF86" s="14">
        <v>-3.8805174724686253E-2</v>
      </c>
      <c r="AG86" s="14">
        <v>-0.32082139769822693</v>
      </c>
      <c r="AH86" s="14">
        <v>4.2278246420834886E-4</v>
      </c>
      <c r="AI86" s="14">
        <v>0.32758783428267579</v>
      </c>
      <c r="AJ86" s="14">
        <v>1.5481494831644069</v>
      </c>
      <c r="AK86" s="14">
        <v>-1.034025057702272</v>
      </c>
      <c r="AM86" s="14">
        <v>0.49924245630535818</v>
      </c>
      <c r="AN86" s="14">
        <v>0.76863243497183675</v>
      </c>
      <c r="AO86" s="14">
        <v>0.58039506013966946</v>
      </c>
      <c r="AP86" s="14">
        <v>0.52245942777991949</v>
      </c>
      <c r="AQ86" s="14">
        <v>0.77745989432089735</v>
      </c>
      <c r="AR86" s="14">
        <v>-0.72322856245194256</v>
      </c>
      <c r="AS86" s="14">
        <v>-0.88624336519921521</v>
      </c>
      <c r="AT86" s="14">
        <v>-6.3101976901001597E-2</v>
      </c>
      <c r="AU86" s="14">
        <v>0.89599153618853677</v>
      </c>
      <c r="AV86" s="14">
        <v>0.61099429645274916</v>
      </c>
      <c r="AW86" s="14">
        <v>-0.25518264842737215</v>
      </c>
      <c r="AX86" s="14">
        <v>0.76535949458088048</v>
      </c>
      <c r="AY86" s="14">
        <v>-0.7300019472385485</v>
      </c>
      <c r="AZ86" s="14">
        <v>0.884060280228114</v>
      </c>
      <c r="BA86" s="14">
        <v>0.58271853236518634</v>
      </c>
      <c r="BB86" s="14">
        <v>9.1885358732685524E-2</v>
      </c>
      <c r="BC86" s="14">
        <v>-0.23382533647433254</v>
      </c>
      <c r="BD86" s="14">
        <v>-0.73085906690500191</v>
      </c>
      <c r="BE86" s="14">
        <v>-0.76907586791886884</v>
      </c>
      <c r="BF86" s="14">
        <v>-0.29668785821008103</v>
      </c>
      <c r="BK86" s="16">
        <v>0.21990046672602728</v>
      </c>
      <c r="BL86" s="16">
        <v>-0.27720397206834713</v>
      </c>
      <c r="BN86" s="17">
        <f t="shared" si="5"/>
        <v>0</v>
      </c>
    </row>
    <row r="87" spans="1:66" x14ac:dyDescent="0.2">
      <c r="A87">
        <v>1.207982075226494</v>
      </c>
      <c r="B87">
        <v>-0.1151210923745954</v>
      </c>
      <c r="C87">
        <v>1.1784973074703211</v>
      </c>
      <c r="D87">
        <v>1.1832124701211759</v>
      </c>
      <c r="E87">
        <v>5.6092673871440046E-3</v>
      </c>
      <c r="F87">
        <v>0.52220064557565404</v>
      </c>
      <c r="G87">
        <v>0.96103441101040965</v>
      </c>
      <c r="H87">
        <v>1.341631271034007</v>
      </c>
      <c r="I87">
        <v>1.247238193478253</v>
      </c>
      <c r="J87">
        <v>0.70363306181642349</v>
      </c>
      <c r="M87" s="13">
        <v>1</v>
      </c>
      <c r="O87" s="10">
        <f t="shared" si="3"/>
        <v>0</v>
      </c>
      <c r="P87" s="10">
        <f t="shared" si="4"/>
        <v>1</v>
      </c>
      <c r="R87" s="14">
        <v>0.28553424750939349</v>
      </c>
      <c r="S87" s="14">
        <v>1.0310461835611859</v>
      </c>
      <c r="T87" s="14">
        <v>0.11663033905938514</v>
      </c>
      <c r="U87" s="14">
        <v>-1.3397764102021119</v>
      </c>
      <c r="V87" s="14">
        <v>1.4879939679198726</v>
      </c>
      <c r="W87" s="14">
        <v>-0.13914756195607023</v>
      </c>
      <c r="X87" s="14">
        <v>-1.4656787626109611</v>
      </c>
      <c r="Y87" s="14">
        <v>-0.50277374200966207</v>
      </c>
      <c r="Z87" s="14">
        <v>1.6314425361901868</v>
      </c>
      <c r="AA87" s="14">
        <v>1.1339713787010339</v>
      </c>
      <c r="AB87" s="14">
        <v>0.42585441956001202</v>
      </c>
      <c r="AC87" s="14">
        <v>1.050121386774314</v>
      </c>
      <c r="AD87" s="14">
        <v>-0.760316214277031</v>
      </c>
      <c r="AE87" s="14">
        <v>1.689008010951891</v>
      </c>
      <c r="AF87" s="14">
        <v>-0.63624685575139672</v>
      </c>
      <c r="AG87" s="14">
        <v>-0.52565789635230731</v>
      </c>
      <c r="AH87" s="14">
        <v>-1.2483711897088787</v>
      </c>
      <c r="AI87" s="14">
        <v>-1.5465835999011088</v>
      </c>
      <c r="AJ87" s="14">
        <v>-0.41281373451482412</v>
      </c>
      <c r="AK87" s="14">
        <v>-0.16106023606187136</v>
      </c>
      <c r="AM87" s="14">
        <v>-1.1773290877649382E-2</v>
      </c>
      <c r="AN87" s="14">
        <v>0.72040192188803087</v>
      </c>
      <c r="AO87" s="14">
        <v>0.23178102637077055</v>
      </c>
      <c r="AP87" s="14">
        <v>0.2323164114329094</v>
      </c>
      <c r="AQ87" s="14">
        <v>0.38733791706630838</v>
      </c>
      <c r="AR87" s="14">
        <v>0.36965182264989466</v>
      </c>
      <c r="AS87" s="14">
        <v>-0.76047887505042655</v>
      </c>
      <c r="AT87" s="14">
        <v>-0.73918245436727192</v>
      </c>
      <c r="AU87" s="14">
        <v>8.0023456410874896E-2</v>
      </c>
      <c r="AV87" s="14">
        <v>0.48963363241246016</v>
      </c>
      <c r="AW87" s="14">
        <v>0.39623373286705926</v>
      </c>
      <c r="AX87" s="14">
        <v>0.11274576730083397</v>
      </c>
      <c r="AY87" s="14">
        <v>-0.65756616594105988</v>
      </c>
      <c r="AZ87" s="14">
        <v>0.6879285402622165</v>
      </c>
      <c r="BA87" s="14">
        <v>-0.22476064858013525</v>
      </c>
      <c r="BB87" s="14">
        <v>-5.8741347711533033E-2</v>
      </c>
      <c r="BC87" s="14">
        <v>-0.43823718494863551</v>
      </c>
      <c r="BD87" s="14">
        <v>-0.6516317229557278</v>
      </c>
      <c r="BE87" s="14">
        <v>-0.62602606666341531</v>
      </c>
      <c r="BF87" s="14">
        <v>0.32530571004542896</v>
      </c>
      <c r="BK87" s="16">
        <v>0.72579074734841409</v>
      </c>
      <c r="BL87" s="16">
        <v>-0.25752451143268312</v>
      </c>
      <c r="BN87" s="17">
        <f t="shared" si="5"/>
        <v>0</v>
      </c>
    </row>
    <row r="88" spans="1:66" x14ac:dyDescent="0.2">
      <c r="A88">
        <v>6.9955130283411535E-2</v>
      </c>
      <c r="B88">
        <v>0.6057734178280777</v>
      </c>
      <c r="C88">
        <v>6.4177108633753963E-2</v>
      </c>
      <c r="D88">
        <v>-4.5323759272934659E-2</v>
      </c>
      <c r="E88">
        <v>-0.1027386765035376</v>
      </c>
      <c r="F88">
        <v>0.35978810489108232</v>
      </c>
      <c r="G88">
        <v>-2.4814598186342469E-2</v>
      </c>
      <c r="H88">
        <v>-4.9699484945066007E-2</v>
      </c>
      <c r="I88">
        <v>-0.1592858049939305</v>
      </c>
      <c r="J88">
        <v>7.9160689701132658E-2</v>
      </c>
      <c r="M88" s="13">
        <v>1</v>
      </c>
      <c r="O88" s="10">
        <f t="shared" si="3"/>
        <v>0</v>
      </c>
      <c r="P88" s="10">
        <f t="shared" si="4"/>
        <v>1</v>
      </c>
      <c r="R88" s="14">
        <v>-0.53117735584354819</v>
      </c>
      <c r="S88" s="14">
        <v>-0.72356945423210672</v>
      </c>
      <c r="T88" s="14">
        <v>0.27637641405524749</v>
      </c>
      <c r="U88" s="14">
        <v>0.39066929874150702</v>
      </c>
      <c r="V88" s="14">
        <v>0.49928625757287748</v>
      </c>
      <c r="W88" s="14">
        <v>-8.5200449422815794E-2</v>
      </c>
      <c r="X88" s="14">
        <v>-0.58226067283933802</v>
      </c>
      <c r="Y88" s="14">
        <v>0.24985453244450023</v>
      </c>
      <c r="Z88" s="14">
        <v>0.39606946522364461</v>
      </c>
      <c r="AA88" s="14">
        <v>0.81063942758891927</v>
      </c>
      <c r="AB88" s="14">
        <v>-0.27649827632303481</v>
      </c>
      <c r="AC88" s="14">
        <v>-0.12582445223096556</v>
      </c>
      <c r="AD88" s="14">
        <v>-0.24408437229729332</v>
      </c>
      <c r="AE88" s="14">
        <v>-7.7343586010545917E-2</v>
      </c>
      <c r="AF88" s="14">
        <v>-2.0292097489244432E-2</v>
      </c>
      <c r="AG88" s="14">
        <v>5.5513775716134472E-2</v>
      </c>
      <c r="AH88" s="14">
        <v>-8.6636286122128092E-2</v>
      </c>
      <c r="AI88" s="14">
        <v>-0.41980376968914618</v>
      </c>
      <c r="AJ88" s="14">
        <v>-0.35064802647249088</v>
      </c>
      <c r="AK88" s="14">
        <v>-0.98663504638842414</v>
      </c>
      <c r="AM88" s="14">
        <v>-0.36167364729121793</v>
      </c>
      <c r="AN88" s="14">
        <v>-0.77443100166566936</v>
      </c>
      <c r="AO88" s="14">
        <v>-0.31605280870297642</v>
      </c>
      <c r="AP88" s="14">
        <v>3.874499050063443E-2</v>
      </c>
      <c r="AQ88" s="14">
        <v>-0.19010397594110517</v>
      </c>
      <c r="AR88" s="14">
        <v>-0.11632085919856784</v>
      </c>
      <c r="AS88" s="14">
        <v>0.75111492344793174</v>
      </c>
      <c r="AT88" s="14">
        <v>0.83626273153570563</v>
      </c>
      <c r="AU88" s="14">
        <v>0.1493505927006383</v>
      </c>
      <c r="AV88" s="14">
        <v>-0.48933631613283818</v>
      </c>
      <c r="AW88" s="14">
        <v>-0.7042433199959478</v>
      </c>
      <c r="AX88" s="14">
        <v>-0.2077776740273849</v>
      </c>
      <c r="AY88" s="14">
        <v>0.66201968543057321</v>
      </c>
      <c r="AZ88" s="14">
        <v>-0.75763133472369137</v>
      </c>
      <c r="BA88" s="14">
        <v>5.0911097260566307E-2</v>
      </c>
      <c r="BB88" s="14">
        <v>0.19495660042461913</v>
      </c>
      <c r="BC88" s="14">
        <v>0.42503045119251603</v>
      </c>
      <c r="BD88" s="14">
        <v>0.74477968691359275</v>
      </c>
      <c r="BE88" s="14">
        <v>0.64574542894702303</v>
      </c>
      <c r="BF88" s="14">
        <v>-0.13037525300170308</v>
      </c>
      <c r="BK88" s="16">
        <v>-0.37386833750096732</v>
      </c>
      <c r="BL88" s="16">
        <v>0.72966050223029988</v>
      </c>
      <c r="BN88" s="17">
        <f t="shared" si="5"/>
        <v>1</v>
      </c>
    </row>
    <row r="89" spans="1:66" x14ac:dyDescent="0.2">
      <c r="A89">
        <v>1.3681064694898419</v>
      </c>
      <c r="B89">
        <v>1.373256348758134</v>
      </c>
      <c r="C89">
        <v>1.2158488225151221</v>
      </c>
      <c r="D89">
        <v>1.1860909523831109</v>
      </c>
      <c r="E89">
        <v>0.28995292802649691</v>
      </c>
      <c r="F89">
        <v>0.68709276703403588</v>
      </c>
      <c r="G89">
        <v>0.82710003693234446</v>
      </c>
      <c r="H89">
        <v>1.679111796665836</v>
      </c>
      <c r="I89">
        <v>1.282662548055062</v>
      </c>
      <c r="J89">
        <v>1.173859260483572</v>
      </c>
      <c r="M89" s="13">
        <v>1</v>
      </c>
      <c r="O89" s="10">
        <f t="shared" si="3"/>
        <v>0</v>
      </c>
      <c r="P89" s="10">
        <f t="shared" si="4"/>
        <v>1</v>
      </c>
      <c r="R89" s="14">
        <v>-0.52711658503893355</v>
      </c>
      <c r="S89" s="14">
        <v>-1.1164561074685713</v>
      </c>
      <c r="T89" s="14">
        <v>-0.65893905881698789</v>
      </c>
      <c r="U89" s="14">
        <v>-0.60663980069390644</v>
      </c>
      <c r="V89" s="14">
        <v>-0.56152342727672644</v>
      </c>
      <c r="W89" s="14">
        <v>0.50547486716623002</v>
      </c>
      <c r="X89" s="14">
        <v>1.0634336680676379</v>
      </c>
      <c r="Y89" s="14">
        <v>1.0698325283293282</v>
      </c>
      <c r="Z89" s="14">
        <v>-0.40007615086709458</v>
      </c>
      <c r="AA89" s="14">
        <v>-0.25009043219019755</v>
      </c>
      <c r="AB89" s="14">
        <v>0.21979863499608132</v>
      </c>
      <c r="AC89" s="14">
        <v>-0.27272757625284805</v>
      </c>
      <c r="AD89" s="14">
        <v>1.071751653329492</v>
      </c>
      <c r="AE89" s="14">
        <v>-0.66038657864175265</v>
      </c>
      <c r="AF89" s="14">
        <v>-0.145338419315161</v>
      </c>
      <c r="AG89" s="14">
        <v>-0.38140722760855372</v>
      </c>
      <c r="AH89" s="14">
        <v>-9.1587829098670692E-2</v>
      </c>
      <c r="AI89" s="14">
        <v>0.31581920570246458</v>
      </c>
      <c r="AJ89" s="14">
        <v>1.5500932464954134</v>
      </c>
      <c r="AK89" s="14">
        <v>-0.77973537839354479</v>
      </c>
      <c r="AM89" s="14">
        <v>0.12428509792644563</v>
      </c>
      <c r="AN89" s="14">
        <v>-0.84705943849427712</v>
      </c>
      <c r="AO89" s="14">
        <v>-0.64003285821523315</v>
      </c>
      <c r="AP89" s="14">
        <v>-0.58515791270742279</v>
      </c>
      <c r="AQ89" s="14">
        <v>-0.9325533618249604</v>
      </c>
      <c r="AR89" s="14">
        <v>-0.17946366833332741</v>
      </c>
      <c r="AS89" s="14">
        <v>0.93946273560384341</v>
      </c>
      <c r="AT89" s="14">
        <v>0.70392221302694558</v>
      </c>
      <c r="AU89" s="14">
        <v>-0.75004233234456086</v>
      </c>
      <c r="AV89" s="14">
        <v>-0.82331837064245983</v>
      </c>
      <c r="AW89" s="14">
        <v>0.60728527562510748</v>
      </c>
      <c r="AX89" s="14">
        <v>-0.52621602124974565</v>
      </c>
      <c r="AY89" s="14">
        <v>0.84202393488847072</v>
      </c>
      <c r="AZ89" s="14">
        <v>-0.89388587128930219</v>
      </c>
      <c r="BA89" s="14">
        <v>0.1726655489630117</v>
      </c>
      <c r="BB89" s="14">
        <v>-0.60197590274486834</v>
      </c>
      <c r="BC89" s="14">
        <v>0.6388033723994947</v>
      </c>
      <c r="BD89" s="14">
        <v>0.774726882793081</v>
      </c>
      <c r="BE89" s="14">
        <v>0.90763986776318173</v>
      </c>
      <c r="BF89" s="14">
        <v>-0.52100109661738969</v>
      </c>
      <c r="BK89" s="16">
        <v>0.1492492583594352</v>
      </c>
      <c r="BL89" s="16">
        <v>-0.95722008687949123</v>
      </c>
      <c r="BN89" s="17">
        <f t="shared" si="5"/>
        <v>0</v>
      </c>
    </row>
    <row r="90" spans="1:66" x14ac:dyDescent="0.2">
      <c r="A90">
        <v>-0.53623007657069299</v>
      </c>
      <c r="B90">
        <v>0.6891421707086588</v>
      </c>
      <c r="C90">
        <v>-0.53635224991988195</v>
      </c>
      <c r="D90">
        <v>-0.56949537917140591</v>
      </c>
      <c r="E90">
        <v>-0.1960331324780181</v>
      </c>
      <c r="F90">
        <v>-0.38718560321925632</v>
      </c>
      <c r="G90">
        <v>-0.32974533916941878</v>
      </c>
      <c r="H90">
        <v>-0.54246246102098805</v>
      </c>
      <c r="I90">
        <v>-0.5741049970883586</v>
      </c>
      <c r="J90">
        <v>4.9209976410231407E-2</v>
      </c>
      <c r="M90" s="13">
        <v>0</v>
      </c>
      <c r="O90" s="10">
        <f t="shared" si="3"/>
        <v>1</v>
      </c>
      <c r="P90" s="10">
        <f t="shared" si="4"/>
        <v>0</v>
      </c>
      <c r="R90" s="14">
        <v>0.42176150147973468</v>
      </c>
      <c r="S90" s="14">
        <v>0.99506864998404621</v>
      </c>
      <c r="T90" s="14">
        <v>0.44048038084618146</v>
      </c>
      <c r="U90" s="14">
        <v>0.1627511896251671</v>
      </c>
      <c r="V90" s="14">
        <v>1.4856354588508824</v>
      </c>
      <c r="W90" s="14">
        <v>-0.98360395280385382</v>
      </c>
      <c r="X90" s="14">
        <v>-1.4658983551256985</v>
      </c>
      <c r="Y90" s="14">
        <v>0.5157579702949433</v>
      </c>
      <c r="Z90" s="14">
        <v>1.6643831472372881</v>
      </c>
      <c r="AA90" s="14">
        <v>1.1921040972324786</v>
      </c>
      <c r="AB90" s="14">
        <v>-0.28597857572639007</v>
      </c>
      <c r="AC90" s="14">
        <v>1.0629455772289536</v>
      </c>
      <c r="AD90" s="14">
        <v>-0.81374993990041433</v>
      </c>
      <c r="AE90" s="14">
        <v>1.6893188179965195</v>
      </c>
      <c r="AF90" s="14">
        <v>0.2484817637809158</v>
      </c>
      <c r="AG90" s="14">
        <v>0.24698276735605573</v>
      </c>
      <c r="AH90" s="14">
        <v>-0.77892320839858176</v>
      </c>
      <c r="AI90" s="14">
        <v>-1.5988431492902859</v>
      </c>
      <c r="AJ90" s="14">
        <v>-0.55612779684151503</v>
      </c>
      <c r="AK90" s="14">
        <v>-1.0393932812297262</v>
      </c>
      <c r="AM90" s="14">
        <v>8.4380905272681481E-3</v>
      </c>
      <c r="AN90" s="14">
        <v>-0.77108365472258145</v>
      </c>
      <c r="AO90" s="14">
        <v>-0.66938428015533957</v>
      </c>
      <c r="AP90" s="14">
        <v>-0.53473974225539733</v>
      </c>
      <c r="AQ90" s="14">
        <v>-0.76091852752193068</v>
      </c>
      <c r="AR90" s="14">
        <v>-7.4289045572401791E-2</v>
      </c>
      <c r="AS90" s="14">
        <v>0.89567317084079923</v>
      </c>
      <c r="AT90" s="14">
        <v>0.65034621196537135</v>
      </c>
      <c r="AU90" s="14">
        <v>-0.54921136609618226</v>
      </c>
      <c r="AV90" s="14">
        <v>-0.63382750871003835</v>
      </c>
      <c r="AW90" s="14">
        <v>0.34776530797413807</v>
      </c>
      <c r="AX90" s="14">
        <v>-0.46747980739413536</v>
      </c>
      <c r="AY90" s="14">
        <v>0.81234264852276372</v>
      </c>
      <c r="AZ90" s="14">
        <v>-0.81417341228412543</v>
      </c>
      <c r="BA90" s="14">
        <v>0.10759737671622324</v>
      </c>
      <c r="BB90" s="14">
        <v>-0.19544728765075911</v>
      </c>
      <c r="BC90" s="14">
        <v>0.42248825026001868</v>
      </c>
      <c r="BD90" s="14">
        <v>0.7479043937538804</v>
      </c>
      <c r="BE90" s="14">
        <v>0.8416705099141496</v>
      </c>
      <c r="BF90" s="14">
        <v>-0.174272464240147</v>
      </c>
      <c r="BK90" s="16">
        <v>-0.39881503535234369</v>
      </c>
      <c r="BL90" s="16">
        <v>0.47751876567085971</v>
      </c>
      <c r="BN90" s="17">
        <f t="shared" si="5"/>
        <v>1</v>
      </c>
    </row>
    <row r="91" spans="1:66" x14ac:dyDescent="0.2">
      <c r="A91">
        <v>0.11570495721579679</v>
      </c>
      <c r="B91">
        <v>-0.91938435545784913</v>
      </c>
      <c r="C91">
        <v>0.1272596673760846</v>
      </c>
      <c r="D91">
        <v>-3.4673374903773167E-2</v>
      </c>
      <c r="E91">
        <v>0.53712748269992128</v>
      </c>
      <c r="F91">
        <v>0.10265557864695909</v>
      </c>
      <c r="G91">
        <v>0.51859089664183866</v>
      </c>
      <c r="H91">
        <v>-2.2783860201423419E-2</v>
      </c>
      <c r="I91">
        <v>-0.1686732589567847</v>
      </c>
      <c r="J91">
        <v>0.33673682400288307</v>
      </c>
      <c r="M91" s="13">
        <v>0</v>
      </c>
      <c r="O91" s="10">
        <f t="shared" si="3"/>
        <v>1</v>
      </c>
      <c r="P91" s="10">
        <f t="shared" si="4"/>
        <v>0</v>
      </c>
      <c r="R91" s="14">
        <v>-0.16554716556672749</v>
      </c>
      <c r="S91" s="14">
        <v>0.96995830204687394</v>
      </c>
      <c r="T91" s="14">
        <v>0.11887281329383959</v>
      </c>
      <c r="U91" s="14">
        <v>-0.26090505547552656</v>
      </c>
      <c r="V91" s="14">
        <v>0.66967340740146941</v>
      </c>
      <c r="W91" s="14">
        <v>0.53255060053107051</v>
      </c>
      <c r="X91" s="14">
        <v>-1.4266517076037144</v>
      </c>
      <c r="Y91" s="14">
        <v>-0.99291517790377304</v>
      </c>
      <c r="Z91" s="14">
        <v>9.2769493250114077E-2</v>
      </c>
      <c r="AA91" s="14">
        <v>1.0725994504561109</v>
      </c>
      <c r="AB91" s="14">
        <v>1.1340950620497434</v>
      </c>
      <c r="AC91" s="14">
        <v>0.29128411545037719</v>
      </c>
      <c r="AD91" s="14">
        <v>-0.75180882838838958</v>
      </c>
      <c r="AE91" s="14">
        <v>1.5288955983982917</v>
      </c>
      <c r="AF91" s="14">
        <v>-0.34732825257442762</v>
      </c>
      <c r="AG91" s="14">
        <v>-0.27925502970123439</v>
      </c>
      <c r="AH91" s="14">
        <v>-0.97577580180587353</v>
      </c>
      <c r="AI91" s="14">
        <v>-1.5501254708669607</v>
      </c>
      <c r="AJ91" s="14">
        <v>-0.42908755039773422</v>
      </c>
      <c r="AK91" s="14">
        <v>-0.1990455055466665</v>
      </c>
      <c r="AM91" s="14">
        <v>-0.78344880880628764</v>
      </c>
      <c r="AN91" s="14">
        <v>-0.7371988938409374</v>
      </c>
      <c r="AO91" s="14">
        <v>-0.71819071913657317</v>
      </c>
      <c r="AP91" s="14">
        <v>-0.36271396717840398</v>
      </c>
      <c r="AQ91" s="14">
        <v>-0.84132304609242559</v>
      </c>
      <c r="AR91" s="14">
        <v>0.69094244278924322</v>
      </c>
      <c r="AS91" s="14">
        <v>0.89460810056269979</v>
      </c>
      <c r="AT91" s="14">
        <v>0.29865277382705907</v>
      </c>
      <c r="AU91" s="14">
        <v>-0.88717506279364922</v>
      </c>
      <c r="AV91" s="14">
        <v>-0.69561672659120433</v>
      </c>
      <c r="AW91" s="14">
        <v>0.49364204454201627</v>
      </c>
      <c r="AX91" s="14">
        <v>-0.85794411307205543</v>
      </c>
      <c r="AY91" s="14">
        <v>0.70023113435742357</v>
      </c>
      <c r="AZ91" s="14">
        <v>-0.89909748787642496</v>
      </c>
      <c r="BA91" s="14">
        <v>-0.44698263683488537</v>
      </c>
      <c r="BB91" s="14">
        <v>7.0476339084842035E-2</v>
      </c>
      <c r="BC91" s="14">
        <v>0.37462291112088264</v>
      </c>
      <c r="BD91" s="14">
        <v>0.63405035410597055</v>
      </c>
      <c r="BE91" s="14">
        <v>0.75406420342730784</v>
      </c>
      <c r="BF91" s="14">
        <v>0.60342341924238341</v>
      </c>
      <c r="BK91" s="16">
        <v>-0.21956750238492947</v>
      </c>
      <c r="BL91" s="16">
        <v>3.6184014532478215E-2</v>
      </c>
      <c r="BN91" s="17">
        <f t="shared" si="5"/>
        <v>1</v>
      </c>
    </row>
    <row r="92" spans="1:66" x14ac:dyDescent="0.2">
      <c r="A92">
        <v>0.1099862288492483</v>
      </c>
      <c r="B92">
        <v>1.2334910865759829</v>
      </c>
      <c r="C92">
        <v>7.7457647316349645E-2</v>
      </c>
      <c r="D92">
        <v>-3.5857664748685822E-3</v>
      </c>
      <c r="E92">
        <v>-0.35195753200508828</v>
      </c>
      <c r="F92">
        <v>-0.74833654292471963</v>
      </c>
      <c r="G92">
        <v>-0.53115810018757814</v>
      </c>
      <c r="H92">
        <v>-7.0403811670945365E-2</v>
      </c>
      <c r="I92">
        <v>-0.16849613718390061</v>
      </c>
      <c r="J92">
        <v>-0.71513222677356791</v>
      </c>
      <c r="M92" s="13">
        <v>0</v>
      </c>
      <c r="O92" s="10">
        <f t="shared" si="3"/>
        <v>1</v>
      </c>
      <c r="P92" s="10">
        <f t="shared" si="4"/>
        <v>0</v>
      </c>
      <c r="R92" s="14">
        <v>-0.65785698805280279</v>
      </c>
      <c r="S92" s="14">
        <v>-1.1313864355654668</v>
      </c>
      <c r="T92" s="14">
        <v>-0.70552451796784998</v>
      </c>
      <c r="U92" s="14">
        <v>-0.5229662258106742</v>
      </c>
      <c r="V92" s="14">
        <v>-8.0130299130084182E-2</v>
      </c>
      <c r="W92" s="14">
        <v>-8.5881374940266986E-2</v>
      </c>
      <c r="X92" s="14">
        <v>1.0644144972067759</v>
      </c>
      <c r="Y92" s="14">
        <v>1.3351850988299883</v>
      </c>
      <c r="Z92" s="14">
        <v>0.44852558799687803</v>
      </c>
      <c r="AA92" s="14">
        <v>-0.25897018138577499</v>
      </c>
      <c r="AB92" s="14">
        <v>-1.0623558658479948</v>
      </c>
      <c r="AC92" s="14">
        <v>-0.2761207941718824</v>
      </c>
      <c r="AD92" s="14">
        <v>1.1227483868035373</v>
      </c>
      <c r="AE92" s="14">
        <v>-0.66160369251222506</v>
      </c>
      <c r="AF92" s="14">
        <v>-0.14474518609481912</v>
      </c>
      <c r="AG92" s="14">
        <v>-3.1120173556250685E-2</v>
      </c>
      <c r="AH92" s="14">
        <v>-1.9533804109974851E-2</v>
      </c>
      <c r="AI92" s="14">
        <v>0.33929669907194437</v>
      </c>
      <c r="AJ92" s="14">
        <v>1.5498904371408522</v>
      </c>
      <c r="AK92" s="14">
        <v>-0.79246204672946563</v>
      </c>
      <c r="AM92" s="14">
        <v>-0.4956986656217639</v>
      </c>
      <c r="AN92" s="14">
        <v>0.77440439192334409</v>
      </c>
      <c r="AO92" s="14">
        <v>0.19494079938506012</v>
      </c>
      <c r="AP92" s="14">
        <v>-0.42518367997836154</v>
      </c>
      <c r="AQ92" s="14">
        <v>0.38541088348650343</v>
      </c>
      <c r="AR92" s="14">
        <v>0.51142355120481298</v>
      </c>
      <c r="AS92" s="14">
        <v>-0.77658689185745378</v>
      </c>
      <c r="AT92" s="14">
        <v>-0.87279636660233428</v>
      </c>
      <c r="AU92" s="14">
        <v>-0.3108354836279541</v>
      </c>
      <c r="AV92" s="14">
        <v>0.37904736987829535</v>
      </c>
      <c r="AW92" s="14">
        <v>0.73074452368210863</v>
      </c>
      <c r="AX92" s="14">
        <v>-0.15732768801393751</v>
      </c>
      <c r="AY92" s="14">
        <v>-0.71141631089256485</v>
      </c>
      <c r="AZ92" s="14">
        <v>0.68559627020479075</v>
      </c>
      <c r="BA92" s="14">
        <v>-0.45911102123524317</v>
      </c>
      <c r="BB92" s="14">
        <v>-8.3773602561598715E-3</v>
      </c>
      <c r="BC92" s="14">
        <v>-0.59283787650980968</v>
      </c>
      <c r="BD92" s="14">
        <v>-0.77561783974799869</v>
      </c>
      <c r="BE92" s="14">
        <v>-0.72377598013537536</v>
      </c>
      <c r="BF92" s="14">
        <v>0.7585521886700427</v>
      </c>
      <c r="BK92" s="16">
        <v>0.73705846608335568</v>
      </c>
      <c r="BL92" s="16">
        <v>-8.2803323900653827E-2</v>
      </c>
      <c r="BN92" s="17">
        <f t="shared" si="5"/>
        <v>0</v>
      </c>
    </row>
    <row r="93" spans="1:66" x14ac:dyDescent="0.2">
      <c r="A93">
        <v>0.32443854259480398</v>
      </c>
      <c r="B93">
        <v>0.92453629648912361</v>
      </c>
      <c r="C93">
        <v>0.31111212476327271</v>
      </c>
      <c r="D93">
        <v>0.18495482168191271</v>
      </c>
      <c r="E93">
        <v>-2.5984472683895352E-2</v>
      </c>
      <c r="F93">
        <v>0.25812529316486188</v>
      </c>
      <c r="G93">
        <v>0.62568727591418483</v>
      </c>
      <c r="H93">
        <v>-4.1499661481322883E-3</v>
      </c>
      <c r="I93">
        <v>-0.1203190149594411</v>
      </c>
      <c r="J93">
        <v>0.45504214150194322</v>
      </c>
      <c r="M93" s="13">
        <v>1</v>
      </c>
      <c r="O93" s="10">
        <f t="shared" si="3"/>
        <v>0</v>
      </c>
      <c r="P93" s="10">
        <f t="shared" si="4"/>
        <v>1</v>
      </c>
      <c r="R93" s="14">
        <v>-0.17760190039182874</v>
      </c>
      <c r="S93" s="14">
        <v>-1.1310662812149657</v>
      </c>
      <c r="T93" s="14">
        <v>-0.83030375756603869</v>
      </c>
      <c r="U93" s="14">
        <v>-1.3308950145040286</v>
      </c>
      <c r="V93" s="14">
        <v>-0.67411809080165297</v>
      </c>
      <c r="W93" s="14">
        <v>-0.33817064141935077</v>
      </c>
      <c r="X93" s="14">
        <v>1.0655181295457634</v>
      </c>
      <c r="Y93" s="14">
        <v>1.1513951831746558</v>
      </c>
      <c r="Z93" s="14">
        <v>-0.51668894475235161</v>
      </c>
      <c r="AA93" s="14">
        <v>-0.30015559866593888</v>
      </c>
      <c r="AB93" s="14">
        <v>0.78481720996813642</v>
      </c>
      <c r="AC93" s="14">
        <v>-0.29849105436520162</v>
      </c>
      <c r="AD93" s="14">
        <v>1.1378084046472661</v>
      </c>
      <c r="AE93" s="14">
        <v>-0.66153913465677072</v>
      </c>
      <c r="AF93" s="14">
        <v>-0.19404790360992985</v>
      </c>
      <c r="AG93" s="14">
        <v>-0.63982463301880155</v>
      </c>
      <c r="AH93" s="14">
        <v>0.17268721213691685</v>
      </c>
      <c r="AI93" s="14">
        <v>0.33717451146880217</v>
      </c>
      <c r="AJ93" s="14">
        <v>1.5681053059942092</v>
      </c>
      <c r="AK93" s="14">
        <v>-1.3145925696202194</v>
      </c>
      <c r="AM93" s="14">
        <v>-0.10330883990052604</v>
      </c>
      <c r="AN93" s="14">
        <v>-0.73146631879656709</v>
      </c>
      <c r="AO93" s="14">
        <v>-0.63116132636200861</v>
      </c>
      <c r="AP93" s="14">
        <v>-0.70130972829588922</v>
      </c>
      <c r="AQ93" s="14">
        <v>-0.87864408093345969</v>
      </c>
      <c r="AR93" s="14">
        <v>0.12735676708324017</v>
      </c>
      <c r="AS93" s="14">
        <v>0.89611777165750328</v>
      </c>
      <c r="AT93" s="14">
        <v>0.45029313986843145</v>
      </c>
      <c r="AU93" s="14">
        <v>-0.77000757303558653</v>
      </c>
      <c r="AV93" s="14">
        <v>-0.74627099268127761</v>
      </c>
      <c r="AW93" s="14">
        <v>0.68082473881115635</v>
      </c>
      <c r="AX93" s="14">
        <v>-0.54655057899098969</v>
      </c>
      <c r="AY93" s="14">
        <v>0.7630511262882953</v>
      </c>
      <c r="AZ93" s="14">
        <v>-0.83117158642791766</v>
      </c>
      <c r="BA93" s="14">
        <v>-7.9722624527969368E-2</v>
      </c>
      <c r="BB93" s="14">
        <v>-0.49026218156753382</v>
      </c>
      <c r="BC93" s="14">
        <v>0.43572849884906989</v>
      </c>
      <c r="BD93" s="14">
        <v>0.65348528329237965</v>
      </c>
      <c r="BE93" s="14">
        <v>0.84924383410254789</v>
      </c>
      <c r="BF93" s="14">
        <v>-0.12118081273207777</v>
      </c>
      <c r="BK93" s="16">
        <v>-0.6241912417362846</v>
      </c>
      <c r="BL93" s="16">
        <v>0.44779164848865555</v>
      </c>
      <c r="BN93" s="17">
        <f t="shared" si="5"/>
        <v>1</v>
      </c>
    </row>
    <row r="94" spans="1:66" x14ac:dyDescent="0.2">
      <c r="A94">
        <v>-0.27602793589275187</v>
      </c>
      <c r="B94">
        <v>-1.0370814183480821</v>
      </c>
      <c r="C94">
        <v>-0.33050390033964488</v>
      </c>
      <c r="D94">
        <v>-0.32309729754971922</v>
      </c>
      <c r="E94">
        <v>-1.011895008430149</v>
      </c>
      <c r="F94">
        <v>-0.72862387577292809</v>
      </c>
      <c r="G94">
        <v>-0.61013848490155187</v>
      </c>
      <c r="H94">
        <v>-1.8642994856247701E-2</v>
      </c>
      <c r="I94">
        <v>-0.1208503802780931</v>
      </c>
      <c r="J94">
        <v>-0.25628729915696108</v>
      </c>
      <c r="M94" s="13">
        <v>0</v>
      </c>
      <c r="O94" s="10">
        <f t="shared" si="3"/>
        <v>1</v>
      </c>
      <c r="P94" s="10">
        <f t="shared" si="4"/>
        <v>0</v>
      </c>
      <c r="R94" s="14">
        <v>-0.33311210387161938</v>
      </c>
      <c r="S94" s="14">
        <v>-1.1234996841149965</v>
      </c>
      <c r="T94" s="14">
        <v>-0.83627030892052989</v>
      </c>
      <c r="U94" s="14">
        <v>-1.2182794673762052</v>
      </c>
      <c r="V94" s="14">
        <v>-0.62786114869664278</v>
      </c>
      <c r="W94" s="14">
        <v>-0.22780622506245146</v>
      </c>
      <c r="X94" s="14">
        <v>1.0654557461475993</v>
      </c>
      <c r="Y94" s="14">
        <v>1.0969731223186923</v>
      </c>
      <c r="Z94" s="14">
        <v>-0.17878944278059677</v>
      </c>
      <c r="AA94" s="14">
        <v>-0.28731723812596865</v>
      </c>
      <c r="AB94" s="14">
        <v>0.76722106888396402</v>
      </c>
      <c r="AC94" s="14">
        <v>-0.35066709409167274</v>
      </c>
      <c r="AD94" s="14">
        <v>1.1354728836924453</v>
      </c>
      <c r="AE94" s="14">
        <v>-0.65982934469136301</v>
      </c>
      <c r="AF94" s="14">
        <v>-0.19610183666709635</v>
      </c>
      <c r="AG94" s="14">
        <v>-0.53256097246875833</v>
      </c>
      <c r="AH94" s="14">
        <v>-9.6104042688270885E-3</v>
      </c>
      <c r="AI94" s="14">
        <v>0.33395563994983479</v>
      </c>
      <c r="AJ94" s="14">
        <v>1.565999972610123</v>
      </c>
      <c r="AK94" s="14">
        <v>-0.88756176933855646</v>
      </c>
      <c r="AM94" s="14">
        <v>-0.61993067039254401</v>
      </c>
      <c r="AN94" s="14">
        <v>0.60953165043126978</v>
      </c>
      <c r="AO94" s="14">
        <v>0.14960043541510046</v>
      </c>
      <c r="AP94" s="14">
        <v>0.3663496282488371</v>
      </c>
      <c r="AQ94" s="14">
        <v>7.7581973845344043E-2</v>
      </c>
      <c r="AR94" s="14">
        <v>0.53125107038752895</v>
      </c>
      <c r="AS94" s="14">
        <v>-0.75563866522388767</v>
      </c>
      <c r="AT94" s="14">
        <v>-0.75906002933790073</v>
      </c>
      <c r="AU94" s="14">
        <v>-0.19749575896831445</v>
      </c>
      <c r="AV94" s="14">
        <v>0.18875418259980664</v>
      </c>
      <c r="AW94" s="14">
        <v>0.60631708183349708</v>
      </c>
      <c r="AX94" s="14">
        <v>-0.33917003683227465</v>
      </c>
      <c r="AY94" s="14">
        <v>-0.7094176627433032</v>
      </c>
      <c r="AZ94" s="14">
        <v>0.45782577613770709</v>
      </c>
      <c r="BA94" s="14">
        <v>-0.38315901354523646</v>
      </c>
      <c r="BB94" s="14">
        <v>-0.15446148736685492</v>
      </c>
      <c r="BC94" s="14">
        <v>-0.28625812977250958</v>
      </c>
      <c r="BD94" s="14">
        <v>-0.6604701355538376</v>
      </c>
      <c r="BE94" s="14">
        <v>-0.67900990882074874</v>
      </c>
      <c r="BF94" s="14">
        <v>0.60659974541733686</v>
      </c>
      <c r="BK94" s="16">
        <v>1.1403474951949328</v>
      </c>
      <c r="BL94" s="16">
        <v>-0.36051510433386158</v>
      </c>
      <c r="BN94" s="17">
        <f t="shared" si="5"/>
        <v>0</v>
      </c>
    </row>
    <row r="95" spans="1:66" x14ac:dyDescent="0.2">
      <c r="A95">
        <v>-0.22455938059381869</v>
      </c>
      <c r="B95">
        <v>-0.16906557953261819</v>
      </c>
      <c r="C95">
        <v>-0.25331076924705592</v>
      </c>
      <c r="D95">
        <v>-0.3133104578591383</v>
      </c>
      <c r="E95">
        <v>-0.43391541065996059</v>
      </c>
      <c r="F95">
        <v>-0.64022682118659258</v>
      </c>
      <c r="G95">
        <v>-0.57639929143150481</v>
      </c>
      <c r="H95">
        <v>-0.27951751160232391</v>
      </c>
      <c r="I95">
        <v>-0.35323414630195732</v>
      </c>
      <c r="J95">
        <v>-0.5706200351449694</v>
      </c>
      <c r="M95" s="13">
        <v>0</v>
      </c>
      <c r="O95" s="10">
        <f t="shared" si="3"/>
        <v>1</v>
      </c>
      <c r="P95" s="10">
        <f t="shared" si="4"/>
        <v>0</v>
      </c>
      <c r="R95" s="14">
        <v>-0.84164179228164071</v>
      </c>
      <c r="S95" s="14">
        <v>-1.1128652762354225</v>
      </c>
      <c r="T95" s="14">
        <v>-0.83704597811271075</v>
      </c>
      <c r="U95" s="14">
        <v>-0.99220358279918885</v>
      </c>
      <c r="V95" s="14">
        <v>-0.64925033351484163</v>
      </c>
      <c r="W95" s="14">
        <v>1.0955555875893175</v>
      </c>
      <c r="X95" s="14">
        <v>1.0654639989086965</v>
      </c>
      <c r="Y95" s="14">
        <v>0.34984962949825954</v>
      </c>
      <c r="Z95" s="14">
        <v>-1.1081668383190664</v>
      </c>
      <c r="AA95" s="14">
        <v>-0.28882497959665332</v>
      </c>
      <c r="AB95" s="14">
        <v>0.77188094009376529</v>
      </c>
      <c r="AC95" s="14">
        <v>-0.4064176867043231</v>
      </c>
      <c r="AD95" s="14">
        <v>1.1005772809397165</v>
      </c>
      <c r="AE95" s="14">
        <v>-0.66242589638393912</v>
      </c>
      <c r="AF95" s="14">
        <v>-0.35809914967145939</v>
      </c>
      <c r="AG95" s="14">
        <v>-0.19051009826116427</v>
      </c>
      <c r="AH95" s="14">
        <v>-8.520258784509438E-2</v>
      </c>
      <c r="AI95" s="14">
        <v>0.29026026739128408</v>
      </c>
      <c r="AJ95" s="14">
        <v>1.5432593007866502</v>
      </c>
      <c r="AK95" s="14">
        <v>0.1167097835218045</v>
      </c>
      <c r="AM95" s="14">
        <v>-0.25666445699244239</v>
      </c>
      <c r="AN95" s="14">
        <v>0.63257957535520071</v>
      </c>
      <c r="AO95" s="14">
        <v>6.2177920554149835E-2</v>
      </c>
      <c r="AP95" s="14">
        <v>7.560702852912661E-2</v>
      </c>
      <c r="AQ95" s="14">
        <v>0.47094768338609522</v>
      </c>
      <c r="AR95" s="14">
        <v>0.64195712805054594</v>
      </c>
      <c r="AS95" s="14">
        <v>-0.68324554848460328</v>
      </c>
      <c r="AT95" s="14">
        <v>-0.77581029169289162</v>
      </c>
      <c r="AU95" s="14">
        <v>-3.6658057808589231E-2</v>
      </c>
      <c r="AV95" s="14">
        <v>0.46571949678627955</v>
      </c>
      <c r="AW95" s="14">
        <v>0.43163114225232541</v>
      </c>
      <c r="AX95" s="14">
        <v>1.083209925364379E-3</v>
      </c>
      <c r="AY95" s="14">
        <v>-0.56979347284030268</v>
      </c>
      <c r="AZ95" s="14">
        <v>0.55370613030658955</v>
      </c>
      <c r="BA95" s="14">
        <v>-0.48499370402542064</v>
      </c>
      <c r="BB95" s="14">
        <v>9.7565987332170923E-2</v>
      </c>
      <c r="BC95" s="14">
        <v>-0.47266555877548894</v>
      </c>
      <c r="BD95" s="14">
        <v>-0.51256953229152735</v>
      </c>
      <c r="BE95" s="14">
        <v>-0.5605984838176471</v>
      </c>
      <c r="BF95" s="14">
        <v>0.6017141587490753</v>
      </c>
      <c r="BK95" s="16">
        <v>-1.0510994095488053</v>
      </c>
      <c r="BL95" s="16">
        <v>0.28134587404223316</v>
      </c>
      <c r="BN95" s="17">
        <f t="shared" si="5"/>
        <v>1</v>
      </c>
    </row>
    <row r="96" spans="1:66" x14ac:dyDescent="0.2">
      <c r="A96">
        <v>0.235798252913308</v>
      </c>
      <c r="B96">
        <v>0.20609380842999661</v>
      </c>
      <c r="C96">
        <v>0.31526229310158371</v>
      </c>
      <c r="D96">
        <v>0.1199011225621682</v>
      </c>
      <c r="E96">
        <v>0.93483691653535628</v>
      </c>
      <c r="F96">
        <v>0.97472413679602521</v>
      </c>
      <c r="G96">
        <v>0.96614641002102297</v>
      </c>
      <c r="H96">
        <v>0.3685279149176911</v>
      </c>
      <c r="I96">
        <v>0.223474346208486</v>
      </c>
      <c r="J96">
        <v>1.4119674311462369</v>
      </c>
      <c r="M96" s="13">
        <v>1</v>
      </c>
      <c r="O96" s="10">
        <f t="shared" si="3"/>
        <v>0</v>
      </c>
      <c r="P96" s="10">
        <f t="shared" si="4"/>
        <v>1</v>
      </c>
      <c r="R96" s="14">
        <v>-0.93154579782842195</v>
      </c>
      <c r="S96" s="14">
        <v>1.0343699426953146</v>
      </c>
      <c r="T96" s="14">
        <v>-0.11459044890873182</v>
      </c>
      <c r="U96" s="14">
        <v>-1.2641353943484235</v>
      </c>
      <c r="V96" s="14">
        <v>0.91486607512787133</v>
      </c>
      <c r="W96" s="14">
        <v>0.63085438911213831</v>
      </c>
      <c r="X96" s="14">
        <v>-1.4615709283500387</v>
      </c>
      <c r="Y96" s="14">
        <v>-1.1119552877951124</v>
      </c>
      <c r="Z96" s="14">
        <v>-0.14475286301645141</v>
      </c>
      <c r="AA96" s="14">
        <v>1.0856818932046886</v>
      </c>
      <c r="AB96" s="14">
        <v>1.7005965346261358</v>
      </c>
      <c r="AC96" s="14">
        <v>-0.25091883013441163</v>
      </c>
      <c r="AD96" s="14">
        <v>-0.79576241187648689</v>
      </c>
      <c r="AE96" s="14">
        <v>1.6781132909350394</v>
      </c>
      <c r="AF96" s="14">
        <v>-1.0403898320416305</v>
      </c>
      <c r="AG96" s="14">
        <v>-0.20224692035504044</v>
      </c>
      <c r="AH96" s="14">
        <v>-1.281347209791329</v>
      </c>
      <c r="AI96" s="14">
        <v>-1.6021519720651862</v>
      </c>
      <c r="AJ96" s="14">
        <v>-0.54742516503150562</v>
      </c>
      <c r="AK96" s="14">
        <v>0.31062555478224951</v>
      </c>
      <c r="AM96" s="14">
        <v>-0.6097668354728617</v>
      </c>
      <c r="AN96" s="14">
        <v>-0.65706428079864521</v>
      </c>
      <c r="AO96" s="14">
        <v>-0.56595556032147765</v>
      </c>
      <c r="AP96" s="14">
        <v>4.9278605355697419E-2</v>
      </c>
      <c r="AQ96" s="14">
        <v>-0.79937472740555793</v>
      </c>
      <c r="AR96" s="14">
        <v>0.64802032145347022</v>
      </c>
      <c r="AS96" s="14">
        <v>0.82941271074859457</v>
      </c>
      <c r="AT96" s="14">
        <v>0.16547240076542455</v>
      </c>
      <c r="AU96" s="14">
        <v>-0.86818636691701223</v>
      </c>
      <c r="AV96" s="14">
        <v>-0.54795192710250518</v>
      </c>
      <c r="AW96" s="14">
        <v>0.36880530005074413</v>
      </c>
      <c r="AX96" s="14">
        <v>-0.7866309810763461</v>
      </c>
      <c r="AY96" s="14">
        <v>0.59329932867887492</v>
      </c>
      <c r="AZ96" s="14">
        <v>-0.8390024386571111</v>
      </c>
      <c r="BA96" s="14">
        <v>-0.33736800798110533</v>
      </c>
      <c r="BB96" s="14">
        <v>5.3488865768653443E-2</v>
      </c>
      <c r="BC96" s="14">
        <v>0.39468732782226873</v>
      </c>
      <c r="BD96" s="14">
        <v>0.55922900504475181</v>
      </c>
      <c r="BE96" s="14">
        <v>0.64984891810907996</v>
      </c>
      <c r="BF96" s="14">
        <v>0.32419579301141171</v>
      </c>
      <c r="BK96" s="16">
        <v>-0.19972191830820935</v>
      </c>
      <c r="BL96" s="16">
        <v>1.1427644692982302</v>
      </c>
      <c r="BN96" s="17">
        <f t="shared" si="5"/>
        <v>1</v>
      </c>
    </row>
    <row r="97" spans="1:66" x14ac:dyDescent="0.2">
      <c r="A97">
        <v>1.722667628215828</v>
      </c>
      <c r="B97">
        <v>0.99074089436487911</v>
      </c>
      <c r="C97">
        <v>1.6474663296994909</v>
      </c>
      <c r="D97">
        <v>1.7272456176270019</v>
      </c>
      <c r="E97">
        <v>0.48880764494421441</v>
      </c>
      <c r="F97">
        <v>0.68337339587332024</v>
      </c>
      <c r="G97">
        <v>0.93240721655097591</v>
      </c>
      <c r="H97">
        <v>1.608717085797847</v>
      </c>
      <c r="I97">
        <v>1.507607199617796</v>
      </c>
      <c r="J97">
        <v>0.60030310096281392</v>
      </c>
      <c r="M97" s="13">
        <v>1</v>
      </c>
      <c r="O97" s="10">
        <f t="shared" si="3"/>
        <v>0</v>
      </c>
      <c r="P97" s="10">
        <f t="shared" si="4"/>
        <v>1</v>
      </c>
      <c r="R97" s="14">
        <v>-0.43517326873469264</v>
      </c>
      <c r="S97" s="14">
        <v>-1.0915558742469829</v>
      </c>
      <c r="T97" s="14">
        <v>-0.8291695593034325</v>
      </c>
      <c r="U97" s="14">
        <v>-1.4958752113513569</v>
      </c>
      <c r="V97" s="14">
        <v>-0.66428195044411775</v>
      </c>
      <c r="W97" s="14">
        <v>-8.8580041102915841E-3</v>
      </c>
      <c r="X97" s="14">
        <v>1.0653396598527731</v>
      </c>
      <c r="Y97" s="14">
        <v>0.61577338333052489</v>
      </c>
      <c r="Z97" s="14">
        <v>-0.75854334525911171</v>
      </c>
      <c r="AA97" s="14">
        <v>-0.29581905107554518</v>
      </c>
      <c r="AB97" s="14">
        <v>0.78727129485658465</v>
      </c>
      <c r="AC97" s="14">
        <v>-0.32769333300453718</v>
      </c>
      <c r="AD97" s="14">
        <v>1.1273012277399326</v>
      </c>
      <c r="AE97" s="14">
        <v>-0.65610162270489725</v>
      </c>
      <c r="AF97" s="14">
        <v>-0.28909449187027902</v>
      </c>
      <c r="AG97" s="14">
        <v>-0.62262490506964829</v>
      </c>
      <c r="AH97" s="14">
        <v>-5.0954521215741067E-2</v>
      </c>
      <c r="AI97" s="14">
        <v>0.29653190126105378</v>
      </c>
      <c r="AJ97" s="14">
        <v>1.566164375391748</v>
      </c>
      <c r="AK97" s="14">
        <v>-0.78829807401564733</v>
      </c>
      <c r="AM97" s="14">
        <v>-0.33393062932651835</v>
      </c>
      <c r="AN97" s="14">
        <v>-0.62112258595205538</v>
      </c>
      <c r="AO97" s="14">
        <v>-0.27279176869604277</v>
      </c>
      <c r="AP97" s="14">
        <v>2.8316990164085783E-2</v>
      </c>
      <c r="AQ97" s="14">
        <v>-0.61240695914303178</v>
      </c>
      <c r="AR97" s="14">
        <v>0.35149055461653439</v>
      </c>
      <c r="AS97" s="14">
        <v>0.68931758659479159</v>
      </c>
      <c r="AT97" s="14">
        <v>0.45541642677218008</v>
      </c>
      <c r="AU97" s="14">
        <v>-0.51155090975607276</v>
      </c>
      <c r="AV97" s="14">
        <v>-0.52349626423248985</v>
      </c>
      <c r="AW97" s="14">
        <v>-8.9092607642180591E-2</v>
      </c>
      <c r="AX97" s="14">
        <v>-0.39855674923065593</v>
      </c>
      <c r="AY97" s="14">
        <v>0.47966804093630128</v>
      </c>
      <c r="AZ97" s="14">
        <v>-0.72339723754053276</v>
      </c>
      <c r="BA97" s="14">
        <v>-0.20943823826997068</v>
      </c>
      <c r="BB97" s="14">
        <v>-0.20261032183338479</v>
      </c>
      <c r="BC97" s="14">
        <v>0.39480614350830484</v>
      </c>
      <c r="BD97" s="14">
        <v>0.55160149701352146</v>
      </c>
      <c r="BE97" s="14">
        <v>0.60300946681922152</v>
      </c>
      <c r="BF97" s="14">
        <v>-0.11574695746252803</v>
      </c>
      <c r="BK97" s="16">
        <v>0.75268713229026862</v>
      </c>
      <c r="BL97" s="16">
        <v>-0.20308151032482685</v>
      </c>
      <c r="BN97" s="17">
        <f t="shared" si="5"/>
        <v>0</v>
      </c>
    </row>
    <row r="98" spans="1:66" x14ac:dyDescent="0.2">
      <c r="A98">
        <v>-0.58769863186962623</v>
      </c>
      <c r="B98">
        <v>-0.2818585981357577</v>
      </c>
      <c r="C98">
        <v>-0.61894059985227534</v>
      </c>
      <c r="D98">
        <v>-0.61267261310043986</v>
      </c>
      <c r="E98">
        <v>-0.63983225771120456</v>
      </c>
      <c r="F98">
        <v>-0.82421171460331344</v>
      </c>
      <c r="G98">
        <v>-0.53524769939606875</v>
      </c>
      <c r="H98">
        <v>-0.74950572827977868</v>
      </c>
      <c r="I98">
        <v>-0.71491680653117273</v>
      </c>
      <c r="J98">
        <v>-0.87447002148116237</v>
      </c>
      <c r="M98" s="13">
        <v>0</v>
      </c>
      <c r="O98" s="10">
        <f t="shared" si="3"/>
        <v>1</v>
      </c>
      <c r="P98" s="10">
        <f t="shared" si="4"/>
        <v>0</v>
      </c>
      <c r="R98" s="14">
        <v>-1.08812739058268</v>
      </c>
      <c r="S98" s="14">
        <v>0.74300925596988554</v>
      </c>
      <c r="T98" s="14">
        <v>-6.1023361482113792E-2</v>
      </c>
      <c r="U98" s="14">
        <v>-9.3905651675088242E-2</v>
      </c>
      <c r="V98" s="14">
        <v>-9.6072344086621464E-2</v>
      </c>
      <c r="W98" s="14">
        <v>0.66871178723020663</v>
      </c>
      <c r="X98" s="14">
        <v>-1.1396792190599152</v>
      </c>
      <c r="Y98" s="14">
        <v>-0.99236076051421085</v>
      </c>
      <c r="Z98" s="14">
        <v>-0.11230256399390193</v>
      </c>
      <c r="AA98" s="14">
        <v>0.60276771955022024</v>
      </c>
      <c r="AB98" s="14">
        <v>1.3872501125500709</v>
      </c>
      <c r="AC98" s="14">
        <v>-0.60233960657115337</v>
      </c>
      <c r="AD98" s="14">
        <v>-0.75965254301090135</v>
      </c>
      <c r="AE98" s="14">
        <v>6.3546410673720466E-2</v>
      </c>
      <c r="AF98" s="14">
        <v>-0.49056265348764289</v>
      </c>
      <c r="AG98" s="14">
        <v>-0.21875717831397495</v>
      </c>
      <c r="AH98" s="14">
        <v>-0.84656846305098687</v>
      </c>
      <c r="AI98" s="14">
        <v>-1.5486046890851819</v>
      </c>
      <c r="AJ98" s="14">
        <v>-0.42995812136806905</v>
      </c>
      <c r="AK98" s="14">
        <v>0.1359249440732806</v>
      </c>
      <c r="AM98" s="14">
        <v>-0.82836703719343041</v>
      </c>
      <c r="AN98" s="14">
        <v>0.66084028374844195</v>
      </c>
      <c r="AO98" s="14">
        <v>0.21929219106038192</v>
      </c>
      <c r="AP98" s="14">
        <v>-0.82709678176011348</v>
      </c>
      <c r="AQ98" s="14">
        <v>-0.8410135443034007</v>
      </c>
      <c r="AR98" s="14">
        <v>0.83116229761833416</v>
      </c>
      <c r="AS98" s="14">
        <v>-7.6800523453716019E-2</v>
      </c>
      <c r="AT98" s="14">
        <v>-0.80666647988913376</v>
      </c>
      <c r="AU98" s="14">
        <v>-0.95425332899420223</v>
      </c>
      <c r="AV98" s="14">
        <v>-0.57313702732866167</v>
      </c>
      <c r="AW98" s="14">
        <v>0.84523311560504111</v>
      </c>
      <c r="AX98" s="14">
        <v>-0.73440058044050349</v>
      </c>
      <c r="AY98" s="14">
        <v>-0.62676159168411794</v>
      </c>
      <c r="AZ98" s="14">
        <v>-4.5134952496504503E-2</v>
      </c>
      <c r="BA98" s="14">
        <v>-0.73741466840206382</v>
      </c>
      <c r="BB98" s="14">
        <v>-0.69961277726095927</v>
      </c>
      <c r="BC98" s="14">
        <v>-0.36552130179795811</v>
      </c>
      <c r="BD98" s="14">
        <v>-0.81503151314889777</v>
      </c>
      <c r="BE98" s="14">
        <v>-9.3245846469376767E-2</v>
      </c>
      <c r="BF98" s="14">
        <v>0.70522246418926637</v>
      </c>
      <c r="BK98" s="16">
        <v>0.537728614337591</v>
      </c>
      <c r="BL98" s="16">
        <v>-0.24999754916905895</v>
      </c>
      <c r="BN98" s="17">
        <f t="shared" si="5"/>
        <v>0</v>
      </c>
    </row>
    <row r="99" spans="1:66" x14ac:dyDescent="0.2">
      <c r="A99">
        <v>-1.2719444809271121</v>
      </c>
      <c r="B99">
        <v>0.2330660520090089</v>
      </c>
      <c r="C99">
        <v>-1.269686995299478</v>
      </c>
      <c r="D99">
        <v>-1.063442935319554</v>
      </c>
      <c r="E99">
        <v>-0.96617700809205664</v>
      </c>
      <c r="F99">
        <v>-1.048254235420939</v>
      </c>
      <c r="G99">
        <v>-1.084097473170553</v>
      </c>
      <c r="H99">
        <v>-1.144958368744069</v>
      </c>
      <c r="I99">
        <v>-0.94358101532447192</v>
      </c>
      <c r="J99">
        <v>-1.398757257638388</v>
      </c>
      <c r="M99" s="13">
        <v>0</v>
      </c>
      <c r="O99" s="10">
        <f t="shared" si="3"/>
        <v>1</v>
      </c>
      <c r="P99" s="10">
        <f t="shared" si="4"/>
        <v>0</v>
      </c>
      <c r="R99" s="14">
        <v>-0.58114365450994276</v>
      </c>
      <c r="S99" s="14">
        <v>1.0080440032109075</v>
      </c>
      <c r="T99" s="14">
        <v>-0.22744230069021382</v>
      </c>
      <c r="U99" s="14">
        <v>-0.39568668994868961</v>
      </c>
      <c r="V99" s="14">
        <v>1.130242419912542</v>
      </c>
      <c r="W99" s="14">
        <v>0.66913606607254272</v>
      </c>
      <c r="X99" s="14">
        <v>-1.4380228035799674</v>
      </c>
      <c r="Y99" s="14">
        <v>-1.0497127167186218</v>
      </c>
      <c r="Z99" s="14">
        <v>0.15832727145632863</v>
      </c>
      <c r="AA99" s="14">
        <v>1.1415897913907875</v>
      </c>
      <c r="AB99" s="14">
        <v>1.1553115103304454</v>
      </c>
      <c r="AC99" s="14">
        <v>-1.3716021319516492E-2</v>
      </c>
      <c r="AD99" s="14">
        <v>-0.76439323212172439</v>
      </c>
      <c r="AE99" s="14">
        <v>1.4655798504381861</v>
      </c>
      <c r="AF99" s="14">
        <v>-0.94382670963063819</v>
      </c>
      <c r="AG99" s="14">
        <v>-2.8208374182292051E-2</v>
      </c>
      <c r="AH99" s="14">
        <v>-1.1221905197383721</v>
      </c>
      <c r="AI99" s="14">
        <v>-1.53864933935229</v>
      </c>
      <c r="AJ99" s="14">
        <v>-0.44278928814021429</v>
      </c>
      <c r="AK99" s="14">
        <v>0.1514029783796591</v>
      </c>
      <c r="AM99" s="14">
        <v>0.16536822126768186</v>
      </c>
      <c r="AN99" s="14">
        <v>-0.60791044511546599</v>
      </c>
      <c r="AO99" s="14">
        <v>-0.25945428974299511</v>
      </c>
      <c r="AP99" s="14">
        <v>-0.20360725883095265</v>
      </c>
      <c r="AQ99" s="14">
        <v>-0.38277826123954251</v>
      </c>
      <c r="AR99" s="14">
        <v>-6.0072007360783178E-2</v>
      </c>
      <c r="AS99" s="14">
        <v>0.66802886351099267</v>
      </c>
      <c r="AT99" s="14">
        <v>0.61945740677156402</v>
      </c>
      <c r="AU99" s="14">
        <v>-3.7040489418833339E-2</v>
      </c>
      <c r="AV99" s="14">
        <v>-0.41524574094652261</v>
      </c>
      <c r="AW99" s="14">
        <v>-0.27662890920723271</v>
      </c>
      <c r="AX99" s="14">
        <v>2.1504663436155931E-2</v>
      </c>
      <c r="AY99" s="14">
        <v>0.57649408952226444</v>
      </c>
      <c r="AZ99" s="14">
        <v>-0.58900998633357249</v>
      </c>
      <c r="BA99" s="14">
        <v>2.3349760490570318E-2</v>
      </c>
      <c r="BB99" s="14">
        <v>-0.21713408952767149</v>
      </c>
      <c r="BC99" s="14">
        <v>0.3208050885560389</v>
      </c>
      <c r="BD99" s="14">
        <v>0.62132916831838325</v>
      </c>
      <c r="BE99" s="14">
        <v>0.66054782955800362</v>
      </c>
      <c r="BF99" s="14">
        <v>-0.38992067787145313</v>
      </c>
      <c r="BK99" s="16">
        <v>-0.51844049485270127</v>
      </c>
      <c r="BL99" s="16">
        <v>0.36310040306185165</v>
      </c>
      <c r="BN99" s="17">
        <f t="shared" si="5"/>
        <v>1</v>
      </c>
    </row>
    <row r="100" spans="1:66" x14ac:dyDescent="0.2">
      <c r="A100">
        <v>-0.75354175449952265</v>
      </c>
      <c r="B100">
        <v>-1.5078696699090111</v>
      </c>
      <c r="C100">
        <v>-0.76212140752401314</v>
      </c>
      <c r="D100">
        <v>-0.72349418018496003</v>
      </c>
      <c r="E100">
        <v>-0.55285654975093179</v>
      </c>
      <c r="F100">
        <v>-0.61270347459729879</v>
      </c>
      <c r="G100">
        <v>-0.43070731962902908</v>
      </c>
      <c r="H100">
        <v>-0.70188577681025677</v>
      </c>
      <c r="I100">
        <v>-0.6842747398222333</v>
      </c>
      <c r="J100">
        <v>-0.49005261639244518</v>
      </c>
      <c r="M100" s="13">
        <v>0</v>
      </c>
      <c r="O100" s="10">
        <f t="shared" si="3"/>
        <v>1</v>
      </c>
      <c r="P100" s="10">
        <f t="shared" si="4"/>
        <v>0</v>
      </c>
      <c r="R100" s="14">
        <v>-0.78658926359770998</v>
      </c>
      <c r="S100" s="14">
        <v>-1.1104437703193342</v>
      </c>
      <c r="T100" s="14">
        <v>-0.79423864909441688</v>
      </c>
      <c r="U100" s="14">
        <v>-0.37952522328923682</v>
      </c>
      <c r="V100" s="14">
        <v>-0.64557387650056841</v>
      </c>
      <c r="W100" s="14">
        <v>1.1000308063707271</v>
      </c>
      <c r="X100" s="14">
        <v>1.0652922116140622</v>
      </c>
      <c r="Y100" s="14">
        <v>0.26315334684074154</v>
      </c>
      <c r="Z100" s="14">
        <v>-1.1315974067100789</v>
      </c>
      <c r="AA100" s="14">
        <v>-0.25061143417749554</v>
      </c>
      <c r="AB100" s="14">
        <v>0.69388397566555982</v>
      </c>
      <c r="AC100" s="14">
        <v>-0.40096221295688717</v>
      </c>
      <c r="AD100" s="14">
        <v>1.0656478240811587</v>
      </c>
      <c r="AE100" s="14">
        <v>-0.6622747070113788</v>
      </c>
      <c r="AF100" s="14">
        <v>-0.28507045401186448</v>
      </c>
      <c r="AG100" s="14">
        <v>-7.1821623979997806E-2</v>
      </c>
      <c r="AH100" s="14">
        <v>-4.1538170745020642E-2</v>
      </c>
      <c r="AI100" s="14">
        <v>0.28545710279902103</v>
      </c>
      <c r="AJ100" s="14">
        <v>1.5271324923341472</v>
      </c>
      <c r="AK100" s="14">
        <v>-0.21280302390716893</v>
      </c>
      <c r="AM100" s="14">
        <v>0.11765039419419444</v>
      </c>
      <c r="AN100" s="14">
        <v>0.63248913977116594</v>
      </c>
      <c r="AO100" s="14">
        <v>0.57633481744345305</v>
      </c>
      <c r="AP100" s="14">
        <v>0.64645150536776075</v>
      </c>
      <c r="AQ100" s="14">
        <v>0.78389870194902067</v>
      </c>
      <c r="AR100" s="14">
        <v>-0.59311298795952916</v>
      </c>
      <c r="AS100" s="14">
        <v>-0.88350435622781609</v>
      </c>
      <c r="AT100" s="14">
        <v>-2.7073254139771748E-2</v>
      </c>
      <c r="AU100" s="14">
        <v>0.89298445343835875</v>
      </c>
      <c r="AV100" s="14">
        <v>0.51424760071377329</v>
      </c>
      <c r="AW100" s="14">
        <v>-0.51105458765085277</v>
      </c>
      <c r="AX100" s="14">
        <v>0.6252284438546587</v>
      </c>
      <c r="AY100" s="14">
        <v>-0.73329405732699537</v>
      </c>
      <c r="AZ100" s="14">
        <v>0.79261955269863704</v>
      </c>
      <c r="BA100" s="14">
        <v>0.38154130568383271</v>
      </c>
      <c r="BB100" s="14">
        <v>0.18531163513327062</v>
      </c>
      <c r="BC100" s="14">
        <v>-0.17385937406983576</v>
      </c>
      <c r="BD100" s="14">
        <v>-0.62822949048253662</v>
      </c>
      <c r="BE100" s="14">
        <v>-0.79582257312036275</v>
      </c>
      <c r="BF100" s="14">
        <v>-8.6336265506687174E-2</v>
      </c>
      <c r="BK100" s="16">
        <v>-0.1482940634718008</v>
      </c>
      <c r="BL100" s="16">
        <v>0.96326843439491294</v>
      </c>
      <c r="BN100" s="17">
        <f t="shared" si="5"/>
        <v>1</v>
      </c>
    </row>
    <row r="101" spans="1:66" x14ac:dyDescent="0.2">
      <c r="A101">
        <v>5.2798945183766932E-2</v>
      </c>
      <c r="B101">
        <v>0.19138167556871791</v>
      </c>
      <c r="C101">
        <v>7.3722495811869973E-2</v>
      </c>
      <c r="D101">
        <v>-6.1731108165967663E-2</v>
      </c>
      <c r="E101">
        <v>0.1691533336372292</v>
      </c>
      <c r="F101">
        <v>3.0995694283842919E-2</v>
      </c>
      <c r="G101">
        <v>0.20548095724178131</v>
      </c>
      <c r="H101">
        <v>-2.4854292874011651E-2</v>
      </c>
      <c r="I101">
        <v>-0.12828949473922299</v>
      </c>
      <c r="J101">
        <v>0.5883228156464535</v>
      </c>
      <c r="M101" s="13">
        <v>1</v>
      </c>
      <c r="O101" s="10">
        <f t="shared" si="3"/>
        <v>0</v>
      </c>
      <c r="P101" s="10">
        <f t="shared" si="4"/>
        <v>1</v>
      </c>
      <c r="R101" s="14">
        <v>-0.59277141506892661</v>
      </c>
      <c r="S101" s="14">
        <v>-1.1180333288541016</v>
      </c>
      <c r="T101" s="14">
        <v>-0.60835669893413002</v>
      </c>
      <c r="U101" s="14">
        <v>-0.5680735140933002</v>
      </c>
      <c r="V101" s="14">
        <v>-0.59745887139883513</v>
      </c>
      <c r="W101" s="14">
        <v>0.69270000645076102</v>
      </c>
      <c r="X101" s="14">
        <v>1.0636236132511765</v>
      </c>
      <c r="Y101" s="14">
        <v>1.0224593518677438</v>
      </c>
      <c r="Z101" s="14">
        <v>-0.62558145001226517</v>
      </c>
      <c r="AA101" s="14">
        <v>-0.26059861577676202</v>
      </c>
      <c r="AB101" s="14">
        <v>0.22322010113840091</v>
      </c>
      <c r="AC101" s="14">
        <v>-0.2867561526915503</v>
      </c>
      <c r="AD101" s="14">
        <v>1.0602213159410678</v>
      </c>
      <c r="AE101" s="14">
        <v>-0.66118430305504772</v>
      </c>
      <c r="AF101" s="14">
        <v>-0.21802252305576642</v>
      </c>
      <c r="AG101" s="14">
        <v>-0.44691069502003344</v>
      </c>
      <c r="AH101" s="14">
        <v>-5.1980108860086638E-2</v>
      </c>
      <c r="AI101" s="14">
        <v>0.31587321153515535</v>
      </c>
      <c r="AJ101" s="14">
        <v>1.5532658143651448</v>
      </c>
      <c r="AK101" s="14">
        <v>-0.79916380787203867</v>
      </c>
      <c r="AM101" s="14">
        <v>-0.23030714545337053</v>
      </c>
      <c r="AN101" s="14">
        <v>-0.57829789100065698</v>
      </c>
      <c r="AO101" s="14">
        <v>-0.76520716625194507</v>
      </c>
      <c r="AP101" s="14">
        <v>-0.84596299541398756</v>
      </c>
      <c r="AQ101" s="14">
        <v>-0.851391071109319</v>
      </c>
      <c r="AR101" s="14">
        <v>0.27312008911248137</v>
      </c>
      <c r="AS101" s="14">
        <v>0.88793725796352274</v>
      </c>
      <c r="AT101" s="14">
        <v>2.6796747048058275E-2</v>
      </c>
      <c r="AU101" s="14">
        <v>-0.86544701402405155</v>
      </c>
      <c r="AV101" s="14">
        <v>-0.63648975308047595</v>
      </c>
      <c r="AW101" s="14">
        <v>0.86336175343984023</v>
      </c>
      <c r="AX101" s="14">
        <v>-0.70814365733338303</v>
      </c>
      <c r="AY101" s="14">
        <v>0.76221105419078605</v>
      </c>
      <c r="AZ101" s="14">
        <v>-0.76508795553945297</v>
      </c>
      <c r="BA101" s="14">
        <v>-0.15704329913849957</v>
      </c>
      <c r="BB101" s="14">
        <v>-0.24472452261339958</v>
      </c>
      <c r="BC101" s="14">
        <v>0.15431600067462237</v>
      </c>
      <c r="BD101" s="14">
        <v>0.51339185111700658</v>
      </c>
      <c r="BE101" s="14">
        <v>0.8033165986410763</v>
      </c>
      <c r="BF101" s="14">
        <v>0.39510198791836887</v>
      </c>
      <c r="BK101" s="16">
        <v>-0.77800957269960924</v>
      </c>
      <c r="BL101" s="16">
        <v>0.54406116341072774</v>
      </c>
      <c r="BN101" s="17">
        <f t="shared" si="5"/>
        <v>1</v>
      </c>
    </row>
    <row r="102" spans="1:66" x14ac:dyDescent="0.2">
      <c r="A102">
        <v>-0.17880955366143339</v>
      </c>
      <c r="B102">
        <v>1.468885212356448</v>
      </c>
      <c r="C102">
        <v>-0.19313332834154279</v>
      </c>
      <c r="D102">
        <v>-0.2338643474297159</v>
      </c>
      <c r="E102">
        <v>-0.3696128573389042</v>
      </c>
      <c r="F102">
        <v>-6.3600312237018369E-2</v>
      </c>
      <c r="G102">
        <v>-0.13957897597460839</v>
      </c>
      <c r="H102">
        <v>0.1117942635167902</v>
      </c>
      <c r="I102">
        <v>1.3585045340895311E-2</v>
      </c>
      <c r="J102">
        <v>1.776172745478526E-2</v>
      </c>
      <c r="M102" s="13">
        <v>1</v>
      </c>
      <c r="O102" s="10">
        <f t="shared" si="3"/>
        <v>0</v>
      </c>
      <c r="P102" s="10">
        <f t="shared" si="4"/>
        <v>1</v>
      </c>
      <c r="R102" s="14">
        <v>-0.84253226002946535</v>
      </c>
      <c r="S102" s="14">
        <v>0.82697875917720065</v>
      </c>
      <c r="T102" s="14">
        <v>0.41128539571710987</v>
      </c>
      <c r="U102" s="14">
        <v>-1.6784588152161173</v>
      </c>
      <c r="V102" s="14">
        <v>-0.67532348953191401</v>
      </c>
      <c r="W102" s="14">
        <v>1.3961703227967905</v>
      </c>
      <c r="X102" s="14">
        <v>0.39763167933038646</v>
      </c>
      <c r="Y102" s="14">
        <v>-0.62928828889250832</v>
      </c>
      <c r="Z102" s="14">
        <v>-1.2634092652103264</v>
      </c>
      <c r="AA102" s="14">
        <v>-0.29562640412122798</v>
      </c>
      <c r="AB102" s="14">
        <v>0.78868719391349362</v>
      </c>
      <c r="AC102" s="14">
        <v>-0.35965911064396172</v>
      </c>
      <c r="AD102" s="14">
        <v>-0.65204207815525528</v>
      </c>
      <c r="AE102" s="14">
        <v>-0.1234037276355443</v>
      </c>
      <c r="AF102" s="14">
        <v>-0.38778629652686558</v>
      </c>
      <c r="AG102" s="14">
        <v>-0.64676545705491928</v>
      </c>
      <c r="AH102" s="14">
        <v>-1.0076409409380602</v>
      </c>
      <c r="AI102" s="14">
        <v>-1.6543877865672241</v>
      </c>
      <c r="AJ102" s="14">
        <v>0.64944574305136671</v>
      </c>
      <c r="AK102" s="14">
        <v>0.2396408751798953</v>
      </c>
      <c r="AM102" s="14">
        <v>-0.4986671081725822</v>
      </c>
      <c r="AN102" s="14">
        <v>0.83431883671445284</v>
      </c>
      <c r="AO102" s="14">
        <v>0.45001165142778388</v>
      </c>
      <c r="AP102" s="14">
        <v>0.38745645445788912</v>
      </c>
      <c r="AQ102" s="14">
        <v>0.79424708822688139</v>
      </c>
      <c r="AR102" s="14">
        <v>-9.8702457825751485E-3</v>
      </c>
      <c r="AS102" s="14">
        <v>-0.90720982435681685</v>
      </c>
      <c r="AT102" s="14">
        <v>-0.68601587020375177</v>
      </c>
      <c r="AU102" s="14">
        <v>0.51315149520603143</v>
      </c>
      <c r="AV102" s="14">
        <v>0.6534792946771607</v>
      </c>
      <c r="AW102" s="14">
        <v>8.1696713528361498E-2</v>
      </c>
      <c r="AX102" s="14">
        <v>0.14803541371453446</v>
      </c>
      <c r="AY102" s="14">
        <v>-0.82212603997612343</v>
      </c>
      <c r="AZ102" s="14">
        <v>0.8448935524269412</v>
      </c>
      <c r="BA102" s="14">
        <v>1.7733214560528648E-2</v>
      </c>
      <c r="BB102" s="14">
        <v>0.4749519910566945</v>
      </c>
      <c r="BC102" s="14">
        <v>-0.53406532799085471</v>
      </c>
      <c r="BD102" s="14">
        <v>-0.83658680198514646</v>
      </c>
      <c r="BE102" s="14">
        <v>-0.88774015967292041</v>
      </c>
      <c r="BF102" s="14">
        <v>0.68977202852331976</v>
      </c>
      <c r="BK102" s="16">
        <v>0.7918934707398293</v>
      </c>
      <c r="BL102" s="16">
        <v>-0.15386056167357245</v>
      </c>
      <c r="BN102" s="17">
        <f t="shared" si="5"/>
        <v>0</v>
      </c>
    </row>
    <row r="103" spans="1:66" x14ac:dyDescent="0.2">
      <c r="A103">
        <v>-2.074282070753819</v>
      </c>
      <c r="B103">
        <v>-1.3632003634397669</v>
      </c>
      <c r="C103">
        <v>-2.0299978348780958</v>
      </c>
      <c r="D103">
        <v>-1.498093756871828</v>
      </c>
      <c r="E103">
        <v>-0.54486519196825722</v>
      </c>
      <c r="F103">
        <v>-1.1329195209426901</v>
      </c>
      <c r="G103">
        <v>-1.2869671539067371</v>
      </c>
      <c r="H103">
        <v>-1.764017737847853</v>
      </c>
      <c r="I103">
        <v>-1.263994302471706</v>
      </c>
      <c r="J103">
        <v>-1.755320499366567</v>
      </c>
      <c r="M103" s="13">
        <v>0</v>
      </c>
      <c r="O103" s="10">
        <f t="shared" si="3"/>
        <v>1</v>
      </c>
      <c r="P103" s="10">
        <f t="shared" si="4"/>
        <v>0</v>
      </c>
      <c r="R103" s="14">
        <v>5.4312924415481842E-2</v>
      </c>
      <c r="S103" s="14">
        <v>-1.1085660163819062</v>
      </c>
      <c r="T103" s="14">
        <v>-0.62675372529779438</v>
      </c>
      <c r="U103" s="14">
        <v>-0.89129499913064913</v>
      </c>
      <c r="V103" s="14">
        <v>-0.40027142624916623</v>
      </c>
      <c r="W103" s="14">
        <v>-2.2736349565164682E-2</v>
      </c>
      <c r="X103" s="14">
        <v>1.0600660237721704</v>
      </c>
      <c r="Y103" s="14">
        <v>1.2059848057883547</v>
      </c>
      <c r="Z103" s="14">
        <v>0.20082716810847251</v>
      </c>
      <c r="AA103" s="14">
        <v>-0.22635188859784849</v>
      </c>
      <c r="AB103" s="14">
        <v>3.2131544045015004E-2</v>
      </c>
      <c r="AC103" s="14">
        <v>0.13708656750700687</v>
      </c>
      <c r="AD103" s="14">
        <v>1.1038693208391042</v>
      </c>
      <c r="AE103" s="14">
        <v>-0.64490094405078691</v>
      </c>
      <c r="AF103" s="14">
        <v>-0.11139086959529543</v>
      </c>
      <c r="AG103" s="14">
        <v>-0.50476733763787818</v>
      </c>
      <c r="AH103" s="14">
        <v>-0.13320925958470686</v>
      </c>
      <c r="AI103" s="14">
        <v>0.32861391935802797</v>
      </c>
      <c r="AJ103" s="14">
        <v>1.5606737690970824</v>
      </c>
      <c r="AK103" s="14">
        <v>-1.1524045525016966</v>
      </c>
      <c r="AM103" s="14">
        <v>0.47678933330409456</v>
      </c>
      <c r="AN103" s="14">
        <v>0.1208228439032584</v>
      </c>
      <c r="AO103" s="14">
        <v>-1.0312216165438235E-3</v>
      </c>
      <c r="AP103" s="14">
        <v>-2.4636384378713311E-2</v>
      </c>
      <c r="AQ103" s="14">
        <v>-5.2055940246627103E-2</v>
      </c>
      <c r="AR103" s="14">
        <v>-0.46116386904459278</v>
      </c>
      <c r="AS103" s="14">
        <v>-0.17121396290582958</v>
      </c>
      <c r="AT103" s="14">
        <v>-0.18961222950466053</v>
      </c>
      <c r="AU103" s="14">
        <v>9.9376178414402952E-2</v>
      </c>
      <c r="AV103" s="14">
        <v>0.13401800460507052</v>
      </c>
      <c r="AW103" s="14">
        <v>0.40459810544898089</v>
      </c>
      <c r="AX103" s="14">
        <v>0.15747532132249797</v>
      </c>
      <c r="AY103" s="14">
        <v>-2.0852055857473956E-3</v>
      </c>
      <c r="AZ103" s="14">
        <v>0.28998021617147274</v>
      </c>
      <c r="BA103" s="14">
        <v>0.35639779918209924</v>
      </c>
      <c r="BB103" s="14">
        <v>-0.17584128521109299</v>
      </c>
      <c r="BC103" s="14">
        <v>-2.7148645737375805E-2</v>
      </c>
      <c r="BD103" s="14">
        <v>-0.11292831719723571</v>
      </c>
      <c r="BE103" s="14">
        <v>-0.10281044683721231</v>
      </c>
      <c r="BF103" s="14">
        <v>-0.34077764514213571</v>
      </c>
      <c r="BK103" s="16">
        <v>-0.51046071630596612</v>
      </c>
      <c r="BL103" s="16">
        <v>0.56078540168358471</v>
      </c>
      <c r="BN103" s="17">
        <f t="shared" si="5"/>
        <v>1</v>
      </c>
    </row>
    <row r="104" spans="1:66" x14ac:dyDescent="0.2">
      <c r="A104">
        <v>-0.58769863186962623</v>
      </c>
      <c r="B104">
        <v>0.37528333633470579</v>
      </c>
      <c r="C104">
        <v>-0.64259655938064975</v>
      </c>
      <c r="D104">
        <v>-0.59079614790972945</v>
      </c>
      <c r="E104">
        <v>-1.2008999122668951</v>
      </c>
      <c r="F104">
        <v>-0.83747747174319809</v>
      </c>
      <c r="G104">
        <v>-0.83455524146747051</v>
      </c>
      <c r="H104">
        <v>-0.64391366197779554</v>
      </c>
      <c r="I104">
        <v>-0.62175075399416624</v>
      </c>
      <c r="J104">
        <v>-0.64250174704313234</v>
      </c>
      <c r="M104" s="13">
        <v>0</v>
      </c>
      <c r="O104" s="10">
        <f t="shared" si="3"/>
        <v>1</v>
      </c>
      <c r="P104" s="10">
        <f t="shared" si="4"/>
        <v>0</v>
      </c>
      <c r="R104" s="14">
        <v>0.21565739402282735</v>
      </c>
      <c r="S104" s="14">
        <v>0.87451304953850351</v>
      </c>
      <c r="T104" s="14">
        <v>0.43547383694335329</v>
      </c>
      <c r="U104" s="14">
        <v>0.2585512092837069</v>
      </c>
      <c r="V104" s="14">
        <v>1.4836285863994696</v>
      </c>
      <c r="W104" s="14">
        <v>-0.57581962422255861</v>
      </c>
      <c r="X104" s="14">
        <v>-1.4658097497113711</v>
      </c>
      <c r="Y104" s="14">
        <v>0.57825142254743311</v>
      </c>
      <c r="Z104" s="14">
        <v>1.6507094002546374</v>
      </c>
      <c r="AA104" s="14">
        <v>1.1785612030440102</v>
      </c>
      <c r="AB104" s="14">
        <v>-0.28776793607782825</v>
      </c>
      <c r="AC104" s="14">
        <v>1.0557116682894221</v>
      </c>
      <c r="AD104" s="14">
        <v>-0.80900303644561133</v>
      </c>
      <c r="AE104" s="14">
        <v>1.6861798574823239</v>
      </c>
      <c r="AF104" s="14">
        <v>0.24061777602332479</v>
      </c>
      <c r="AG104" s="14">
        <v>0.24690010111741645</v>
      </c>
      <c r="AH104" s="14">
        <v>-0.7754571975789184</v>
      </c>
      <c r="AI104" s="14">
        <v>-1.5666178344757391</v>
      </c>
      <c r="AJ104" s="14">
        <v>-0.55438738137859156</v>
      </c>
      <c r="AK104" s="14">
        <v>-0.77653563803585524</v>
      </c>
      <c r="AM104" s="14">
        <v>0.12259846798378324</v>
      </c>
      <c r="AN104" s="14">
        <v>-0.54533773616944736</v>
      </c>
      <c r="AO104" s="14">
        <v>-0.16580993083802728</v>
      </c>
      <c r="AP104" s="14">
        <v>7.5362281050875238E-2</v>
      </c>
      <c r="AQ104" s="14">
        <v>-0.48227131359864633</v>
      </c>
      <c r="AR104" s="14">
        <v>-0.24900507797429319</v>
      </c>
      <c r="AS104" s="14">
        <v>0.55582171619498533</v>
      </c>
      <c r="AT104" s="14">
        <v>0.46602267576547696</v>
      </c>
      <c r="AU104" s="14">
        <v>-0.21891748272708103</v>
      </c>
      <c r="AV104" s="14">
        <v>-0.36816957591137806</v>
      </c>
      <c r="AW104" s="14">
        <v>-2.7838328700693516E-2</v>
      </c>
      <c r="AX104" s="14">
        <v>-0.14687446849184205</v>
      </c>
      <c r="AY104" s="14">
        <v>0.45564253617389666</v>
      </c>
      <c r="AZ104" s="14">
        <v>-0.5163737945585205</v>
      </c>
      <c r="BA104" s="14">
        <v>0.21876300222933098</v>
      </c>
      <c r="BB104" s="14">
        <v>-0.18811969728721326</v>
      </c>
      <c r="BC104" s="14">
        <v>0.37846647045565951</v>
      </c>
      <c r="BD104" s="14">
        <v>0.46691483499101882</v>
      </c>
      <c r="BE104" s="14">
        <v>0.46765874707179361</v>
      </c>
      <c r="BF104" s="14">
        <v>-0.4240139240761473</v>
      </c>
      <c r="BK104" s="16">
        <v>-0.20542709769854137</v>
      </c>
      <c r="BL104" s="16">
        <v>0.13355737395702733</v>
      </c>
      <c r="BN104" s="17">
        <f t="shared" si="5"/>
        <v>1</v>
      </c>
    </row>
    <row r="105" spans="1:66" x14ac:dyDescent="0.2">
      <c r="A105">
        <v>-1.2464961396959739</v>
      </c>
      <c r="B105">
        <v>0.1006568562574969</v>
      </c>
      <c r="C105">
        <v>-1.1933238978745511</v>
      </c>
      <c r="D105">
        <v>-1.052504702724198</v>
      </c>
      <c r="E105">
        <v>-0.14920005896094829</v>
      </c>
      <c r="F105">
        <v>-0.36995251684127511</v>
      </c>
      <c r="G105">
        <v>-0.51275490374937072</v>
      </c>
      <c r="H105">
        <v>-1.178085291505476</v>
      </c>
      <c r="I105">
        <v>-0.95225998219579011</v>
      </c>
      <c r="J105">
        <v>-0.29537298000158718</v>
      </c>
      <c r="M105" s="13">
        <v>0</v>
      </c>
      <c r="O105" s="10">
        <f t="shared" si="3"/>
        <v>1</v>
      </c>
      <c r="P105" s="10">
        <f t="shared" si="4"/>
        <v>0</v>
      </c>
      <c r="R105" s="14">
        <v>-0.55598287765994714</v>
      </c>
      <c r="S105" s="14">
        <v>-0.53666216630370744</v>
      </c>
      <c r="T105" s="14">
        <v>-0.84506962863269375</v>
      </c>
      <c r="U105" s="14">
        <v>-1.6128049282624093</v>
      </c>
      <c r="V105" s="14">
        <v>-0.64669285077823158</v>
      </c>
      <c r="W105" s="14">
        <v>0.16809964012632972</v>
      </c>
      <c r="X105" s="14">
        <v>1.0650614141882873</v>
      </c>
      <c r="Y105" s="14">
        <v>-0.36396926850836686</v>
      </c>
      <c r="Z105" s="14">
        <v>-1.0385042762878955</v>
      </c>
      <c r="AA105" s="14">
        <v>-0.27612180646501117</v>
      </c>
      <c r="AB105" s="14">
        <v>0.78862639544020008</v>
      </c>
      <c r="AC105" s="14">
        <v>-0.38927736132100621</v>
      </c>
      <c r="AD105" s="14">
        <v>1.1180965338422151</v>
      </c>
      <c r="AE105" s="14">
        <v>-0.6013025184646561</v>
      </c>
      <c r="AF105" s="14">
        <v>-0.3214416719672798</v>
      </c>
      <c r="AG105" s="14">
        <v>-0.54275985841568986</v>
      </c>
      <c r="AH105" s="14">
        <v>-0.45752792353561827</v>
      </c>
      <c r="AI105" s="14">
        <v>-6.7153380620799896E-2</v>
      </c>
      <c r="AJ105" s="14">
        <v>1.5479330039371533</v>
      </c>
      <c r="AK105" s="14">
        <v>-8.1298255767025873E-2</v>
      </c>
      <c r="AM105" s="14">
        <v>0.11811255016413531</v>
      </c>
      <c r="AN105" s="14">
        <v>0.36070303310386048</v>
      </c>
      <c r="AO105" s="14">
        <v>0.3799870312296238</v>
      </c>
      <c r="AP105" s="14">
        <v>0.37092103704378832</v>
      </c>
      <c r="AQ105" s="14">
        <v>0.42542806269435923</v>
      </c>
      <c r="AR105" s="14">
        <v>-0.25499781308955372</v>
      </c>
      <c r="AS105" s="14">
        <v>-0.64744011868824491</v>
      </c>
      <c r="AT105" s="14">
        <v>-4.9665140198684558E-2</v>
      </c>
      <c r="AU105" s="14">
        <v>0.63372070453059171</v>
      </c>
      <c r="AV105" s="14">
        <v>0.21382342828417591</v>
      </c>
      <c r="AW105" s="14">
        <v>-0.25482299491281085</v>
      </c>
      <c r="AX105" s="14">
        <v>0.42647643307448391</v>
      </c>
      <c r="AY105" s="14">
        <v>-0.48923219599369328</v>
      </c>
      <c r="AZ105" s="14">
        <v>0.49759554225100533</v>
      </c>
      <c r="BA105" s="14">
        <v>0.10933816300881903</v>
      </c>
      <c r="BB105" s="14">
        <v>-0.14678264798705246</v>
      </c>
      <c r="BC105" s="14">
        <v>-7.4889002418479886E-2</v>
      </c>
      <c r="BD105" s="14">
        <v>-0.3466316801086971</v>
      </c>
      <c r="BE105" s="14">
        <v>-0.46309192739498217</v>
      </c>
      <c r="BF105" s="14">
        <v>-0.18148918977621881</v>
      </c>
      <c r="BK105" s="16">
        <v>0.46870433829073971</v>
      </c>
      <c r="BL105" s="16">
        <v>0.88257034060091644</v>
      </c>
      <c r="BN105" s="17">
        <f t="shared" si="5"/>
        <v>1</v>
      </c>
    </row>
    <row r="106" spans="1:66" x14ac:dyDescent="0.2">
      <c r="A106">
        <v>-1.070931178842945</v>
      </c>
      <c r="B106">
        <v>7.3684612678485473E-2</v>
      </c>
      <c r="C106">
        <v>-1.049728073368982</v>
      </c>
      <c r="D106">
        <v>-0.94369807322303279</v>
      </c>
      <c r="E106">
        <v>-0.35716120684031832</v>
      </c>
      <c r="F106">
        <v>-0.76160230006460439</v>
      </c>
      <c r="G106">
        <v>-0.97999161331941553</v>
      </c>
      <c r="H106">
        <v>-1.016591543043619</v>
      </c>
      <c r="I106">
        <v>-0.87857732467602823</v>
      </c>
      <c r="J106">
        <v>-1.275659826012784</v>
      </c>
      <c r="M106" s="13">
        <v>0</v>
      </c>
      <c r="O106" s="10">
        <f t="shared" si="3"/>
        <v>1</v>
      </c>
      <c r="P106" s="10">
        <f t="shared" si="4"/>
        <v>0</v>
      </c>
      <c r="R106" s="14">
        <v>-0.85118867515033558</v>
      </c>
      <c r="S106" s="14">
        <v>1.0305921466209254</v>
      </c>
      <c r="T106" s="14">
        <v>0.39134102418244499</v>
      </c>
      <c r="U106" s="14">
        <v>-0.12206603269597505</v>
      </c>
      <c r="V106" s="14">
        <v>1.4680046816526071</v>
      </c>
      <c r="W106" s="14">
        <v>0.35393274233769739</v>
      </c>
      <c r="X106" s="14">
        <v>-1.4658157288121603</v>
      </c>
      <c r="Y106" s="14">
        <v>-0.93305728521299591</v>
      </c>
      <c r="Z106" s="14">
        <v>0.512741477480811</v>
      </c>
      <c r="AA106" s="14">
        <v>1.2004689021154609</v>
      </c>
      <c r="AB106" s="14">
        <v>-0.15836374930540742</v>
      </c>
      <c r="AC106" s="14">
        <v>0.65974632888040863</v>
      </c>
      <c r="AD106" s="14">
        <v>-0.8141232431683455</v>
      </c>
      <c r="AE106" s="14">
        <v>1.68731404741074</v>
      </c>
      <c r="AF106" s="14">
        <v>0.20833698977066595</v>
      </c>
      <c r="AG106" s="14">
        <v>0.27825867356835687</v>
      </c>
      <c r="AH106" s="14">
        <v>-1.1946505891853656</v>
      </c>
      <c r="AI106" s="14">
        <v>-1.6029629604735764</v>
      </c>
      <c r="AJ106" s="14">
        <v>-0.55680767151393873</v>
      </c>
      <c r="AK106" s="14">
        <v>0.2484055293260965</v>
      </c>
      <c r="AM106" s="14">
        <v>0.80418811755104924</v>
      </c>
      <c r="AN106" s="14">
        <v>-0.35679140818445076</v>
      </c>
      <c r="AO106" s="14">
        <v>-0.43592797710927017</v>
      </c>
      <c r="AP106" s="14">
        <v>-0.7825237301648601</v>
      </c>
      <c r="AQ106" s="14">
        <v>-0.25275552652317068</v>
      </c>
      <c r="AR106" s="14">
        <v>-0.47180587659882117</v>
      </c>
      <c r="AS106" s="14">
        <v>0.54973096141288735</v>
      </c>
      <c r="AT106" s="14">
        <v>0.38036464845461926</v>
      </c>
      <c r="AU106" s="14">
        <v>0.38515990722699606</v>
      </c>
      <c r="AV106" s="14">
        <v>-0.25483839904828137</v>
      </c>
      <c r="AW106" s="14">
        <v>0.47468657907117912</v>
      </c>
      <c r="AX106" s="14">
        <v>0.5519659756089178</v>
      </c>
      <c r="AY106" s="14">
        <v>0.64036212473922471</v>
      </c>
      <c r="AZ106" s="14">
        <v>-0.11611749774948944</v>
      </c>
      <c r="BA106" s="14">
        <v>0.22531741076806602</v>
      </c>
      <c r="BB106" s="14">
        <v>-0.55397853588878898</v>
      </c>
      <c r="BC106" s="14">
        <v>2.8549553753987503E-2</v>
      </c>
      <c r="BD106" s="14">
        <v>0.55710909058671265</v>
      </c>
      <c r="BE106" s="14">
        <v>0.73913709777310888</v>
      </c>
      <c r="BF106" s="14">
        <v>-0.57901704965242851</v>
      </c>
      <c r="BK106" s="16">
        <v>0.38688976320859381</v>
      </c>
      <c r="BL106" s="16">
        <v>9.732465559995003E-2</v>
      </c>
      <c r="BN106" s="17">
        <f t="shared" si="5"/>
        <v>0</v>
      </c>
    </row>
    <row r="107" spans="1:66" x14ac:dyDescent="0.2">
      <c r="A107">
        <v>-0.3217777628251372</v>
      </c>
      <c r="B107">
        <v>-0.84091964686436094</v>
      </c>
      <c r="C107">
        <v>-0.2279947423833574</v>
      </c>
      <c r="D107">
        <v>-0.38498466618133448</v>
      </c>
      <c r="E107">
        <v>1.328829439774198</v>
      </c>
      <c r="F107">
        <v>1.434686370337827</v>
      </c>
      <c r="G107">
        <v>1.167047971138121</v>
      </c>
      <c r="H107">
        <v>-2.899515821918738E-2</v>
      </c>
      <c r="I107">
        <v>-0.1268725205561505</v>
      </c>
      <c r="J107">
        <v>1.2187853304199241</v>
      </c>
      <c r="M107" s="13">
        <v>1</v>
      </c>
      <c r="O107" s="10">
        <f t="shared" si="3"/>
        <v>0</v>
      </c>
      <c r="P107" s="10">
        <f t="shared" si="4"/>
        <v>1</v>
      </c>
      <c r="R107" s="14">
        <v>0.31593631759790286</v>
      </c>
      <c r="S107" s="14">
        <v>0.18005116312924846</v>
      </c>
      <c r="T107" s="14">
        <v>-0.76505647274301136</v>
      </c>
      <c r="U107" s="14">
        <v>-0.52485470031924952</v>
      </c>
      <c r="V107" s="14">
        <v>2.794431145570736E-2</v>
      </c>
      <c r="W107" s="14">
        <v>-0.83403461599404571</v>
      </c>
      <c r="X107" s="14">
        <v>-2.8284715615278788E-5</v>
      </c>
      <c r="Y107" s="14">
        <v>-0.47673386820896724</v>
      </c>
      <c r="Z107" s="14">
        <v>0.68034920486740791</v>
      </c>
      <c r="AA107" s="14">
        <v>0.46833331311142384</v>
      </c>
      <c r="AB107" s="14">
        <v>1.530756594277618</v>
      </c>
      <c r="AC107" s="14">
        <v>0.15890260243740584</v>
      </c>
      <c r="AD107" s="14">
        <v>0.69533724846231171</v>
      </c>
      <c r="AE107" s="14">
        <v>1.29862622599763</v>
      </c>
      <c r="AF107" s="14">
        <v>-0.14754679054879005</v>
      </c>
      <c r="AG107" s="14">
        <v>-0.9640943177264385</v>
      </c>
      <c r="AH107" s="14">
        <v>-0.48337324361188194</v>
      </c>
      <c r="AI107" s="14">
        <v>-0.70162518582234179</v>
      </c>
      <c r="AJ107" s="14">
        <v>0.70529428994012755</v>
      </c>
      <c r="AK107" s="14">
        <v>-1.0624290474528502</v>
      </c>
      <c r="AM107" s="14">
        <v>0.78666962027106524</v>
      </c>
      <c r="AN107" s="14">
        <v>0.85202106968979952</v>
      </c>
      <c r="AO107" s="14">
        <v>0.21126759924342417</v>
      </c>
      <c r="AP107" s="14">
        <v>-0.27241779014983264</v>
      </c>
      <c r="AQ107" s="14">
        <v>0.72032411827757903</v>
      </c>
      <c r="AR107" s="14">
        <v>-0.56164517004854064</v>
      </c>
      <c r="AS107" s="14">
        <v>-0.82421918686241069</v>
      </c>
      <c r="AT107" s="14">
        <v>-0.7264187509914124</v>
      </c>
      <c r="AU107" s="14">
        <v>0.63814806819438441</v>
      </c>
      <c r="AV107" s="14">
        <v>0.75672740911232017</v>
      </c>
      <c r="AW107" s="14">
        <v>0.60519975718308949</v>
      </c>
      <c r="AX107" s="14">
        <v>0.67396409852556016</v>
      </c>
      <c r="AY107" s="14">
        <v>-0.56571793722518005</v>
      </c>
      <c r="AZ107" s="14">
        <v>0.91745248940051616</v>
      </c>
      <c r="BA107" s="14">
        <v>0.45148227788966638</v>
      </c>
      <c r="BB107" s="14">
        <v>0.12295014300671016</v>
      </c>
      <c r="BC107" s="14">
        <v>-0.59923817949906799</v>
      </c>
      <c r="BD107" s="14">
        <v>-0.74496492591938557</v>
      </c>
      <c r="BE107" s="14">
        <v>-0.67836246317084115</v>
      </c>
      <c r="BF107" s="14">
        <v>-3.4152447783727544E-2</v>
      </c>
      <c r="BK107" s="16">
        <v>-9.1711645904516664E-2</v>
      </c>
      <c r="BL107" s="16">
        <v>-4.4175872321131883E-2</v>
      </c>
      <c r="BN107" s="17">
        <f t="shared" si="5"/>
        <v>1</v>
      </c>
    </row>
    <row r="108" spans="1:66" x14ac:dyDescent="0.2">
      <c r="A108">
        <v>-0.74210429776642617</v>
      </c>
      <c r="B108">
        <v>-0.16170951310197931</v>
      </c>
      <c r="C108">
        <v>-0.72767501031602999</v>
      </c>
      <c r="D108">
        <v>-0.72378202841115369</v>
      </c>
      <c r="E108">
        <v>-6.1295123351527397E-2</v>
      </c>
      <c r="F108">
        <v>-0.25638771740076538</v>
      </c>
      <c r="G108">
        <v>-0.39620132630739019</v>
      </c>
      <c r="H108">
        <v>-0.68532231542955346</v>
      </c>
      <c r="I108">
        <v>-0.66797953671690125</v>
      </c>
      <c r="J108">
        <v>6.8677940049317349E-2</v>
      </c>
      <c r="M108" s="13">
        <v>0</v>
      </c>
      <c r="O108" s="10">
        <f t="shared" si="3"/>
        <v>1</v>
      </c>
      <c r="P108" s="10">
        <f t="shared" si="4"/>
        <v>0</v>
      </c>
      <c r="R108" s="14">
        <v>0.15980690566922012</v>
      </c>
      <c r="S108" s="14">
        <v>-1.1005113844526893</v>
      </c>
      <c r="T108" s="14">
        <v>-0.49231874517842678</v>
      </c>
      <c r="U108" s="14">
        <v>-0.49537757603622495</v>
      </c>
      <c r="V108" s="14">
        <v>-0.53407353694845316</v>
      </c>
      <c r="W108" s="14">
        <v>-9.3622165038690308E-2</v>
      </c>
      <c r="X108" s="14">
        <v>1.0592293899897012</v>
      </c>
      <c r="Y108" s="14">
        <v>1.033067563295349</v>
      </c>
      <c r="Z108" s="14">
        <v>-0.24635914142170479</v>
      </c>
      <c r="AA108" s="14">
        <v>-0.16793393007811175</v>
      </c>
      <c r="AB108" s="14">
        <v>0.17627207282166341</v>
      </c>
      <c r="AC108" s="14">
        <v>-4.0669655594244847E-2</v>
      </c>
      <c r="AD108" s="14">
        <v>1.077106638046982</v>
      </c>
      <c r="AE108" s="14">
        <v>-0.63755714299950084</v>
      </c>
      <c r="AF108" s="14">
        <v>0.42612632357812286</v>
      </c>
      <c r="AG108" s="14">
        <v>-0.32926129671467297</v>
      </c>
      <c r="AH108" s="14">
        <v>-0.10112829121597389</v>
      </c>
      <c r="AI108" s="14">
        <v>0.28874525241474991</v>
      </c>
      <c r="AJ108" s="14">
        <v>1.5233684725904215</v>
      </c>
      <c r="AK108" s="14">
        <v>-1.1940298503372557</v>
      </c>
      <c r="AM108" s="14">
        <v>-0.11581516992609098</v>
      </c>
      <c r="AN108" s="14">
        <v>0.96176558728444328</v>
      </c>
      <c r="AO108" s="14">
        <v>0.51289619861918168</v>
      </c>
      <c r="AP108" s="14">
        <v>-0.82027847728079828</v>
      </c>
      <c r="AQ108" s="14">
        <v>0.92441695579516792</v>
      </c>
      <c r="AR108" s="14">
        <v>0.53101450538074058</v>
      </c>
      <c r="AS108" s="14">
        <v>-0.96195157439770129</v>
      </c>
      <c r="AT108" s="14">
        <v>-0.98688215055545192</v>
      </c>
      <c r="AU108" s="14">
        <v>-6.6770186592559387E-3</v>
      </c>
      <c r="AV108" s="14">
        <v>0.85619115291481518</v>
      </c>
      <c r="AW108" s="14">
        <v>0.86554618680015227</v>
      </c>
      <c r="AX108" s="14">
        <v>0.44030274235027778</v>
      </c>
      <c r="AY108" s="14">
        <v>-0.89525432711462061</v>
      </c>
      <c r="AZ108" s="14">
        <v>0.96188106194452161</v>
      </c>
      <c r="BA108" s="14">
        <v>-0.60066729439758415</v>
      </c>
      <c r="BB108" s="14">
        <v>0.47858486501970859</v>
      </c>
      <c r="BC108" s="14">
        <v>-0.89458396347459634</v>
      </c>
      <c r="BD108" s="14">
        <v>-0.94221319458879715</v>
      </c>
      <c r="BE108" s="14">
        <v>-0.94931254687122801</v>
      </c>
      <c r="BF108" s="14">
        <v>0.92457126653533395</v>
      </c>
      <c r="BK108" s="16">
        <v>0.37791375241805136</v>
      </c>
      <c r="BL108" s="16">
        <v>5.3806974822465124E-2</v>
      </c>
      <c r="BN108" s="17">
        <f t="shared" si="5"/>
        <v>0</v>
      </c>
    </row>
    <row r="109" spans="1:66" x14ac:dyDescent="0.2">
      <c r="A109">
        <v>-0.53623007657069299</v>
      </c>
      <c r="B109">
        <v>-0.1102170480875025</v>
      </c>
      <c r="C109">
        <v>-0.56830854612487836</v>
      </c>
      <c r="D109">
        <v>-0.56776828981424465</v>
      </c>
      <c r="E109">
        <v>-0.68480687592997791</v>
      </c>
      <c r="F109">
        <v>-0.80524292168366496</v>
      </c>
      <c r="G109">
        <v>-0.79595964893734095</v>
      </c>
      <c r="H109">
        <v>-0.65426582534073519</v>
      </c>
      <c r="I109">
        <v>-0.62830425959087566</v>
      </c>
      <c r="J109">
        <v>-0.49110089135762669</v>
      </c>
      <c r="M109" s="13">
        <v>0</v>
      </c>
      <c r="O109" s="10">
        <f t="shared" si="3"/>
        <v>1</v>
      </c>
      <c r="P109" s="10">
        <f t="shared" si="4"/>
        <v>0</v>
      </c>
      <c r="R109" s="14">
        <v>2.494281174474311E-2</v>
      </c>
      <c r="S109" s="14">
        <v>0.23894936794209332</v>
      </c>
      <c r="T109" s="14">
        <v>0.29922562733381886</v>
      </c>
      <c r="U109" s="14">
        <v>-8.4282777109853158E-2</v>
      </c>
      <c r="V109" s="14">
        <v>1.0403138871137947</v>
      </c>
      <c r="W109" s="14">
        <v>-0.23987990835347348</v>
      </c>
      <c r="X109" s="14">
        <v>-1.4235266939665401</v>
      </c>
      <c r="Y109" s="14">
        <v>0.33886353029816146</v>
      </c>
      <c r="Z109" s="14">
        <v>1.3042546953234004</v>
      </c>
      <c r="AA109" s="14">
        <v>0.72657239434769871</v>
      </c>
      <c r="AB109" s="14">
        <v>-0.22247087463548565</v>
      </c>
      <c r="AC109" s="14">
        <v>0.93633354076396658</v>
      </c>
      <c r="AD109" s="14">
        <v>-0.63251290695992057</v>
      </c>
      <c r="AE109" s="14">
        <v>1.4194936929638464</v>
      </c>
      <c r="AF109" s="14">
        <v>1.4568679131801709E-2</v>
      </c>
      <c r="AG109" s="14">
        <v>-0.44431504907360819</v>
      </c>
      <c r="AH109" s="14">
        <v>-0.55076930631160559</v>
      </c>
      <c r="AI109" s="14">
        <v>-1.0883921740200184</v>
      </c>
      <c r="AJ109" s="14">
        <v>-0.19858933227410741</v>
      </c>
      <c r="AK109" s="14">
        <v>-0.88484651695214223</v>
      </c>
      <c r="AM109" s="14">
        <v>6.0168857933527872E-2</v>
      </c>
      <c r="AN109" s="14">
        <v>-0.46730802204288835</v>
      </c>
      <c r="AO109" s="14">
        <v>-0.24862339707427186</v>
      </c>
      <c r="AP109" s="14">
        <v>3.5811641247778692E-2</v>
      </c>
      <c r="AQ109" s="14">
        <v>-0.28214807936099778</v>
      </c>
      <c r="AR109" s="14">
        <v>-0.10857977687292954</v>
      </c>
      <c r="AS109" s="14">
        <v>0.56878446890788903</v>
      </c>
      <c r="AT109" s="14">
        <v>0.35944421264394572</v>
      </c>
      <c r="AU109" s="14">
        <v>-0.30968492672236025</v>
      </c>
      <c r="AV109" s="14">
        <v>-0.16149435534480527</v>
      </c>
      <c r="AW109" s="14">
        <v>-0.11614239427410457</v>
      </c>
      <c r="AX109" s="14">
        <v>-0.23608506781086261</v>
      </c>
      <c r="AY109" s="14">
        <v>0.48486802313716643</v>
      </c>
      <c r="AZ109" s="14">
        <v>-0.45526127404832256</v>
      </c>
      <c r="BA109" s="14">
        <v>0.16764134585986362</v>
      </c>
      <c r="BB109" s="14">
        <v>0.14871980118462569</v>
      </c>
      <c r="BC109" s="14">
        <v>0.22520569223560732</v>
      </c>
      <c r="BD109" s="14">
        <v>0.44448524473586942</v>
      </c>
      <c r="BE109" s="14">
        <v>0.40246688942487208</v>
      </c>
      <c r="BF109" s="14">
        <v>-0.18776779271893893</v>
      </c>
      <c r="BK109" s="16">
        <v>-0.36116256072578934</v>
      </c>
      <c r="BL109" s="16">
        <v>0.22820218501029391</v>
      </c>
      <c r="BN109" s="17">
        <f t="shared" si="5"/>
        <v>1</v>
      </c>
    </row>
    <row r="110" spans="1:66" x14ac:dyDescent="0.2">
      <c r="A110">
        <v>2.297399829053917</v>
      </c>
      <c r="B110">
        <v>0.16686145413325329</v>
      </c>
      <c r="C110">
        <v>2.494100670714984</v>
      </c>
      <c r="D110">
        <v>2.4324737718012219</v>
      </c>
      <c r="E110">
        <v>3.1928601039655131</v>
      </c>
      <c r="F110">
        <v>4.1535466888207688</v>
      </c>
      <c r="G110">
        <v>3.372619944267178</v>
      </c>
      <c r="H110">
        <v>2.4741579429395921</v>
      </c>
      <c r="I110">
        <v>2.5880500142104572</v>
      </c>
      <c r="J110">
        <v>2.6025082844595611</v>
      </c>
      <c r="M110" s="13">
        <v>1</v>
      </c>
      <c r="O110" s="10">
        <f t="shared" si="3"/>
        <v>0</v>
      </c>
      <c r="P110" s="10">
        <f t="shared" si="4"/>
        <v>1</v>
      </c>
      <c r="R110" s="14">
        <v>1.0697354974707061</v>
      </c>
      <c r="S110" s="14">
        <v>-0.44987025110769618</v>
      </c>
      <c r="T110" s="14">
        <v>-0.76719580162665535</v>
      </c>
      <c r="U110" s="14">
        <v>-1.5621205746873992</v>
      </c>
      <c r="V110" s="14">
        <v>-0.11614705760250044</v>
      </c>
      <c r="W110" s="14">
        <v>-0.40243743966504536</v>
      </c>
      <c r="X110" s="14">
        <v>0.99581980166118911</v>
      </c>
      <c r="Y110" s="14">
        <v>0.86218861497659893</v>
      </c>
      <c r="Z110" s="14">
        <v>0.59380604339869003</v>
      </c>
      <c r="AA110" s="14">
        <v>-5.2714965838669636E-2</v>
      </c>
      <c r="AB110" s="14">
        <v>0.77529967534322985</v>
      </c>
      <c r="AC110" s="14">
        <v>1.34996020386369</v>
      </c>
      <c r="AD110" s="14">
        <v>1.1092954641454931</v>
      </c>
      <c r="AE110" s="14">
        <v>1.0063738787458432</v>
      </c>
      <c r="AF110" s="14">
        <v>0.15301184919306104</v>
      </c>
      <c r="AG110" s="14">
        <v>-0.61897702743556815</v>
      </c>
      <c r="AH110" s="14">
        <v>-0.62543074391385489</v>
      </c>
      <c r="AI110" s="14">
        <v>0.28453738817561691</v>
      </c>
      <c r="AJ110" s="14">
        <v>1.566016149773612</v>
      </c>
      <c r="AK110" s="14">
        <v>-1.3679335800222798</v>
      </c>
      <c r="AM110" s="14">
        <v>-0.56121910967840016</v>
      </c>
      <c r="AN110" s="14">
        <v>-0.48212740105496149</v>
      </c>
      <c r="AO110" s="14">
        <v>-0.39155528809058832</v>
      </c>
      <c r="AP110" s="14">
        <v>-6.5668628216589808E-2</v>
      </c>
      <c r="AQ110" s="14">
        <v>-0.41694191407616094</v>
      </c>
      <c r="AR110" s="14">
        <v>0.39147164153298025</v>
      </c>
      <c r="AS110" s="14">
        <v>0.58354499998481479</v>
      </c>
      <c r="AT110" s="14">
        <v>0.224438740980341</v>
      </c>
      <c r="AU110" s="14">
        <v>-0.53900910955083858</v>
      </c>
      <c r="AV110" s="14">
        <v>-0.35918850492525606</v>
      </c>
      <c r="AW110" s="14">
        <v>7.5087298422490983E-2</v>
      </c>
      <c r="AX110" s="14">
        <v>-0.56280589492410593</v>
      </c>
      <c r="AY110" s="14">
        <v>0.40313910628135746</v>
      </c>
      <c r="AZ110" s="14">
        <v>-0.62785644812115782</v>
      </c>
      <c r="BA110" s="14">
        <v>-0.23092173864313673</v>
      </c>
      <c r="BB110" s="14">
        <v>0.14321280812425585</v>
      </c>
      <c r="BC110" s="14">
        <v>0.18754745122030911</v>
      </c>
      <c r="BD110" s="14">
        <v>0.40317793667688473</v>
      </c>
      <c r="BE110" s="14">
        <v>0.39295442405338415</v>
      </c>
      <c r="BF110" s="14">
        <v>0.36873217896647659</v>
      </c>
      <c r="BK110" s="16">
        <v>0.17464053917539754</v>
      </c>
      <c r="BL110" s="16">
        <v>4.7530848627697395E-2</v>
      </c>
      <c r="BN110" s="17">
        <f t="shared" si="5"/>
        <v>0</v>
      </c>
    </row>
    <row r="111" spans="1:66" x14ac:dyDescent="0.2">
      <c r="A111">
        <v>-0.82788522326464864</v>
      </c>
      <c r="B111">
        <v>0.55673297495714769</v>
      </c>
      <c r="C111">
        <v>-0.83931453861660221</v>
      </c>
      <c r="D111">
        <v>-0.76983774460212318</v>
      </c>
      <c r="E111">
        <v>-0.72940980308909209</v>
      </c>
      <c r="F111">
        <v>-0.4965351153442884</v>
      </c>
      <c r="G111">
        <v>-0.80158284784901546</v>
      </c>
      <c r="H111">
        <v>-0.71223794017319642</v>
      </c>
      <c r="I111">
        <v>-0.67435592054072679</v>
      </c>
      <c r="J111">
        <v>-0.51566047625616551</v>
      </c>
      <c r="M111" s="13">
        <v>0</v>
      </c>
      <c r="O111" s="10">
        <f t="shared" si="3"/>
        <v>1</v>
      </c>
      <c r="P111" s="10">
        <f t="shared" si="4"/>
        <v>0</v>
      </c>
      <c r="R111" s="14">
        <v>0.5122203451304983</v>
      </c>
      <c r="S111" s="14">
        <v>1.035415294053714</v>
      </c>
      <c r="T111" s="14">
        <v>0.25249000803216226</v>
      </c>
      <c r="U111" s="14">
        <v>-0.84634293947021799</v>
      </c>
      <c r="V111" s="14">
        <v>1.4754741431789058</v>
      </c>
      <c r="W111" s="14">
        <v>-0.86329578581645161</v>
      </c>
      <c r="X111" s="14">
        <v>-1.4658580849816043</v>
      </c>
      <c r="Y111" s="14">
        <v>-1.0369904822282034</v>
      </c>
      <c r="Z111" s="14">
        <v>1.2774691892780341</v>
      </c>
      <c r="AA111" s="14">
        <v>1.2124927233977865</v>
      </c>
      <c r="AB111" s="14">
        <v>1.2277394163020294</v>
      </c>
      <c r="AC111" s="14">
        <v>1.0506441817121264</v>
      </c>
      <c r="AD111" s="14">
        <v>-0.80079662042859789</v>
      </c>
      <c r="AE111" s="14">
        <v>1.6894055820139542</v>
      </c>
      <c r="AF111" s="14">
        <v>0.23342407549607325</v>
      </c>
      <c r="AG111" s="14">
        <v>0.17091321543880267</v>
      </c>
      <c r="AH111" s="14">
        <v>-1.2397808388372704</v>
      </c>
      <c r="AI111" s="14">
        <v>-1.6021284536067268</v>
      </c>
      <c r="AJ111" s="14">
        <v>-0.55429461881589637</v>
      </c>
      <c r="AK111" s="14">
        <v>-0.65906198171218588</v>
      </c>
      <c r="AM111" s="14">
        <v>0.53884391532119824</v>
      </c>
      <c r="AN111" s="14">
        <v>0.63576643006022815</v>
      </c>
      <c r="AO111" s="14">
        <v>1.0120153216243691E-2</v>
      </c>
      <c r="AP111" s="14">
        <v>-0.21367619044304567</v>
      </c>
      <c r="AQ111" s="14">
        <v>4.3780461961048182E-3</v>
      </c>
      <c r="AR111" s="14">
        <v>-0.17117268250761283</v>
      </c>
      <c r="AS111" s="14">
        <v>-0.60197970832117476</v>
      </c>
      <c r="AT111" s="14">
        <v>-0.72799864340144871</v>
      </c>
      <c r="AU111" s="14">
        <v>-2.3052947943669001E-2</v>
      </c>
      <c r="AV111" s="14">
        <v>0.37945875890793773</v>
      </c>
      <c r="AW111" s="14">
        <v>0.71430300419034654</v>
      </c>
      <c r="AX111" s="14">
        <v>0.11811307670125029</v>
      </c>
      <c r="AY111" s="14">
        <v>-0.40896681274006474</v>
      </c>
      <c r="AZ111" s="14">
        <v>0.66912236823233506</v>
      </c>
      <c r="BA111" s="14">
        <v>0.12421190463152958</v>
      </c>
      <c r="BB111" s="14">
        <v>-0.34905214476296959</v>
      </c>
      <c r="BC111" s="14">
        <v>-0.41425085382889959</v>
      </c>
      <c r="BD111" s="14">
        <v>-0.55509557577743196</v>
      </c>
      <c r="BE111" s="14">
        <v>-0.39165193244114088</v>
      </c>
      <c r="BF111" s="14">
        <v>-0.1013069492201321</v>
      </c>
      <c r="BK111" s="16">
        <v>0.58991604146429255</v>
      </c>
      <c r="BL111" s="16">
        <v>-0.10572664246899671</v>
      </c>
      <c r="BN111" s="17">
        <f t="shared" si="5"/>
        <v>0</v>
      </c>
    </row>
    <row r="112" spans="1:66" x14ac:dyDescent="0.2">
      <c r="A112">
        <v>-1.2748038451103869</v>
      </c>
      <c r="B112">
        <v>-0.49028048033721111</v>
      </c>
      <c r="C112">
        <v>-1.253501338780064</v>
      </c>
      <c r="D112">
        <v>-1.0758204090458769</v>
      </c>
      <c r="E112">
        <v>-0.38949832903067588</v>
      </c>
      <c r="F112">
        <v>-0.59559436725800807</v>
      </c>
      <c r="G112">
        <v>-0.83251044186322509</v>
      </c>
      <c r="H112">
        <v>-1.1180427440004259</v>
      </c>
      <c r="I112">
        <v>-0.94198691936851553</v>
      </c>
      <c r="J112">
        <v>-0.95653497589823167</v>
      </c>
      <c r="M112" s="13">
        <v>0</v>
      </c>
      <c r="O112" s="10">
        <f t="shared" si="3"/>
        <v>1</v>
      </c>
      <c r="P112" s="10">
        <f t="shared" si="4"/>
        <v>0</v>
      </c>
      <c r="R112" s="14">
        <v>0.14697757595753069</v>
      </c>
      <c r="S112" s="14">
        <v>1.0359333660920933</v>
      </c>
      <c r="T112" s="14">
        <v>0.39555151396413624</v>
      </c>
      <c r="U112" s="14">
        <v>-1.4930210744283787</v>
      </c>
      <c r="V112" s="14">
        <v>1.5049129248859416</v>
      </c>
      <c r="W112" s="14">
        <v>0.68978347808995455</v>
      </c>
      <c r="X112" s="14">
        <v>-1.4659127704077215</v>
      </c>
      <c r="Y112" s="14">
        <v>-1.1225709933994685</v>
      </c>
      <c r="Z112" s="14">
        <v>-1.7929812335415463E-3</v>
      </c>
      <c r="AA112" s="14">
        <v>1.2163598562788085</v>
      </c>
      <c r="AB112" s="14">
        <v>1.7032823583519867</v>
      </c>
      <c r="AC112" s="14">
        <v>1.0422835776736881</v>
      </c>
      <c r="AD112" s="14">
        <v>-0.81580829054231629</v>
      </c>
      <c r="AE112" s="14">
        <v>1.6894094597935676</v>
      </c>
      <c r="AF112" s="14">
        <v>-0.47789464363384626</v>
      </c>
      <c r="AG112" s="14">
        <v>0.2800173831578906</v>
      </c>
      <c r="AH112" s="14">
        <v>-1.4382892614795861</v>
      </c>
      <c r="AI112" s="14">
        <v>-1.6036296058188344</v>
      </c>
      <c r="AJ112" s="14">
        <v>-0.55690771178498677</v>
      </c>
      <c r="AK112" s="14">
        <v>0.40006594959858222</v>
      </c>
      <c r="AM112" s="14">
        <v>0.33220564957707194</v>
      </c>
      <c r="AN112" s="14">
        <v>0.98416231308172908</v>
      </c>
      <c r="AO112" s="14">
        <v>0.74499446764395383</v>
      </c>
      <c r="AP112" s="14">
        <v>-0.14520274989360404</v>
      </c>
      <c r="AQ112" s="14">
        <v>0.9750373396444113</v>
      </c>
      <c r="AR112" s="14">
        <v>-2.2616873495952816E-2</v>
      </c>
      <c r="AS112" s="14">
        <v>-0.99294316896966206</v>
      </c>
      <c r="AT112" s="14">
        <v>-0.96279230007097261</v>
      </c>
      <c r="AU112" s="14">
        <v>0.90996635943692417</v>
      </c>
      <c r="AV112" s="14">
        <v>0.92543960441345985</v>
      </c>
      <c r="AW112" s="14">
        <v>0.21488520858056789</v>
      </c>
      <c r="AX112" s="14">
        <v>0.79466939939826164</v>
      </c>
      <c r="AY112" s="14">
        <v>-0.96688275720816663</v>
      </c>
      <c r="AZ112" s="14">
        <v>0.98928755086854847</v>
      </c>
      <c r="BA112" s="14">
        <v>-0.27568273147889727</v>
      </c>
      <c r="BB112" s="14">
        <v>0.56095894029361015</v>
      </c>
      <c r="BC112" s="14">
        <v>-0.8810528321131379</v>
      </c>
      <c r="BD112" s="14">
        <v>-0.97033087052611466</v>
      </c>
      <c r="BE112" s="14">
        <v>-0.98078865515903768</v>
      </c>
      <c r="BF112" s="14">
        <v>0.80834375197057473</v>
      </c>
      <c r="BK112" s="16">
        <v>-0.4604742328532524</v>
      </c>
      <c r="BL112" s="16">
        <v>0.53912192738919051</v>
      </c>
      <c r="BN112" s="17">
        <f t="shared" si="5"/>
        <v>1</v>
      </c>
    </row>
    <row r="113" spans="1:66" x14ac:dyDescent="0.2">
      <c r="A113">
        <v>-0.45902724362229252</v>
      </c>
      <c r="B113">
        <v>0.43413186777982238</v>
      </c>
      <c r="C113">
        <v>-0.4379932603019055</v>
      </c>
      <c r="D113">
        <v>-0.52833308282572711</v>
      </c>
      <c r="E113">
        <v>0.29552829392138608</v>
      </c>
      <c r="F113">
        <v>0.1874572411112698</v>
      </c>
      <c r="G113">
        <v>0.25200014823836131</v>
      </c>
      <c r="H113">
        <v>-0.64598409465038342</v>
      </c>
      <c r="I113">
        <v>-0.65788359566251098</v>
      </c>
      <c r="J113">
        <v>-0.1005435900442746</v>
      </c>
      <c r="M113" s="13">
        <v>0</v>
      </c>
      <c r="O113" s="10">
        <f t="shared" si="3"/>
        <v>1</v>
      </c>
      <c r="P113" s="10">
        <f t="shared" si="4"/>
        <v>0</v>
      </c>
      <c r="R113" s="14">
        <v>-3.3120019170109594E-2</v>
      </c>
      <c r="S113" s="14">
        <v>-1.0229038714955285</v>
      </c>
      <c r="T113" s="14">
        <v>-0.60925438609296734</v>
      </c>
      <c r="U113" s="14">
        <v>-0.50873856649543248</v>
      </c>
      <c r="V113" s="14">
        <v>-0.26194420371909399</v>
      </c>
      <c r="W113" s="14">
        <v>1.9046706950088144E-2</v>
      </c>
      <c r="X113" s="14">
        <v>1.0534342175579237</v>
      </c>
      <c r="Y113" s="14">
        <v>0.74052491922427088</v>
      </c>
      <c r="Z113" s="14">
        <v>-0.38745270031962531</v>
      </c>
      <c r="AA113" s="14">
        <v>0.13353697732722003</v>
      </c>
      <c r="AB113" s="14">
        <v>0.16532480377954079</v>
      </c>
      <c r="AC113" s="14">
        <v>-0.23381029934620456</v>
      </c>
      <c r="AD113" s="14">
        <v>1.0615088420510193</v>
      </c>
      <c r="AE113" s="14">
        <v>-0.60033739793489538</v>
      </c>
      <c r="AF113" s="14">
        <v>0.27143251289775144</v>
      </c>
      <c r="AG113" s="14">
        <v>0.19615333506460947</v>
      </c>
      <c r="AH113" s="14">
        <v>-0.28550927940221965</v>
      </c>
      <c r="AI113" s="14">
        <v>0.23631716851002327</v>
      </c>
      <c r="AJ113" s="14">
        <v>1.3861841217573472</v>
      </c>
      <c r="AK113" s="14">
        <v>-0.87089247916111046</v>
      </c>
      <c r="AM113" s="14">
        <v>1.4427465009965036E-2</v>
      </c>
      <c r="AN113" s="14">
        <v>0.79047010504207249</v>
      </c>
      <c r="AO113" s="14">
        <v>0.24766155142602764</v>
      </c>
      <c r="AP113" s="14">
        <v>-0.22425745380401346</v>
      </c>
      <c r="AQ113" s="14">
        <v>0.85122043512493295</v>
      </c>
      <c r="AR113" s="14">
        <v>0.78142097198518179</v>
      </c>
      <c r="AS113" s="14">
        <v>-0.86437520007283475</v>
      </c>
      <c r="AT113" s="14">
        <v>-0.89843028054287188</v>
      </c>
      <c r="AU113" s="14">
        <v>0.46139424031726856</v>
      </c>
      <c r="AV113" s="14">
        <v>0.70593395595408992</v>
      </c>
      <c r="AW113" s="14">
        <v>0.28710759515777068</v>
      </c>
      <c r="AX113" s="14">
        <v>0.4991491711452295</v>
      </c>
      <c r="AY113" s="14">
        <v>-0.71988408174876295</v>
      </c>
      <c r="AZ113" s="14">
        <v>0.78458714632805782</v>
      </c>
      <c r="BA113" s="14">
        <v>-0.72866386350152379</v>
      </c>
      <c r="BB113" s="14">
        <v>0.25639439555195032</v>
      </c>
      <c r="BC113" s="14">
        <v>-0.69424733519960125</v>
      </c>
      <c r="BD113" s="14">
        <v>-0.58622790335888419</v>
      </c>
      <c r="BE113" s="14">
        <v>-0.72921286195359813</v>
      </c>
      <c r="BF113" s="14">
        <v>0.74614424374721933</v>
      </c>
      <c r="BK113" s="16">
        <v>-0.25304263739261845</v>
      </c>
      <c r="BL113" s="16">
        <v>0.73227158788663926</v>
      </c>
      <c r="BN113" s="17">
        <f t="shared" si="5"/>
        <v>1</v>
      </c>
    </row>
    <row r="114" spans="1:66" x14ac:dyDescent="0.2">
      <c r="A114">
        <v>7.0491182513816707E-3</v>
      </c>
      <c r="B114">
        <v>0.1619574098461595</v>
      </c>
      <c r="C114">
        <v>0.2127531351452962</v>
      </c>
      <c r="D114">
        <v>-9.7999984666356177E-2</v>
      </c>
      <c r="E114">
        <v>2.1985865193769252</v>
      </c>
      <c r="F114">
        <v>2.5901710109334051</v>
      </c>
      <c r="G114">
        <v>0.70620126033134234</v>
      </c>
      <c r="H114">
        <v>-0.23810885815056559</v>
      </c>
      <c r="I114">
        <v>-0.33623045610508923</v>
      </c>
      <c r="J114">
        <v>0.49847067577374982</v>
      </c>
      <c r="M114" s="13">
        <v>0</v>
      </c>
      <c r="O114" s="10">
        <f t="shared" si="3"/>
        <v>1</v>
      </c>
      <c r="P114" s="10">
        <f t="shared" si="4"/>
        <v>0</v>
      </c>
      <c r="R114" s="14">
        <v>-0.73192350388582028</v>
      </c>
      <c r="S114" s="14">
        <v>-1.0458166882367459</v>
      </c>
      <c r="T114" s="14">
        <v>-0.72551497282624788</v>
      </c>
      <c r="U114" s="14">
        <v>-0.68109888486364711</v>
      </c>
      <c r="V114" s="14">
        <v>-0.44514735686072848</v>
      </c>
      <c r="W114" s="14">
        <v>0.85459236170001029</v>
      </c>
      <c r="X114" s="14">
        <v>1.0609528627885467</v>
      </c>
      <c r="Y114" s="14">
        <v>0.52678418563443019</v>
      </c>
      <c r="Z114" s="14">
        <v>-0.79838883683960005</v>
      </c>
      <c r="AA114" s="14">
        <v>-0.15036841066707185</v>
      </c>
      <c r="AB114" s="14">
        <v>0.50912580861489498</v>
      </c>
      <c r="AC114" s="14">
        <v>-0.37734878263808291</v>
      </c>
      <c r="AD114" s="14">
        <v>0.98593869951792523</v>
      </c>
      <c r="AE114" s="14">
        <v>-0.65847901571327694</v>
      </c>
      <c r="AF114" s="14">
        <v>-0.18612480096635431</v>
      </c>
      <c r="AG114" s="14">
        <v>0.23010934955935661</v>
      </c>
      <c r="AH114" s="14">
        <v>-0.35037026458432063</v>
      </c>
      <c r="AI114" s="14">
        <v>0.19017844348002255</v>
      </c>
      <c r="AJ114" s="14">
        <v>1.38442004720598</v>
      </c>
      <c r="AK114" s="14">
        <v>-0.12673603814923551</v>
      </c>
      <c r="AM114" s="14">
        <v>0.10879374660091244</v>
      </c>
      <c r="AN114" s="14">
        <v>-0.56061770134031874</v>
      </c>
      <c r="AO114" s="14">
        <v>-0.22287763719082054</v>
      </c>
      <c r="AP114" s="14">
        <v>-0.11166102797581692</v>
      </c>
      <c r="AQ114" s="14">
        <v>-0.52785839726219241</v>
      </c>
      <c r="AR114" s="14">
        <v>-0.29064415775625202</v>
      </c>
      <c r="AS114" s="14">
        <v>0.61985956837501643</v>
      </c>
      <c r="AT114" s="14">
        <v>0.52231482875402779</v>
      </c>
      <c r="AU114" s="14">
        <v>-0.24258277841504045</v>
      </c>
      <c r="AV114" s="14">
        <v>-0.42791198426384058</v>
      </c>
      <c r="AW114" s="14">
        <v>5.3654166654241095E-3</v>
      </c>
      <c r="AX114" s="14">
        <v>-0.17012890254718613</v>
      </c>
      <c r="AY114" s="14">
        <v>0.5107103140594037</v>
      </c>
      <c r="AZ114" s="14">
        <v>-0.54405806352546715</v>
      </c>
      <c r="BA114" s="14">
        <v>0.22922199678802069</v>
      </c>
      <c r="BB114" s="14">
        <v>-0.2225605554120291</v>
      </c>
      <c r="BC114" s="14">
        <v>0.36140064377363773</v>
      </c>
      <c r="BD114" s="14">
        <v>0.48032995093480657</v>
      </c>
      <c r="BE114" s="14">
        <v>0.54077722933981143</v>
      </c>
      <c r="BF114" s="14">
        <v>-0.40336787064484125</v>
      </c>
      <c r="BK114" s="16">
        <v>0.67442030704397771</v>
      </c>
      <c r="BL114" s="16">
        <v>-0.30258266257168331</v>
      </c>
      <c r="BN114" s="17">
        <f t="shared" si="5"/>
        <v>0</v>
      </c>
    </row>
    <row r="115" spans="1:66" x14ac:dyDescent="0.2">
      <c r="A115">
        <v>-1.0652124504763969</v>
      </c>
      <c r="B115">
        <v>0.29436660559767153</v>
      </c>
      <c r="C115">
        <v>-0.99868100280775385</v>
      </c>
      <c r="D115">
        <v>-0.94916718952071055</v>
      </c>
      <c r="E115">
        <v>0.47022309196125012</v>
      </c>
      <c r="F115">
        <v>-0.33003126638293001</v>
      </c>
      <c r="G115">
        <v>-0.502786505678675</v>
      </c>
      <c r="H115">
        <v>-1.0952679846019591</v>
      </c>
      <c r="I115">
        <v>-0.92887990817509636</v>
      </c>
      <c r="J115">
        <v>-0.83643261560171778</v>
      </c>
      <c r="M115" s="13">
        <v>0</v>
      </c>
      <c r="O115" s="10">
        <f t="shared" si="3"/>
        <v>1</v>
      </c>
      <c r="P115" s="10">
        <f t="shared" si="4"/>
        <v>0</v>
      </c>
      <c r="R115" s="14">
        <v>1.0116043680695019</v>
      </c>
      <c r="S115" s="14">
        <v>0.74544980058318588</v>
      </c>
      <c r="T115" s="14">
        <v>-8.2585625245740202E-5</v>
      </c>
      <c r="U115" s="14">
        <v>-1.0705199176366931</v>
      </c>
      <c r="V115" s="14">
        <v>-0.39692035954001659</v>
      </c>
      <c r="W115" s="14">
        <v>0.51186740417526955</v>
      </c>
      <c r="X115" s="14">
        <v>6.6032397814415444E-2</v>
      </c>
      <c r="Y115" s="14">
        <v>-0.55732764697985893</v>
      </c>
      <c r="Z115" s="14">
        <v>-0.96291696252525238</v>
      </c>
      <c r="AA115" s="14">
        <v>1.251699464171141</v>
      </c>
      <c r="AB115" s="14">
        <v>0.78008129181203201</v>
      </c>
      <c r="AC115" s="14">
        <v>0.57781723508061467</v>
      </c>
      <c r="AD115" s="14">
        <v>0.2440231556918383</v>
      </c>
      <c r="AE115" s="14">
        <v>1.2085119333294196</v>
      </c>
      <c r="AF115" s="14">
        <v>0.75525268857622796</v>
      </c>
      <c r="AG115" s="14">
        <v>-0.28636876296392333</v>
      </c>
      <c r="AH115" s="14">
        <v>-1.1302440268524525</v>
      </c>
      <c r="AI115" s="14">
        <v>-1.4149779275560916</v>
      </c>
      <c r="AJ115" s="14">
        <v>0.86777940665454767</v>
      </c>
      <c r="AK115" s="14">
        <v>-0.85748190155720527</v>
      </c>
      <c r="AM115" s="14">
        <v>0.36632799556273865</v>
      </c>
      <c r="AN115" s="14">
        <v>0.55931882192030979</v>
      </c>
      <c r="AO115" s="14">
        <v>0.50300890653764996</v>
      </c>
      <c r="AP115" s="14">
        <v>0.17085712291208488</v>
      </c>
      <c r="AQ115" s="14">
        <v>0.71038802563683956</v>
      </c>
      <c r="AR115" s="14">
        <v>-0.57520408607083018</v>
      </c>
      <c r="AS115" s="14">
        <v>-0.82477934862716917</v>
      </c>
      <c r="AT115" s="14">
        <v>-4.4413895562759188E-2</v>
      </c>
      <c r="AU115" s="14">
        <v>0.88256169322023958</v>
      </c>
      <c r="AV115" s="14">
        <v>0.36399932011690245</v>
      </c>
      <c r="AW115" s="14">
        <v>-0.30692762958227443</v>
      </c>
      <c r="AX115" s="14">
        <v>0.71340020323874653</v>
      </c>
      <c r="AY115" s="14">
        <v>-0.62159338687051713</v>
      </c>
      <c r="AZ115" s="14">
        <v>0.75290245533167066</v>
      </c>
      <c r="BA115" s="14">
        <v>0.25267540563825597</v>
      </c>
      <c r="BB115" s="14">
        <v>-0.14988443134908649</v>
      </c>
      <c r="BC115" s="14">
        <v>-0.22450857415343659</v>
      </c>
      <c r="BD115" s="14">
        <v>-0.50969498734203367</v>
      </c>
      <c r="BE115" s="14">
        <v>-0.63185113123567216</v>
      </c>
      <c r="BF115" s="14">
        <v>-0.20835322067366849</v>
      </c>
      <c r="BK115" s="16">
        <v>0.57114841823096829</v>
      </c>
      <c r="BL115" s="16">
        <v>-0.43083714043725296</v>
      </c>
      <c r="BN115" s="17">
        <f t="shared" si="5"/>
        <v>0</v>
      </c>
    </row>
    <row r="116" spans="1:66" x14ac:dyDescent="0.2">
      <c r="A116">
        <v>-1.575323020772492</v>
      </c>
      <c r="B116">
        <v>-0.77471504898860533</v>
      </c>
      <c r="C116">
        <v>-1.5299025501115919</v>
      </c>
      <c r="D116">
        <v>-1.2465144071786569</v>
      </c>
      <c r="E116">
        <v>-0.42722497158609352</v>
      </c>
      <c r="F116">
        <v>-0.62063813307349158</v>
      </c>
      <c r="G116">
        <v>-0.79519284908574905</v>
      </c>
      <c r="H116">
        <v>-1.412458270042426</v>
      </c>
      <c r="I116">
        <v>-1.088289503770735</v>
      </c>
      <c r="J116">
        <v>-0.18290805159425311</v>
      </c>
      <c r="M116" s="13">
        <v>0</v>
      </c>
      <c r="O116" s="10">
        <f t="shared" si="3"/>
        <v>1</v>
      </c>
      <c r="P116" s="10">
        <f t="shared" si="4"/>
        <v>0</v>
      </c>
      <c r="R116" s="14">
        <v>0.49390924988756235</v>
      </c>
      <c r="S116" s="14">
        <v>1.0359333607992016</v>
      </c>
      <c r="T116" s="14">
        <v>0.44999062924331346</v>
      </c>
      <c r="U116" s="14">
        <v>-0.99415977936253375</v>
      </c>
      <c r="V116" s="14">
        <v>1.5052087294783991</v>
      </c>
      <c r="W116" s="14">
        <v>0.58488831125240348</v>
      </c>
      <c r="X116" s="14">
        <v>-1.4659127711481597</v>
      </c>
      <c r="Y116" s="14">
        <v>-1.1188747572179949</v>
      </c>
      <c r="Z116" s="14">
        <v>1.6012657432265285</v>
      </c>
      <c r="AA116" s="14">
        <v>1.2163823631150834</v>
      </c>
      <c r="AB116" s="14">
        <v>-0.28611850757539525</v>
      </c>
      <c r="AC116" s="14">
        <v>1.065197396981689</v>
      </c>
      <c r="AD116" s="14">
        <v>-0.81583608092293325</v>
      </c>
      <c r="AE116" s="14">
        <v>1.6894094608410295</v>
      </c>
      <c r="AF116" s="14">
        <v>0.23692561386162225</v>
      </c>
      <c r="AG116" s="14">
        <v>0.28927728738708003</v>
      </c>
      <c r="AH116" s="14">
        <v>-1.4332968493580018</v>
      </c>
      <c r="AI116" s="14">
        <v>-1.6036295715221529</v>
      </c>
      <c r="AJ116" s="14">
        <v>-0.556908226714383</v>
      </c>
      <c r="AK116" s="14">
        <v>0.32787050777277549</v>
      </c>
      <c r="AM116" s="14">
        <v>-0.3341693132448576</v>
      </c>
      <c r="AN116" s="14">
        <v>0.16167579368460658</v>
      </c>
      <c r="AO116" s="14">
        <v>0.2085660650925058</v>
      </c>
      <c r="AP116" s="14">
        <v>9.290401927920354E-2</v>
      </c>
      <c r="AQ116" s="14">
        <v>0.19948866880060873</v>
      </c>
      <c r="AR116" s="14">
        <v>0.35118424108200758</v>
      </c>
      <c r="AS116" s="14">
        <v>-0.2233463664967564</v>
      </c>
      <c r="AT116" s="14">
        <v>-0.16723427510146829</v>
      </c>
      <c r="AU116" s="14">
        <v>-9.7491093591639821E-2</v>
      </c>
      <c r="AV116" s="14">
        <v>8.0174808213620719E-2</v>
      </c>
      <c r="AW116" s="14">
        <v>-0.2650626579635903</v>
      </c>
      <c r="AX116" s="14">
        <v>-5.3744071294942256E-2</v>
      </c>
      <c r="AY116" s="14">
        <v>-0.25797576422706281</v>
      </c>
      <c r="AZ116" s="14">
        <v>7.3964639696968273E-2</v>
      </c>
      <c r="BA116" s="14">
        <v>-0.28061775068363137</v>
      </c>
      <c r="BB116" s="14">
        <v>7.8773363059032611E-2</v>
      </c>
      <c r="BC116" s="14">
        <v>-0.13075636281524722</v>
      </c>
      <c r="BD116" s="14">
        <v>-0.17088416570199613</v>
      </c>
      <c r="BE116" s="14">
        <v>-0.22369287755699854</v>
      </c>
      <c r="BF116" s="14">
        <v>0.23256786206433441</v>
      </c>
      <c r="BK116" s="16">
        <v>0.7519726492931218</v>
      </c>
      <c r="BL116" s="16">
        <v>-0.22641867576492689</v>
      </c>
      <c r="BN116" s="17">
        <f t="shared" si="5"/>
        <v>0</v>
      </c>
    </row>
    <row r="117" spans="1:66" x14ac:dyDescent="0.2">
      <c r="A117">
        <v>-0.65918273645147818</v>
      </c>
      <c r="B117">
        <v>0.6229375728329033</v>
      </c>
      <c r="C117">
        <v>-0.67123272091499719</v>
      </c>
      <c r="D117">
        <v>-0.64865364137463466</v>
      </c>
      <c r="E117">
        <v>-0.49264259808612748</v>
      </c>
      <c r="F117">
        <v>-0.72031728018066377</v>
      </c>
      <c r="G117">
        <v>-0.77372245324117361</v>
      </c>
      <c r="H117">
        <v>-0.57558938378239455</v>
      </c>
      <c r="I117">
        <v>-0.55940388993898316</v>
      </c>
      <c r="J117">
        <v>-0.67005640327076132</v>
      </c>
      <c r="M117" s="13">
        <v>0</v>
      </c>
      <c r="O117" s="10">
        <f t="shared" si="3"/>
        <v>1</v>
      </c>
      <c r="P117" s="10">
        <f t="shared" si="4"/>
        <v>0</v>
      </c>
      <c r="R117" s="14">
        <v>0.13140071242749252</v>
      </c>
      <c r="S117" s="14">
        <v>1.0358769180267045</v>
      </c>
      <c r="T117" s="14">
        <v>0.31523489819815698</v>
      </c>
      <c r="U117" s="14">
        <v>-0.81929037801050686</v>
      </c>
      <c r="V117" s="14">
        <v>1.503360680466991</v>
      </c>
      <c r="W117" s="14">
        <v>0.72317476774059775</v>
      </c>
      <c r="X117" s="14">
        <v>-1.4659106573998364</v>
      </c>
      <c r="Y117" s="14">
        <v>-1.1072803648121663</v>
      </c>
      <c r="Z117" s="14">
        <v>1.1446796986575469</v>
      </c>
      <c r="AA117" s="14">
        <v>1.215672072701814</v>
      </c>
      <c r="AB117" s="14">
        <v>-7.8614245156950258E-2</v>
      </c>
      <c r="AC117" s="14">
        <v>1.0447482608137899</v>
      </c>
      <c r="AD117" s="14">
        <v>-0.81469436816669816</v>
      </c>
      <c r="AE117" s="14">
        <v>1.6893102867586605</v>
      </c>
      <c r="AF117" s="14">
        <v>-1.1671487944415122</v>
      </c>
      <c r="AG117" s="14">
        <v>0.22152266690291955</v>
      </c>
      <c r="AH117" s="14">
        <v>-1.3843253780701661</v>
      </c>
      <c r="AI117" s="14">
        <v>-1.5993037319848014</v>
      </c>
      <c r="AJ117" s="14">
        <v>-0.55242087361880698</v>
      </c>
      <c r="AK117" s="14">
        <v>0.29034084636795165</v>
      </c>
      <c r="AM117" s="14">
        <v>-0.30321070729744587</v>
      </c>
      <c r="AN117" s="14">
        <v>0.91149254919761247</v>
      </c>
      <c r="AO117" s="14">
        <v>0.69214721527767509</v>
      </c>
      <c r="AP117" s="14">
        <v>0.70642510674799053</v>
      </c>
      <c r="AQ117" s="14">
        <v>0.90678724971063762</v>
      </c>
      <c r="AR117" s="14">
        <v>-0.27258984780091255</v>
      </c>
      <c r="AS117" s="14">
        <v>-0.98009532514732089</v>
      </c>
      <c r="AT117" s="14">
        <v>-0.62660743404655972</v>
      </c>
      <c r="AU117" s="14">
        <v>0.91306530000550579</v>
      </c>
      <c r="AV117" s="14">
        <v>0.75223399361902588</v>
      </c>
      <c r="AW117" s="14">
        <v>-0.56613420321478503</v>
      </c>
      <c r="AX117" s="14">
        <v>0.49059414538286811</v>
      </c>
      <c r="AY117" s="14">
        <v>-0.93403700764241837</v>
      </c>
      <c r="AZ117" s="14">
        <v>0.93945156694140375</v>
      </c>
      <c r="BA117" s="14">
        <v>5.2075894120711057E-2</v>
      </c>
      <c r="BB117" s="14">
        <v>0.29093517274252195</v>
      </c>
      <c r="BC117" s="14">
        <v>-0.62979583892759095</v>
      </c>
      <c r="BD117" s="14">
        <v>-0.89862266186186979</v>
      </c>
      <c r="BE117" s="14">
        <v>-0.94908975422456565</v>
      </c>
      <c r="BF117" s="14">
        <v>0.46657239790012361</v>
      </c>
      <c r="BK117" s="16">
        <v>-0.1740305420541329</v>
      </c>
      <c r="BL117" s="16">
        <v>0.1329267771676596</v>
      </c>
      <c r="BN117" s="17">
        <f t="shared" si="5"/>
        <v>1</v>
      </c>
    </row>
    <row r="118" spans="1:66" x14ac:dyDescent="0.2">
      <c r="A118">
        <v>-1.511273263067153</v>
      </c>
      <c r="B118">
        <v>-0.79187920399343092</v>
      </c>
      <c r="C118">
        <v>-1.4095476683005661</v>
      </c>
      <c r="D118">
        <v>-1.2053521108329781</v>
      </c>
      <c r="E118">
        <v>0.35871577406346461</v>
      </c>
      <c r="F118">
        <v>1.549831444752882E-2</v>
      </c>
      <c r="G118">
        <v>-0.6970424680819759</v>
      </c>
      <c r="H118">
        <v>-1.4567655292358079</v>
      </c>
      <c r="I118">
        <v>-1.1137950390660369</v>
      </c>
      <c r="J118">
        <v>-1.1793682827825369</v>
      </c>
      <c r="M118" s="13">
        <v>0</v>
      </c>
      <c r="O118" s="10">
        <f t="shared" si="3"/>
        <v>1</v>
      </c>
      <c r="P118" s="10">
        <f t="shared" si="4"/>
        <v>0</v>
      </c>
      <c r="R118" s="14">
        <v>6.0871103465884424E-2</v>
      </c>
      <c r="S118" s="14">
        <v>-1.1044302403352912</v>
      </c>
      <c r="T118" s="14">
        <v>-0.60481620167556482</v>
      </c>
      <c r="U118" s="14">
        <v>-0.80143113755920525</v>
      </c>
      <c r="V118" s="14">
        <v>-0.5710499254158562</v>
      </c>
      <c r="W118" s="14">
        <v>-0.19608125696752948</v>
      </c>
      <c r="X118" s="14">
        <v>1.0622832442296897</v>
      </c>
      <c r="Y118" s="14">
        <v>1.0622172213375221</v>
      </c>
      <c r="Z118" s="14">
        <v>-0.25925480457345967</v>
      </c>
      <c r="AA118" s="14">
        <v>-0.23314282579393864</v>
      </c>
      <c r="AB118" s="14">
        <v>0.51115683592959871</v>
      </c>
      <c r="AC118" s="14">
        <v>-0.11735684169216853</v>
      </c>
      <c r="AD118" s="14">
        <v>1.1026570038857126</v>
      </c>
      <c r="AE118" s="14">
        <v>-0.63958309063343211</v>
      </c>
      <c r="AF118" s="14">
        <v>0.24276000563159217</v>
      </c>
      <c r="AG118" s="14">
        <v>-0.44839661288887633</v>
      </c>
      <c r="AH118" s="14">
        <v>-9.747022746574574E-2</v>
      </c>
      <c r="AI118" s="14">
        <v>0.2936089458071699</v>
      </c>
      <c r="AJ118" s="14">
        <v>1.5408166399794632</v>
      </c>
      <c r="AK118" s="14">
        <v>-1.1641308156720684</v>
      </c>
      <c r="AM118" s="14">
        <v>-0.31882976253828627</v>
      </c>
      <c r="AN118" s="14">
        <v>-0.12956034924886817</v>
      </c>
      <c r="AO118" s="14">
        <v>-0.10103312836168932</v>
      </c>
      <c r="AP118" s="14">
        <v>0.36169235970495983</v>
      </c>
      <c r="AQ118" s="14">
        <v>-0.30835199048660711</v>
      </c>
      <c r="AR118" s="14">
        <v>0.49788809095454467</v>
      </c>
      <c r="AS118" s="14">
        <v>0.21939474061056669</v>
      </c>
      <c r="AT118" s="14">
        <v>-0.25018472914176298</v>
      </c>
      <c r="AU118" s="14">
        <v>-0.60297521504839258</v>
      </c>
      <c r="AV118" s="14">
        <v>-2.0946519150112138E-2</v>
      </c>
      <c r="AW118" s="14">
        <v>9.3177344429421577E-2</v>
      </c>
      <c r="AX118" s="14">
        <v>-0.45621649219804866</v>
      </c>
      <c r="AY118" s="14">
        <v>4.4219807153785713E-2</v>
      </c>
      <c r="AZ118" s="14">
        <v>-0.32127596404590247</v>
      </c>
      <c r="BA118" s="14">
        <v>-0.23296480143305393</v>
      </c>
      <c r="BB118" s="14">
        <v>0.12411987819039227</v>
      </c>
      <c r="BC118" s="14">
        <v>8.7519605847457452E-2</v>
      </c>
      <c r="BD118" s="14">
        <v>8.6589425476287257E-2</v>
      </c>
      <c r="BE118" s="14">
        <v>3.6339130215771134E-2</v>
      </c>
      <c r="BF118" s="14">
        <v>0.1652245122977607</v>
      </c>
      <c r="BK118" s="16">
        <v>-0.96468740619732174</v>
      </c>
      <c r="BL118" s="16">
        <v>0.31164972794421497</v>
      </c>
      <c r="BN118" s="17">
        <f t="shared" si="5"/>
        <v>1</v>
      </c>
    </row>
    <row r="119" spans="1:66" x14ac:dyDescent="0.2">
      <c r="A119">
        <v>0.18147033343110019</v>
      </c>
      <c r="B119">
        <v>-0.56874518893069848</v>
      </c>
      <c r="C119">
        <v>0.24636949868561731</v>
      </c>
      <c r="D119">
        <v>5.3408182311455998E-2</v>
      </c>
      <c r="E119">
        <v>1.113248625171813</v>
      </c>
      <c r="F119">
        <v>0.96232623292697395</v>
      </c>
      <c r="G119">
        <v>0.99375120467833411</v>
      </c>
      <c r="H119">
        <v>0.48861300992778939</v>
      </c>
      <c r="I119">
        <v>0.34745958722731601</v>
      </c>
      <c r="J119">
        <v>1.2801842926662721</v>
      </c>
      <c r="M119" s="13">
        <v>1</v>
      </c>
      <c r="O119" s="10">
        <f t="shared" si="3"/>
        <v>0</v>
      </c>
      <c r="P119" s="10">
        <f t="shared" si="4"/>
        <v>1</v>
      </c>
      <c r="R119" s="14">
        <v>0.3735225174902963</v>
      </c>
      <c r="S119" s="14">
        <v>0.94936004991244516</v>
      </c>
      <c r="T119" s="14">
        <v>0.40693395883786265</v>
      </c>
      <c r="U119" s="14">
        <v>-0.41747091538099823</v>
      </c>
      <c r="V119" s="14">
        <v>1.4631350656168034</v>
      </c>
      <c r="W119" s="14">
        <v>-0.67513829668565439</v>
      </c>
      <c r="X119" s="14">
        <v>-1.4656500371243664</v>
      </c>
      <c r="Y119" s="14">
        <v>0.42856138879560529</v>
      </c>
      <c r="Z119" s="14">
        <v>1.6672459024337078</v>
      </c>
      <c r="AA119" s="14">
        <v>1.10559542723774</v>
      </c>
      <c r="AB119" s="14">
        <v>-0.27283099408757561</v>
      </c>
      <c r="AC119" s="14">
        <v>1.0594274518538975</v>
      </c>
      <c r="AD119" s="14">
        <v>-0.78523597099684317</v>
      </c>
      <c r="AE119" s="14">
        <v>1.6876783999537825</v>
      </c>
      <c r="AF119" s="14">
        <v>0.18896992988930728</v>
      </c>
      <c r="AG119" s="14">
        <v>-0.12786567496699908</v>
      </c>
      <c r="AH119" s="14">
        <v>-0.89902297786451646</v>
      </c>
      <c r="AI119" s="14">
        <v>-1.5145324599055134</v>
      </c>
      <c r="AJ119" s="14">
        <v>-0.5127513523033751</v>
      </c>
      <c r="AK119" s="14">
        <v>-0.91194627871237488</v>
      </c>
      <c r="AM119" s="14">
        <v>0.66346795388374036</v>
      </c>
      <c r="AN119" s="14">
        <v>0.28059861359168725</v>
      </c>
      <c r="AO119" s="14">
        <v>-4.8085181410870557E-2</v>
      </c>
      <c r="AP119" s="14">
        <v>-0.32416075221643814</v>
      </c>
      <c r="AQ119" s="14">
        <v>0.11873473919664376</v>
      </c>
      <c r="AR119" s="14">
        <v>-0.29654080130690175</v>
      </c>
      <c r="AS119" s="14">
        <v>-0.20446957903598151</v>
      </c>
      <c r="AT119" s="14">
        <v>-0.3081590592311404</v>
      </c>
      <c r="AU119" s="14">
        <v>0.22827887016510848</v>
      </c>
      <c r="AV119" s="14">
        <v>0.25703508576584871</v>
      </c>
      <c r="AW119" s="14">
        <v>0.42230210166006743</v>
      </c>
      <c r="AX119" s="14">
        <v>0.39528561638053361</v>
      </c>
      <c r="AY119" s="14">
        <v>1.4245364794810974E-2</v>
      </c>
      <c r="AZ119" s="14">
        <v>0.43781327601505399</v>
      </c>
      <c r="BA119" s="14">
        <v>0.19543409748230184</v>
      </c>
      <c r="BB119" s="14">
        <v>-0.24788476531270737</v>
      </c>
      <c r="BC119" s="14">
        <v>-0.21611156684021873</v>
      </c>
      <c r="BD119" s="14">
        <v>-0.1026207308801768</v>
      </c>
      <c r="BE119" s="14">
        <v>2.359285539395832E-2</v>
      </c>
      <c r="BF119" s="14">
        <v>-0.3319891863132311</v>
      </c>
      <c r="BK119" s="16">
        <v>0.29874093878475827</v>
      </c>
      <c r="BL119" s="16">
        <v>-0.48908247529602811</v>
      </c>
      <c r="BN119" s="17">
        <f t="shared" si="5"/>
        <v>0</v>
      </c>
    </row>
    <row r="120" spans="1:66" x14ac:dyDescent="0.2">
      <c r="A120">
        <v>0.44167247410904109</v>
      </c>
      <c r="B120">
        <v>0.96131662864232081</v>
      </c>
      <c r="C120">
        <v>0.5393713833703907</v>
      </c>
      <c r="D120">
        <v>0.34154425673120881</v>
      </c>
      <c r="E120">
        <v>1.304669520896345</v>
      </c>
      <c r="F120">
        <v>1.5115533743259451</v>
      </c>
      <c r="G120">
        <v>1.135864777173381</v>
      </c>
      <c r="H120">
        <v>0.77433271874492104</v>
      </c>
      <c r="I120">
        <v>0.66096512523207174</v>
      </c>
      <c r="J120">
        <v>1.290667042318087</v>
      </c>
      <c r="M120" s="13">
        <v>1</v>
      </c>
      <c r="O120" s="10">
        <f t="shared" si="3"/>
        <v>0</v>
      </c>
      <c r="P120" s="10">
        <f t="shared" si="4"/>
        <v>1</v>
      </c>
      <c r="R120" s="14">
        <v>-1.0125853257780577</v>
      </c>
      <c r="S120" s="14">
        <v>0.2627500622788585</v>
      </c>
      <c r="T120" s="14">
        <v>-0.18884821396401474</v>
      </c>
      <c r="U120" s="14">
        <v>-0.56614726768448831</v>
      </c>
      <c r="V120" s="14">
        <v>0.57792649749161484</v>
      </c>
      <c r="W120" s="14">
        <v>0.33612334479024969</v>
      </c>
      <c r="X120" s="14">
        <v>-0.81128715965637199</v>
      </c>
      <c r="Y120" s="14">
        <v>-0.40778523073238998</v>
      </c>
      <c r="Z120" s="14">
        <v>0.28578224567394628</v>
      </c>
      <c r="AA120" s="14">
        <v>0.2646300558007173</v>
      </c>
      <c r="AB120" s="14">
        <v>0.51234139786850164</v>
      </c>
      <c r="AC120" s="14">
        <v>-0.32203801041742719</v>
      </c>
      <c r="AD120" s="14">
        <v>-0.1909002324209034</v>
      </c>
      <c r="AE120" s="14">
        <v>0.25651297307749876</v>
      </c>
      <c r="AF120" s="14">
        <v>-1.3371564704350543</v>
      </c>
      <c r="AG120" s="14">
        <v>-0.71611685713029105</v>
      </c>
      <c r="AH120" s="14">
        <v>-0.61846401196481393</v>
      </c>
      <c r="AI120" s="14">
        <v>-0.88023218367173439</v>
      </c>
      <c r="AJ120" s="14">
        <v>0.12615930508651541</v>
      </c>
      <c r="AK120" s="14">
        <v>-0.23066708381046885</v>
      </c>
      <c r="AM120" s="14">
        <v>-0.46022115018670878</v>
      </c>
      <c r="AN120" s="14">
        <v>-0.3693518405778376</v>
      </c>
      <c r="AO120" s="14">
        <v>-0.11359926799695011</v>
      </c>
      <c r="AP120" s="14">
        <v>0.44668536242973045</v>
      </c>
      <c r="AQ120" s="14">
        <v>0.29343331166800996</v>
      </c>
      <c r="AR120" s="14">
        <v>0.31766566974706389</v>
      </c>
      <c r="AS120" s="14">
        <v>0.26815054815018058</v>
      </c>
      <c r="AT120" s="14">
        <v>0.30942897896636468</v>
      </c>
      <c r="AU120" s="14">
        <v>-3.2080266594074244E-2</v>
      </c>
      <c r="AV120" s="14">
        <v>8.6247473508844888E-2</v>
      </c>
      <c r="AW120" s="14">
        <v>-0.62651173444445873</v>
      </c>
      <c r="AX120" s="14">
        <v>-0.29392797962637884</v>
      </c>
      <c r="AY120" s="14">
        <v>0.2221898760940175</v>
      </c>
      <c r="AZ120" s="14">
        <v>-0.39219172913881473</v>
      </c>
      <c r="BA120" s="14">
        <v>-0.15777847945937726</v>
      </c>
      <c r="BB120" s="14">
        <v>0.54788158623039718</v>
      </c>
      <c r="BC120" s="14">
        <v>8.9809682556951098E-2</v>
      </c>
      <c r="BD120" s="14">
        <v>0.38314013482202242</v>
      </c>
      <c r="BE120" s="14">
        <v>1.9251301706552759E-2</v>
      </c>
      <c r="BF120" s="14">
        <v>0.30855003787118224</v>
      </c>
      <c r="BK120" s="16">
        <v>0.81719057320796973</v>
      </c>
      <c r="BL120" s="16">
        <v>-8.3970406032883249E-2</v>
      </c>
      <c r="BN120" s="17">
        <f t="shared" si="5"/>
        <v>0</v>
      </c>
    </row>
    <row r="121" spans="1:66" x14ac:dyDescent="0.2">
      <c r="A121">
        <v>1.062154501879516</v>
      </c>
      <c r="B121">
        <v>0.25023020701383453</v>
      </c>
      <c r="C121">
        <v>0.89213569212684585</v>
      </c>
      <c r="D121">
        <v>0.91551361976116563</v>
      </c>
      <c r="E121">
        <v>-0.70209051020413471</v>
      </c>
      <c r="F121">
        <v>-0.22874039177278119</v>
      </c>
      <c r="G121">
        <v>0.1433701692628313</v>
      </c>
      <c r="H121">
        <v>0.85507959297584879</v>
      </c>
      <c r="I121">
        <v>0.64148173021482702</v>
      </c>
      <c r="J121">
        <v>1.9259263119330159E-2</v>
      </c>
      <c r="M121" s="13">
        <v>1</v>
      </c>
      <c r="O121" s="10">
        <f t="shared" si="3"/>
        <v>0</v>
      </c>
      <c r="P121" s="10">
        <f t="shared" si="4"/>
        <v>1</v>
      </c>
      <c r="R121" s="14">
        <v>-0.14302345588162618</v>
      </c>
      <c r="S121" s="14">
        <v>1.0015616760385335</v>
      </c>
      <c r="T121" s="14">
        <v>0.44326005342767649</v>
      </c>
      <c r="U121" s="14">
        <v>0.19585300820228513</v>
      </c>
      <c r="V121" s="14">
        <v>1.4782546028132821</v>
      </c>
      <c r="W121" s="14">
        <v>0.38372770800541006</v>
      </c>
      <c r="X121" s="14">
        <v>-1.465862801484215</v>
      </c>
      <c r="Y121" s="14">
        <v>-0.24517841802755064</v>
      </c>
      <c r="Z121" s="14">
        <v>1.20599394573351</v>
      </c>
      <c r="AA121" s="14">
        <v>1.1986958893055513</v>
      </c>
      <c r="AB121" s="14">
        <v>-0.28652997968816285</v>
      </c>
      <c r="AC121" s="14">
        <v>1.0104394029659791</v>
      </c>
      <c r="AD121" s="14">
        <v>-0.8134329376238103</v>
      </c>
      <c r="AE121" s="14">
        <v>1.681653404536932</v>
      </c>
      <c r="AF121" s="14">
        <v>0.1940563265587546</v>
      </c>
      <c r="AG121" s="14">
        <v>0.25018414085817098</v>
      </c>
      <c r="AH121" s="14">
        <v>-1.1722566767972853</v>
      </c>
      <c r="AI121" s="14">
        <v>-1.5965487956013376</v>
      </c>
      <c r="AJ121" s="14">
        <v>-0.55616862650701848</v>
      </c>
      <c r="AK121" s="14">
        <v>-7.3992187589365432E-2</v>
      </c>
      <c r="AM121" s="14">
        <v>-5.1739637053659013E-2</v>
      </c>
      <c r="AN121" s="14">
        <v>0.3556657828493674</v>
      </c>
      <c r="AO121" s="14">
        <v>0.19914150425502672</v>
      </c>
      <c r="AP121" s="14">
        <v>0.24193535294996663</v>
      </c>
      <c r="AQ121" s="14">
        <v>0.35754168011673354</v>
      </c>
      <c r="AR121" s="14">
        <v>0.57037396382501226</v>
      </c>
      <c r="AS121" s="14">
        <v>-0.41566855009581199</v>
      </c>
      <c r="AT121" s="14">
        <v>-0.50063489535569972</v>
      </c>
      <c r="AU121" s="14">
        <v>-4.7633909657407582E-2</v>
      </c>
      <c r="AV121" s="14">
        <v>0.34249451223127214</v>
      </c>
      <c r="AW121" s="14">
        <v>-0.14853014888799002</v>
      </c>
      <c r="AX121" s="14">
        <v>0.10098809862436244</v>
      </c>
      <c r="AY121" s="14">
        <v>-0.36479378130509649</v>
      </c>
      <c r="AZ121" s="14">
        <v>0.28471782527515727</v>
      </c>
      <c r="BA121" s="14">
        <v>-0.41780054799549421</v>
      </c>
      <c r="BB121" s="14">
        <v>9.3933545875059338E-2</v>
      </c>
      <c r="BC121" s="14">
        <v>-0.25959987956023833</v>
      </c>
      <c r="BD121" s="14">
        <v>-0.21369033343751928</v>
      </c>
      <c r="BE121" s="14">
        <v>-0.31397428009888728</v>
      </c>
      <c r="BF121" s="14">
        <v>0.22115202024173572</v>
      </c>
      <c r="BK121" s="16">
        <v>0.42446878949447148</v>
      </c>
      <c r="BL121" s="16">
        <v>-0.57820489995281443</v>
      </c>
      <c r="BN121" s="17">
        <f t="shared" si="5"/>
        <v>0</v>
      </c>
    </row>
    <row r="122" spans="1:66" x14ac:dyDescent="0.2">
      <c r="A122">
        <v>-0.80786967398173004</v>
      </c>
      <c r="B122">
        <v>-2.003178142905405</v>
      </c>
      <c r="C122">
        <v>-0.80362309090712558</v>
      </c>
      <c r="D122">
        <v>-0.75026406522096112</v>
      </c>
      <c r="E122">
        <v>-0.70896679480783131</v>
      </c>
      <c r="F122">
        <v>-0.69750513706160944</v>
      </c>
      <c r="G122">
        <v>-0.61652848366481827</v>
      </c>
      <c r="H122">
        <v>-0.75157616095236657</v>
      </c>
      <c r="I122">
        <v>-0.68781717527991415</v>
      </c>
      <c r="J122">
        <v>-0.41382805106710141</v>
      </c>
      <c r="M122" s="13">
        <v>0</v>
      </c>
      <c r="O122" s="10">
        <f t="shared" si="3"/>
        <v>1</v>
      </c>
      <c r="P122" s="10">
        <f t="shared" si="4"/>
        <v>0</v>
      </c>
      <c r="R122" s="14">
        <v>-0.44139233892998819</v>
      </c>
      <c r="S122" s="14">
        <v>-0.76323202602874762</v>
      </c>
      <c r="T122" s="14">
        <v>-0.2182490721424549</v>
      </c>
      <c r="U122" s="14">
        <v>-0.13497216373709431</v>
      </c>
      <c r="V122" s="14">
        <v>-0.40920927170366117</v>
      </c>
      <c r="W122" s="14">
        <v>1.1479342188392032</v>
      </c>
      <c r="X122" s="14">
        <v>1.0058517913539053</v>
      </c>
      <c r="Y122" s="14">
        <v>-0.14324137593917885</v>
      </c>
      <c r="Z122" s="14">
        <v>-1.0712761403355477</v>
      </c>
      <c r="AA122" s="14">
        <v>0.54399596558911045</v>
      </c>
      <c r="AB122" s="14">
        <v>0.10353675002833646</v>
      </c>
      <c r="AC122" s="14">
        <v>-0.31358209627702893</v>
      </c>
      <c r="AD122" s="14">
        <v>0.49912896025232434</v>
      </c>
      <c r="AE122" s="14">
        <v>-0.63641550146182757</v>
      </c>
      <c r="AF122" s="14">
        <v>4.8802412355232638E-2</v>
      </c>
      <c r="AG122" s="14">
        <v>0.4718291893868275</v>
      </c>
      <c r="AH122" s="14">
        <v>-0.45686267679128412</v>
      </c>
      <c r="AI122" s="14">
        <v>-0.16964157227505167</v>
      </c>
      <c r="AJ122" s="14">
        <v>0.95392805302979977</v>
      </c>
      <c r="AK122" s="14">
        <v>-0.41456631049662418</v>
      </c>
      <c r="AM122" s="14">
        <v>0.33771930491611873</v>
      </c>
      <c r="AN122" s="14">
        <v>-0.42672443492004603</v>
      </c>
      <c r="AO122" s="14">
        <v>6.286822878703606E-2</v>
      </c>
      <c r="AP122" s="14">
        <v>0.1911957491080489</v>
      </c>
      <c r="AQ122" s="14">
        <v>-0.31345054747720402</v>
      </c>
      <c r="AR122" s="14">
        <v>-0.63293393209446458</v>
      </c>
      <c r="AS122" s="14">
        <v>0.20819836068657188</v>
      </c>
      <c r="AT122" s="14">
        <v>0.60030488171927165</v>
      </c>
      <c r="AU122" s="14">
        <v>0.39693406701806494</v>
      </c>
      <c r="AV122" s="14">
        <v>-0.3452832305153099</v>
      </c>
      <c r="AW122" s="14">
        <v>-0.16371787915075814</v>
      </c>
      <c r="AX122" s="14">
        <v>0.23529731161629466</v>
      </c>
      <c r="AY122" s="14">
        <v>0.24748798765135002</v>
      </c>
      <c r="AZ122" s="14">
        <v>-0.22769922354891212</v>
      </c>
      <c r="BA122" s="14">
        <v>0.45337173109363393</v>
      </c>
      <c r="BB122" s="14">
        <v>-0.3943937588604679</v>
      </c>
      <c r="BC122" s="14">
        <v>0.3975873836445975</v>
      </c>
      <c r="BD122" s="14">
        <v>0.31894263907759013</v>
      </c>
      <c r="BE122" s="14">
        <v>0.29358095442528159</v>
      </c>
      <c r="BF122" s="14">
        <v>-0.6436912692048159</v>
      </c>
      <c r="BK122" s="16">
        <v>0.54620372939356543</v>
      </c>
      <c r="BL122" s="16">
        <v>-0.4494701212071372</v>
      </c>
      <c r="BN122" s="17">
        <f t="shared" si="5"/>
        <v>0</v>
      </c>
    </row>
    <row r="123" spans="1:66" x14ac:dyDescent="0.2">
      <c r="A123">
        <v>1.265169358891975</v>
      </c>
      <c r="B123">
        <v>-0.45840419247110592</v>
      </c>
      <c r="C123">
        <v>1.1909478124852551</v>
      </c>
      <c r="D123">
        <v>1.188969434645047</v>
      </c>
      <c r="E123">
        <v>9.2956666407075894E-2</v>
      </c>
      <c r="F123">
        <v>0.67345507277807926</v>
      </c>
      <c r="G123">
        <v>0.92780641744142411</v>
      </c>
      <c r="H123">
        <v>1.20084184929803</v>
      </c>
      <c r="I123">
        <v>1.15159243612087</v>
      </c>
      <c r="J123">
        <v>0.75155420308186516</v>
      </c>
      <c r="M123" s="13">
        <v>1</v>
      </c>
      <c r="O123" s="10">
        <f t="shared" si="3"/>
        <v>0</v>
      </c>
      <c r="P123" s="10">
        <f t="shared" si="4"/>
        <v>1</v>
      </c>
      <c r="R123" s="14">
        <v>1.0335969390640047</v>
      </c>
      <c r="S123" s="14">
        <v>0.61095365533020574</v>
      </c>
      <c r="T123" s="14">
        <v>-0.10697714084101748</v>
      </c>
      <c r="U123" s="14">
        <v>-1.1010212048136521</v>
      </c>
      <c r="V123" s="14">
        <v>0.31349591113214242</v>
      </c>
      <c r="W123" s="14">
        <v>1.2154790575919283E-2</v>
      </c>
      <c r="X123" s="14">
        <v>-0.26663461890370393</v>
      </c>
      <c r="Y123" s="14">
        <v>-0.17637103800576248</v>
      </c>
      <c r="Z123" s="14">
        <v>-4.9531289621252694E-2</v>
      </c>
      <c r="AA123" s="14">
        <v>1.2485624972957412</v>
      </c>
      <c r="AB123" s="14">
        <v>0.68401204738610266</v>
      </c>
      <c r="AC123" s="14">
        <v>1.2219319055423163</v>
      </c>
      <c r="AD123" s="14">
        <v>0.48886350629914355</v>
      </c>
      <c r="AE123" s="14">
        <v>1.2760675975332032</v>
      </c>
      <c r="AF123" s="14">
        <v>0.86266646439721195</v>
      </c>
      <c r="AG123" s="14">
        <v>-0.19140779202393854</v>
      </c>
      <c r="AH123" s="14">
        <v>-0.9647573413032301</v>
      </c>
      <c r="AI123" s="14">
        <v>-0.82282690911028822</v>
      </c>
      <c r="AJ123" s="14">
        <v>1.145162026383332</v>
      </c>
      <c r="AK123" s="14">
        <v>-1.1002440784482788</v>
      </c>
      <c r="AM123" s="14">
        <v>4.455439190692604E-2</v>
      </c>
      <c r="AN123" s="14">
        <v>-0.41799526639735973</v>
      </c>
      <c r="AO123" s="14">
        <v>-0.15182538181135327</v>
      </c>
      <c r="AP123" s="14">
        <v>8.7977986034616221E-2</v>
      </c>
      <c r="AQ123" s="14">
        <v>-0.1281929496482396</v>
      </c>
      <c r="AR123" s="14">
        <v>-0.15261715110758167</v>
      </c>
      <c r="AS123" s="14">
        <v>0.41900741940323372</v>
      </c>
      <c r="AT123" s="14">
        <v>0.42339346125027238</v>
      </c>
      <c r="AU123" s="14">
        <v>-1.3823079452770663E-2</v>
      </c>
      <c r="AV123" s="14">
        <v>-0.15177435733106406</v>
      </c>
      <c r="AW123" s="14">
        <v>-0.27187484919101951</v>
      </c>
      <c r="AX123" s="14">
        <v>-7.6675270968189074E-2</v>
      </c>
      <c r="AY123" s="14">
        <v>0.37866902018801585</v>
      </c>
      <c r="AZ123" s="14">
        <v>-0.36349296484619192</v>
      </c>
      <c r="BA123" s="14">
        <v>0.14326863528944564</v>
      </c>
      <c r="BB123" s="14">
        <v>7.9440151270505785E-2</v>
      </c>
      <c r="BC123" s="14">
        <v>0.20519648710003965</v>
      </c>
      <c r="BD123" s="14">
        <v>0.4071861479853367</v>
      </c>
      <c r="BE123" s="14">
        <v>0.3261738578027934</v>
      </c>
      <c r="BF123" s="14">
        <v>-0.21354450524756474</v>
      </c>
      <c r="BK123" s="16">
        <v>-0.58620751105223345</v>
      </c>
      <c r="BL123" s="16">
        <v>0.3715159701168968</v>
      </c>
      <c r="BN123" s="17">
        <f t="shared" si="5"/>
        <v>1</v>
      </c>
    </row>
    <row r="124" spans="1:66" x14ac:dyDescent="0.2">
      <c r="A124">
        <v>2.8635539373421839</v>
      </c>
      <c r="B124">
        <v>0.29681862774121748</v>
      </c>
      <c r="C124">
        <v>3.0502232280486892</v>
      </c>
      <c r="D124">
        <v>3.1578513018089911</v>
      </c>
      <c r="E124">
        <v>3.3768471784968588</v>
      </c>
      <c r="F124">
        <v>4.1585058503683898</v>
      </c>
      <c r="G124">
        <v>3.8557038507701238</v>
      </c>
      <c r="H124">
        <v>1.981394966863671</v>
      </c>
      <c r="I124">
        <v>2.0797105260332551</v>
      </c>
      <c r="J124">
        <v>1.61113967453073</v>
      </c>
      <c r="M124" s="13">
        <v>1</v>
      </c>
      <c r="O124" s="10">
        <f t="shared" si="3"/>
        <v>0</v>
      </c>
      <c r="P124" s="10">
        <f t="shared" si="4"/>
        <v>1</v>
      </c>
      <c r="R124" s="14">
        <v>-0.62242032486463839</v>
      </c>
      <c r="S124" s="14">
        <v>-0.9575392352966734</v>
      </c>
      <c r="T124" s="14">
        <v>-0.25243288024401755</v>
      </c>
      <c r="U124" s="14">
        <v>-7.3961910255179175E-3</v>
      </c>
      <c r="V124" s="14">
        <v>0.91386421795749284</v>
      </c>
      <c r="W124" s="14">
        <v>0.90205930891196417</v>
      </c>
      <c r="X124" s="14">
        <v>0.8908654036103224</v>
      </c>
      <c r="Y124" s="14">
        <v>0.87471129730467356</v>
      </c>
      <c r="Z124" s="14">
        <v>-0.1316104966693154</v>
      </c>
      <c r="AA124" s="14">
        <v>1.0216516876714539</v>
      </c>
      <c r="AB124" s="14">
        <v>-1.1716346357818372</v>
      </c>
      <c r="AC124" s="14">
        <v>-0.26405932718116465</v>
      </c>
      <c r="AD124" s="14">
        <v>0.6259192573860759</v>
      </c>
      <c r="AE124" s="14">
        <v>-0.63372031515952987</v>
      </c>
      <c r="AF124" s="14">
        <v>0.11869716908810707</v>
      </c>
      <c r="AG124" s="14">
        <v>1.178121878603223</v>
      </c>
      <c r="AH124" s="14">
        <v>-0.52815338156057656</v>
      </c>
      <c r="AI124" s="14">
        <v>0.19369362861817596</v>
      </c>
      <c r="AJ124" s="14">
        <v>0.38225626949375013</v>
      </c>
      <c r="AK124" s="14">
        <v>-0.19534648517694048</v>
      </c>
      <c r="AM124" s="14">
        <v>0.18500129197656864</v>
      </c>
      <c r="AN124" s="14">
        <v>0.72747594442184316</v>
      </c>
      <c r="AO124" s="14">
        <v>0.40092421336555434</v>
      </c>
      <c r="AP124" s="14">
        <v>8.5258756033756503E-2</v>
      </c>
      <c r="AQ124" s="14">
        <v>0.29545166794725308</v>
      </c>
      <c r="AR124" s="14">
        <v>0.208310252617917</v>
      </c>
      <c r="AS124" s="14">
        <v>-0.77405433683941438</v>
      </c>
      <c r="AT124" s="14">
        <v>-0.80822368243741882</v>
      </c>
      <c r="AU124" s="14">
        <v>-8.7354832326082682E-2</v>
      </c>
      <c r="AV124" s="14">
        <v>0.45869880327013157</v>
      </c>
      <c r="AW124" s="14">
        <v>0.57937828007852377</v>
      </c>
      <c r="AX124" s="14">
        <v>0.22743259181105441</v>
      </c>
      <c r="AY124" s="14">
        <v>-0.68191877041223115</v>
      </c>
      <c r="AZ124" s="14">
        <v>0.72219611673751249</v>
      </c>
      <c r="BA124" s="14">
        <v>-0.14665495191754066</v>
      </c>
      <c r="BB124" s="14">
        <v>-0.21240749688152213</v>
      </c>
      <c r="BC124" s="14">
        <v>-0.39715330209400956</v>
      </c>
      <c r="BD124" s="14">
        <v>-0.70417701085943141</v>
      </c>
      <c r="BE124" s="14">
        <v>-0.66889517674374321</v>
      </c>
      <c r="BF124" s="14">
        <v>0.13939733161961879</v>
      </c>
      <c r="BK124" s="16">
        <v>0.4863680760541475</v>
      </c>
      <c r="BL124" s="16">
        <v>-0.17065649171936809</v>
      </c>
      <c r="BN124" s="17">
        <f t="shared" si="5"/>
        <v>0</v>
      </c>
    </row>
    <row r="125" spans="1:66" x14ac:dyDescent="0.2">
      <c r="A125">
        <v>7.5673858649959569E-2</v>
      </c>
      <c r="B125">
        <v>-1.9860139879005789</v>
      </c>
      <c r="C125">
        <v>6.542215913524739E-2</v>
      </c>
      <c r="D125">
        <v>-6.6912376237451596E-2</v>
      </c>
      <c r="E125">
        <v>9.1098211108779428E-2</v>
      </c>
      <c r="F125">
        <v>-3.6696860841177063E-2</v>
      </c>
      <c r="G125">
        <v>0.18988936025941111</v>
      </c>
      <c r="H125">
        <v>-0.1552915512470496</v>
      </c>
      <c r="I125">
        <v>-0.27158100900241361</v>
      </c>
      <c r="J125">
        <v>7.317054704295245E-2</v>
      </c>
      <c r="M125" s="13">
        <v>0</v>
      </c>
      <c r="O125" s="10">
        <f t="shared" si="3"/>
        <v>1</v>
      </c>
      <c r="P125" s="10">
        <f t="shared" si="4"/>
        <v>0</v>
      </c>
      <c r="R125" s="14">
        <v>-0.44355981649549991</v>
      </c>
      <c r="S125" s="14">
        <v>0.82087742828924748</v>
      </c>
      <c r="T125" s="14">
        <v>-8.6433669020533621E-3</v>
      </c>
      <c r="U125" s="14">
        <v>-0.2083472087669177</v>
      </c>
      <c r="V125" s="14">
        <v>1.0624638000309159</v>
      </c>
      <c r="W125" s="14">
        <v>0.58493727976813892</v>
      </c>
      <c r="X125" s="14">
        <v>-1.3554603646519277</v>
      </c>
      <c r="Y125" s="14">
        <v>-0.80308140307510967</v>
      </c>
      <c r="Z125" s="14">
        <v>0.35992127357139203</v>
      </c>
      <c r="AA125" s="14">
        <v>1.0358595084562645</v>
      </c>
      <c r="AB125" s="14">
        <v>0.11768351628937634</v>
      </c>
      <c r="AC125" s="14">
        <v>0.27338162806084743</v>
      </c>
      <c r="AD125" s="14">
        <v>-0.57364726561226809</v>
      </c>
      <c r="AE125" s="14">
        <v>1.0028524359488711</v>
      </c>
      <c r="AF125" s="14">
        <v>-1.2927132864482553</v>
      </c>
      <c r="AG125" s="14">
        <v>-0.4165944740121556</v>
      </c>
      <c r="AH125" s="14">
        <v>-0.82770192170278489</v>
      </c>
      <c r="AI125" s="14">
        <v>-0.99990207680418242</v>
      </c>
      <c r="AJ125" s="14">
        <v>2.9924100659468655E-2</v>
      </c>
      <c r="AK125" s="14">
        <v>-0.29029628865079471</v>
      </c>
      <c r="AM125" s="14">
        <v>-4.5109109990162837E-3</v>
      </c>
      <c r="AN125" s="14">
        <v>0.73436522512842184</v>
      </c>
      <c r="AO125" s="14">
        <v>0.51732492044563472</v>
      </c>
      <c r="AP125" s="14">
        <v>0.40073093560242751</v>
      </c>
      <c r="AQ125" s="14">
        <v>0.88513995848335647</v>
      </c>
      <c r="AR125" s="14">
        <v>-0.33883218590393777</v>
      </c>
      <c r="AS125" s="14">
        <v>-0.88971245663671161</v>
      </c>
      <c r="AT125" s="14">
        <v>-0.24064606521911611</v>
      </c>
      <c r="AU125" s="14">
        <v>0.88508130870285884</v>
      </c>
      <c r="AV125" s="14">
        <v>0.65791847533654868</v>
      </c>
      <c r="AW125" s="14">
        <v>-0.67688520391547613</v>
      </c>
      <c r="AX125" s="14">
        <v>0.56050941538269228</v>
      </c>
      <c r="AY125" s="14">
        <v>-0.74126422252528168</v>
      </c>
      <c r="AZ125" s="14">
        <v>0.82913519948871039</v>
      </c>
      <c r="BA125" s="14">
        <v>9.3552267509096856E-2</v>
      </c>
      <c r="BB125" s="14">
        <v>0.48817676797390103</v>
      </c>
      <c r="BC125" s="14">
        <v>-0.48427780464731457</v>
      </c>
      <c r="BD125" s="14">
        <v>-0.66521380857029166</v>
      </c>
      <c r="BE125" s="14">
        <v>-0.82179526539060199</v>
      </c>
      <c r="BF125" s="14">
        <v>0.34976285887738773</v>
      </c>
      <c r="BK125" s="16">
        <v>0.82248200500066082</v>
      </c>
      <c r="BL125" s="16">
        <v>-0.19547166459649598</v>
      </c>
      <c r="BN125" s="17">
        <f t="shared" si="5"/>
        <v>0</v>
      </c>
    </row>
    <row r="126" spans="1:66" x14ac:dyDescent="0.2">
      <c r="A126">
        <v>-0.2474342940600113</v>
      </c>
      <c r="B126">
        <v>-0.63740180895000087</v>
      </c>
      <c r="C126">
        <v>-0.27406161093861209</v>
      </c>
      <c r="D126">
        <v>-0.31791602947823527</v>
      </c>
      <c r="E126">
        <v>-0.59002565571686039</v>
      </c>
      <c r="F126">
        <v>-0.12968113985906149</v>
      </c>
      <c r="G126">
        <v>-0.5712872924208916</v>
      </c>
      <c r="H126">
        <v>-0.4534338560997081</v>
      </c>
      <c r="I126">
        <v>-0.47243709945291812</v>
      </c>
      <c r="J126">
        <v>-0.41083297973801142</v>
      </c>
      <c r="M126" s="13">
        <v>0</v>
      </c>
      <c r="O126" s="10">
        <f t="shared" si="3"/>
        <v>1</v>
      </c>
      <c r="P126" s="10">
        <f t="shared" si="4"/>
        <v>0</v>
      </c>
      <c r="R126" s="14">
        <v>0.67773640603499918</v>
      </c>
      <c r="S126" s="14">
        <v>-1.1148746708818826</v>
      </c>
      <c r="T126" s="14">
        <v>5.1745749447605946E-2</v>
      </c>
      <c r="U126" s="14">
        <v>-0.41013933204929442</v>
      </c>
      <c r="V126" s="14">
        <v>-0.49952975742079719</v>
      </c>
      <c r="W126" s="14">
        <v>-0.36692636532002482</v>
      </c>
      <c r="X126" s="14">
        <v>1.0367074362009598</v>
      </c>
      <c r="Y126" s="14">
        <v>1.2749350664173749</v>
      </c>
      <c r="Z126" s="14">
        <v>0.34762120531321905</v>
      </c>
      <c r="AA126" s="14">
        <v>-0.19636873709268998</v>
      </c>
      <c r="AB126" s="14">
        <v>-0.57030827855769917</v>
      </c>
      <c r="AC126" s="14">
        <v>0.87785102551015481</v>
      </c>
      <c r="AD126" s="14">
        <v>1.0319558975422753</v>
      </c>
      <c r="AE126" s="14">
        <v>-0.5761176369469021</v>
      </c>
      <c r="AF126" s="14">
        <v>1.206366000239691</v>
      </c>
      <c r="AG126" s="14">
        <v>-0.42492732276152367</v>
      </c>
      <c r="AH126" s="14">
        <v>-5.8421320865219784E-2</v>
      </c>
      <c r="AI126" s="14">
        <v>0.28111956188168874</v>
      </c>
      <c r="AJ126" s="14">
        <v>1.5198017420064507</v>
      </c>
      <c r="AK126" s="14">
        <v>-1.4358764582395445</v>
      </c>
      <c r="AM126" s="14">
        <v>4.6057800428690905E-2</v>
      </c>
      <c r="AN126" s="14">
        <v>-0.59521387002366677</v>
      </c>
      <c r="AO126" s="14">
        <v>-0.40295459143788598</v>
      </c>
      <c r="AP126" s="14">
        <v>-0.15768464253023234</v>
      </c>
      <c r="AQ126" s="14">
        <v>-0.43179267637763541</v>
      </c>
      <c r="AR126" s="14">
        <v>0.1467898481626477</v>
      </c>
      <c r="AS126" s="14">
        <v>0.70472539375389809</v>
      </c>
      <c r="AT126" s="14">
        <v>0.4666812890221706</v>
      </c>
      <c r="AU126" s="14">
        <v>-0.30302085639489573</v>
      </c>
      <c r="AV126" s="14">
        <v>-0.35228908435814776</v>
      </c>
      <c r="AW126" s="14">
        <v>-6.5914990595920861E-2</v>
      </c>
      <c r="AX126" s="14">
        <v>-0.21169213516012955</v>
      </c>
      <c r="AY126" s="14">
        <v>0.60379776140139452</v>
      </c>
      <c r="AZ126" s="14">
        <v>-0.62621795751921028</v>
      </c>
      <c r="BA126" s="14">
        <v>-5.2928800025712999E-2</v>
      </c>
      <c r="BB126" s="14">
        <v>-6.3659758554846888E-2</v>
      </c>
      <c r="BC126" s="14">
        <v>0.27702835009174437</v>
      </c>
      <c r="BD126" s="14">
        <v>0.61909871757235224</v>
      </c>
      <c r="BE126" s="14">
        <v>0.64664367853070825</v>
      </c>
      <c r="BF126" s="14">
        <v>-0.18159465657562843</v>
      </c>
      <c r="BK126" s="16">
        <v>0.94863440799829124</v>
      </c>
      <c r="BL126" s="16">
        <v>1.7740862810970954</v>
      </c>
      <c r="BN126" s="17">
        <f t="shared" si="5"/>
        <v>1</v>
      </c>
    </row>
    <row r="127" spans="1:66" x14ac:dyDescent="0.2">
      <c r="A127">
        <v>-0.11018481326285549</v>
      </c>
      <c r="B127">
        <v>-0.43633599317918742</v>
      </c>
      <c r="C127">
        <v>-0.176947671822129</v>
      </c>
      <c r="D127">
        <v>-0.21659345385810241</v>
      </c>
      <c r="E127">
        <v>-0.81099599068430528</v>
      </c>
      <c r="F127">
        <v>-0.95686928600216181</v>
      </c>
      <c r="G127">
        <v>-0.99532761035125494</v>
      </c>
      <c r="H127">
        <v>-0.19877063737139539</v>
      </c>
      <c r="I127">
        <v>-0.306296876487686</v>
      </c>
      <c r="J127">
        <v>-0.99097829618276811</v>
      </c>
      <c r="M127" s="13">
        <v>0</v>
      </c>
      <c r="O127" s="10">
        <f t="shared" si="3"/>
        <v>1</v>
      </c>
      <c r="P127" s="10">
        <f t="shared" si="4"/>
        <v>0</v>
      </c>
      <c r="R127" s="14">
        <v>1.7671927447538788E-2</v>
      </c>
      <c r="S127" s="14">
        <v>-1.0431853879114934</v>
      </c>
      <c r="T127" s="14">
        <v>-0.44765823904137536</v>
      </c>
      <c r="U127" s="14">
        <v>-0.47616038383406906</v>
      </c>
      <c r="V127" s="14">
        <v>-9.2505332296763942E-2</v>
      </c>
      <c r="W127" s="14">
        <v>4.9347959375462491E-2</v>
      </c>
      <c r="X127" s="14">
        <v>1.0353628472659053</v>
      </c>
      <c r="Y127" s="14">
        <v>0.995588696082917</v>
      </c>
      <c r="Z127" s="14">
        <v>-4.3823024121620202E-2</v>
      </c>
      <c r="AA127" s="14">
        <v>0.11242380653817008</v>
      </c>
      <c r="AB127" s="14">
        <v>-0.41490126698531743</v>
      </c>
      <c r="AC127" s="14">
        <v>-3.8791773957871478E-2</v>
      </c>
      <c r="AD127" s="14">
        <v>1.0162214884594658</v>
      </c>
      <c r="AE127" s="14">
        <v>-0.59487587649747087</v>
      </c>
      <c r="AF127" s="14">
        <v>0.3544536708192948</v>
      </c>
      <c r="AG127" s="14">
        <v>0.13585496618545984</v>
      </c>
      <c r="AH127" s="14">
        <v>-0.30795173271162474</v>
      </c>
      <c r="AI127" s="14">
        <v>0.25237567718952358</v>
      </c>
      <c r="AJ127" s="14">
        <v>1.4027069676556736</v>
      </c>
      <c r="AK127" s="14">
        <v>-0.92074638376138274</v>
      </c>
      <c r="AM127" s="14">
        <v>-0.64601318114220718</v>
      </c>
      <c r="AN127" s="14">
        <v>-0.81138575038766769</v>
      </c>
      <c r="AO127" s="14">
        <v>-0.58840924986172749</v>
      </c>
      <c r="AP127" s="14">
        <v>-0.16223422767422505</v>
      </c>
      <c r="AQ127" s="14">
        <v>-0.76380836530544305</v>
      </c>
      <c r="AR127" s="14">
        <v>0.4554346458922251</v>
      </c>
      <c r="AS127" s="14">
        <v>0.8751253147175394</v>
      </c>
      <c r="AT127" s="14">
        <v>0.61481812346926712</v>
      </c>
      <c r="AU127" s="14">
        <v>-0.69319674973108658</v>
      </c>
      <c r="AV127" s="14">
        <v>-0.70686250023510588</v>
      </c>
      <c r="AW127" s="14">
        <v>8.2902837618859485E-2</v>
      </c>
      <c r="AX127" s="14">
        <v>-0.69182913596040363</v>
      </c>
      <c r="AY127" s="14">
        <v>0.71454724251160029</v>
      </c>
      <c r="AZ127" s="14">
        <v>-0.89243390761049335</v>
      </c>
      <c r="BA127" s="14">
        <v>-0.28430694659613015</v>
      </c>
      <c r="BB127" s="14">
        <v>-5.8033905282481008E-2</v>
      </c>
      <c r="BC127" s="14">
        <v>0.50751456571909004</v>
      </c>
      <c r="BD127" s="14">
        <v>0.7384536479324596</v>
      </c>
      <c r="BE127" s="14">
        <v>0.76777940663235078</v>
      </c>
      <c r="BF127" s="14">
        <v>0.22819032986081195</v>
      </c>
      <c r="BK127" s="16">
        <v>0.64999795824019979</v>
      </c>
      <c r="BL127" s="16">
        <v>-8.2574591370276076E-2</v>
      </c>
      <c r="BN127" s="17">
        <f t="shared" si="5"/>
        <v>0</v>
      </c>
    </row>
    <row r="128" spans="1:66" x14ac:dyDescent="0.2">
      <c r="A128">
        <v>-0.17880955366143339</v>
      </c>
      <c r="B128">
        <v>1.3977765701935989</v>
      </c>
      <c r="C128">
        <v>-0.2051688165226451</v>
      </c>
      <c r="D128">
        <v>-0.26293701827526539</v>
      </c>
      <c r="E128">
        <v>-0.49022660619834241</v>
      </c>
      <c r="F128">
        <v>-0.47769030146333052</v>
      </c>
      <c r="G128">
        <v>-0.49844130651965379</v>
      </c>
      <c r="H128">
        <v>9.108993679091161E-2</v>
      </c>
      <c r="I128">
        <v>-8.8791339386081344E-2</v>
      </c>
      <c r="J128">
        <v>0.23490439881381889</v>
      </c>
      <c r="M128" s="13">
        <v>1</v>
      </c>
      <c r="O128" s="10">
        <f t="shared" si="3"/>
        <v>0</v>
      </c>
      <c r="P128" s="10">
        <f t="shared" si="4"/>
        <v>1</v>
      </c>
      <c r="R128" s="14">
        <v>0.16815154712655289</v>
      </c>
      <c r="S128" s="14">
        <v>1.0254747482005058</v>
      </c>
      <c r="T128" s="14">
        <v>0.28165316946760188</v>
      </c>
      <c r="U128" s="14">
        <v>-0.57979529170042476</v>
      </c>
      <c r="V128" s="14">
        <v>0.66468939660640225</v>
      </c>
      <c r="W128" s="14">
        <v>0.43221281988768961</v>
      </c>
      <c r="X128" s="14">
        <v>-1.460432082566903</v>
      </c>
      <c r="Y128" s="14">
        <v>-1.0796272397464013</v>
      </c>
      <c r="Z128" s="14">
        <v>-1.0699710061475298E-2</v>
      </c>
      <c r="AA128" s="14">
        <v>1.134634727983107</v>
      </c>
      <c r="AB128" s="14">
        <v>1.5210359146908226</v>
      </c>
      <c r="AC128" s="14">
        <v>0.7215956386104353</v>
      </c>
      <c r="AD128" s="14">
        <v>-0.77952574757896964</v>
      </c>
      <c r="AE128" s="14">
        <v>1.6791313101210044</v>
      </c>
      <c r="AF128" s="14">
        <v>-0.20775343314594219</v>
      </c>
      <c r="AG128" s="14">
        <v>-0.49585705163001526</v>
      </c>
      <c r="AH128" s="14">
        <v>-1.0649124644013812</v>
      </c>
      <c r="AI128" s="14">
        <v>-1.5927832631709054</v>
      </c>
      <c r="AJ128" s="14">
        <v>-0.50756929617724778</v>
      </c>
      <c r="AK128" s="14">
        <v>-0.38370580212814731</v>
      </c>
      <c r="AM128" s="14">
        <v>0.49231583785266425</v>
      </c>
      <c r="AN128" s="14">
        <v>-0.53134247833399761</v>
      </c>
      <c r="AO128" s="14">
        <v>-0.3392787715409189</v>
      </c>
      <c r="AP128" s="14">
        <v>-0.39487694213788627</v>
      </c>
      <c r="AQ128" s="14">
        <v>-0.64099328884505036</v>
      </c>
      <c r="AR128" s="14">
        <v>-0.3955264039388573</v>
      </c>
      <c r="AS128" s="14">
        <v>0.64094234499225955</v>
      </c>
      <c r="AT128" s="14">
        <v>0.44627357699878301</v>
      </c>
      <c r="AU128" s="14">
        <v>-0.16441458981091597</v>
      </c>
      <c r="AV128" s="14">
        <v>-0.47110245862159006</v>
      </c>
      <c r="AW128" s="14">
        <v>0.40766259804363292</v>
      </c>
      <c r="AX128" s="14">
        <v>3.4837813889567366E-2</v>
      </c>
      <c r="AY128" s="14">
        <v>0.57826185282464726</v>
      </c>
      <c r="AZ128" s="14">
        <v>-0.47473305238088243</v>
      </c>
      <c r="BA128" s="14">
        <v>0.27839193242653565</v>
      </c>
      <c r="BB128" s="14">
        <v>-0.5107348003625638</v>
      </c>
      <c r="BC128" s="14">
        <v>0.34239093907597862</v>
      </c>
      <c r="BD128" s="14">
        <v>0.51153414343126424</v>
      </c>
      <c r="BE128" s="14">
        <v>0.67236264981853466</v>
      </c>
      <c r="BF128" s="14">
        <v>-0.5742918839420591</v>
      </c>
      <c r="BK128" s="16">
        <v>0.59761578622946054</v>
      </c>
      <c r="BL128" s="16">
        <v>-0.39893914502502148</v>
      </c>
      <c r="BN128" s="17">
        <f t="shared" si="5"/>
        <v>0</v>
      </c>
    </row>
    <row r="129" spans="1:66" x14ac:dyDescent="0.2">
      <c r="A129">
        <v>1.3623877411232941</v>
      </c>
      <c r="B129">
        <v>-1.9492228776281512E-2</v>
      </c>
      <c r="C129">
        <v>1.2739511792514799</v>
      </c>
      <c r="D129">
        <v>1.364556852623118</v>
      </c>
      <c r="E129">
        <v>-0.45937624824662149</v>
      </c>
      <c r="F129">
        <v>1.6490146757052879E-2</v>
      </c>
      <c r="G129">
        <v>0.15129376772928169</v>
      </c>
      <c r="H129">
        <v>1.215334878006145</v>
      </c>
      <c r="I129">
        <v>1.132109041103625</v>
      </c>
      <c r="J129">
        <v>6.8677940049317349E-2</v>
      </c>
      <c r="M129" s="13">
        <v>1</v>
      </c>
      <c r="O129" s="10">
        <f t="shared" si="3"/>
        <v>0</v>
      </c>
      <c r="P129" s="10">
        <f t="shared" si="4"/>
        <v>1</v>
      </c>
      <c r="R129" s="14">
        <v>3.8660257757734851E-2</v>
      </c>
      <c r="S129" s="14">
        <v>1.0222771469897445</v>
      </c>
      <c r="T129" s="14">
        <v>0.4278507426074688</v>
      </c>
      <c r="U129" s="14">
        <v>-0.100123140933982</v>
      </c>
      <c r="V129" s="14">
        <v>1.502513130112539</v>
      </c>
      <c r="W129" s="14">
        <v>-0.1478838256507079</v>
      </c>
      <c r="X129" s="14">
        <v>-1.4658951710125787</v>
      </c>
      <c r="Y129" s="14">
        <v>7.9255992966784983E-2</v>
      </c>
      <c r="Z129" s="14">
        <v>1.6349708153695865</v>
      </c>
      <c r="AA129" s="14">
        <v>1.2072779896318333</v>
      </c>
      <c r="AB129" s="14">
        <v>-0.28760734498300278</v>
      </c>
      <c r="AC129" s="14">
        <v>1.0515226732008929</v>
      </c>
      <c r="AD129" s="14">
        <v>-0.80949757153036106</v>
      </c>
      <c r="AE129" s="14">
        <v>1.6888772500909235</v>
      </c>
      <c r="AF129" s="14">
        <v>0.15116043011101721</v>
      </c>
      <c r="AG129" s="14">
        <v>0.26506178594780039</v>
      </c>
      <c r="AH129" s="14">
        <v>-1.1427354933483487</v>
      </c>
      <c r="AI129" s="14">
        <v>-1.5832340988758908</v>
      </c>
      <c r="AJ129" s="14">
        <v>-0.55593705253052272</v>
      </c>
      <c r="AK129" s="14">
        <v>-0.15665488231233615</v>
      </c>
      <c r="AM129" s="14">
        <v>0.20933597656141609</v>
      </c>
      <c r="AN129" s="14">
        <v>0.21308539593286924</v>
      </c>
      <c r="AO129" s="14">
        <v>0.1678141108761714</v>
      </c>
      <c r="AP129" s="14">
        <v>0.2986439682852588</v>
      </c>
      <c r="AQ129" s="14">
        <v>6.1640023233876934E-2</v>
      </c>
      <c r="AR129" s="14">
        <v>0.14255165658040944</v>
      </c>
      <c r="AS129" s="14">
        <v>-0.23340427052641763</v>
      </c>
      <c r="AT129" s="14">
        <v>-0.39542081517725924</v>
      </c>
      <c r="AU129" s="14">
        <v>-0.21172300192479326</v>
      </c>
      <c r="AV129" s="14">
        <v>0.26157600478396192</v>
      </c>
      <c r="AW129" s="14">
        <v>0.11352937788991889</v>
      </c>
      <c r="AX129" s="14">
        <v>3.5257583291508778E-2</v>
      </c>
      <c r="AY129" s="14">
        <v>-0.19298443295729598</v>
      </c>
      <c r="AZ129" s="14">
        <v>0.22296385298932131</v>
      </c>
      <c r="BA129" s="14">
        <v>-1.2780245845700608E-2</v>
      </c>
      <c r="BB129" s="14">
        <v>2.3669581469662901E-2</v>
      </c>
      <c r="BC129" s="14">
        <v>-6.8342416352345989E-2</v>
      </c>
      <c r="BD129" s="14">
        <v>-0.17441960861346334</v>
      </c>
      <c r="BE129" s="14">
        <v>-0.23806482572656334</v>
      </c>
      <c r="BF129" s="14">
        <v>-0.1315176211116611</v>
      </c>
      <c r="BK129" s="16">
        <v>0.39307332228115566</v>
      </c>
      <c r="BL129" s="16">
        <v>-9.2424431738616822E-2</v>
      </c>
      <c r="BN129" s="17">
        <f t="shared" si="5"/>
        <v>0</v>
      </c>
    </row>
    <row r="130" spans="1:66" x14ac:dyDescent="0.2">
      <c r="A130">
        <v>0.24723570964640401</v>
      </c>
      <c r="B130">
        <v>-0.63740180895000087</v>
      </c>
      <c r="C130">
        <v>0.28538108106574278</v>
      </c>
      <c r="D130">
        <v>3.0380324215971269E-2</v>
      </c>
      <c r="E130">
        <v>1.406884562302648</v>
      </c>
      <c r="F130">
        <v>0.27796193935534402</v>
      </c>
      <c r="G130">
        <v>0.89432282392190765</v>
      </c>
      <c r="H130">
        <v>-7.0403811670945365E-2</v>
      </c>
      <c r="I130">
        <v>-0.2412931858392422</v>
      </c>
      <c r="J130">
        <v>0.37567275128105498</v>
      </c>
      <c r="M130" s="13">
        <v>0</v>
      </c>
      <c r="O130" s="10">
        <f t="shared" si="3"/>
        <v>1</v>
      </c>
      <c r="P130" s="10">
        <f t="shared" si="4"/>
        <v>0</v>
      </c>
      <c r="R130" s="14">
        <v>-0.14004359064285107</v>
      </c>
      <c r="S130" s="14">
        <v>-1.0934692023223429</v>
      </c>
      <c r="T130" s="14">
        <v>-0.73671887683720805</v>
      </c>
      <c r="U130" s="14">
        <v>-0.7199416034490026</v>
      </c>
      <c r="V130" s="14">
        <v>-0.41558444459435584</v>
      </c>
      <c r="W130" s="14">
        <v>0.25817294054581841</v>
      </c>
      <c r="X130" s="14">
        <v>1.062584618463017</v>
      </c>
      <c r="Y130" s="14">
        <v>0.98901274714132614</v>
      </c>
      <c r="Z130" s="14">
        <v>-0.1306017037067545</v>
      </c>
      <c r="AA130" s="14">
        <v>-0.15946317865119597</v>
      </c>
      <c r="AB130" s="14">
        <v>0.34252922327644342</v>
      </c>
      <c r="AC130" s="14">
        <v>-0.20659455246341507</v>
      </c>
      <c r="AD130" s="14">
        <v>1.0995869377715179</v>
      </c>
      <c r="AE130" s="14">
        <v>-0.65186050005762719</v>
      </c>
      <c r="AF130" s="14">
        <v>-0.14030420593525839</v>
      </c>
      <c r="AG130" s="14">
        <v>-0.32620710018733245</v>
      </c>
      <c r="AH130" s="14">
        <v>-0.19177705271673934</v>
      </c>
      <c r="AI130" s="14">
        <v>0.32205711088149669</v>
      </c>
      <c r="AJ130" s="14">
        <v>1.5539228201487285</v>
      </c>
      <c r="AK130" s="14">
        <v>-0.89311683638771511</v>
      </c>
      <c r="AM130" s="14">
        <v>-0.73535063128556521</v>
      </c>
      <c r="AN130" s="14">
        <v>0.13786409540997979</v>
      </c>
      <c r="AO130" s="14">
        <v>0.16862392679467311</v>
      </c>
      <c r="AP130" s="14">
        <v>0.46434057836205633</v>
      </c>
      <c r="AQ130" s="14">
        <v>0.19156140745913533</v>
      </c>
      <c r="AR130" s="14">
        <v>0.51315830805212603</v>
      </c>
      <c r="AS130" s="14">
        <v>-0.41424152122661317</v>
      </c>
      <c r="AT130" s="14">
        <v>-0.19834442437783195</v>
      </c>
      <c r="AU130" s="14">
        <v>-5.7670672681293111E-2</v>
      </c>
      <c r="AV130" s="14">
        <v>-7.9750666035411782E-3</v>
      </c>
      <c r="AW130" s="14">
        <v>-0.22118944336439045</v>
      </c>
      <c r="AX130" s="14">
        <v>-0.32871529155393736</v>
      </c>
      <c r="AY130" s="14">
        <v>-0.44515571946814736</v>
      </c>
      <c r="AZ130" s="14">
        <v>-3.6379071818475765E-2</v>
      </c>
      <c r="BA130" s="14">
        <v>-0.38509528462176174</v>
      </c>
      <c r="BB130" s="14">
        <v>0.15346541129452557</v>
      </c>
      <c r="BC130" s="14">
        <v>-4.0375946778127614E-2</v>
      </c>
      <c r="BD130" s="14">
        <v>-0.2496356629314902</v>
      </c>
      <c r="BE130" s="14">
        <v>-0.43704835634261696</v>
      </c>
      <c r="BF130" s="14">
        <v>0.53296393834702926</v>
      </c>
      <c r="BK130" s="16">
        <v>-7.7246875625379324E-2</v>
      </c>
      <c r="BL130" s="16">
        <v>-3.1972718544096099E-2</v>
      </c>
      <c r="BN130" s="17">
        <f t="shared" si="5"/>
        <v>1</v>
      </c>
    </row>
    <row r="131" spans="1:66" x14ac:dyDescent="0.2">
      <c r="A131">
        <v>1.5882775116019461</v>
      </c>
      <c r="B131">
        <v>1.503213522366099</v>
      </c>
      <c r="C131">
        <v>1.564462962933266</v>
      </c>
      <c r="D131">
        <v>1.51999489476764</v>
      </c>
      <c r="E131">
        <v>1.001741307274028</v>
      </c>
      <c r="F131">
        <v>2.0223470137308568</v>
      </c>
      <c r="G131">
        <v>1.649876277690536</v>
      </c>
      <c r="H131">
        <v>1.27951829085637</v>
      </c>
      <c r="I131">
        <v>1.222441145274487</v>
      </c>
      <c r="J131">
        <v>0.83841127162547868</v>
      </c>
      <c r="M131" s="13">
        <v>1</v>
      </c>
      <c r="O131" s="10">
        <f t="shared" ref="O131:O194" si="6">IF(M131=0,1,0)</f>
        <v>0</v>
      </c>
      <c r="P131" s="10">
        <f t="shared" ref="P131:P194" si="7">IF(M131=1,1,0)</f>
        <v>1</v>
      </c>
      <c r="R131" s="14">
        <v>-0.80375436364785391</v>
      </c>
      <c r="S131" s="14">
        <v>-1.1300024212284494</v>
      </c>
      <c r="T131" s="14">
        <v>-0.81654966275854357</v>
      </c>
      <c r="U131" s="14">
        <v>-0.70651840256024878</v>
      </c>
      <c r="V131" s="14">
        <v>-0.62880453709489659</v>
      </c>
      <c r="W131" s="14">
        <v>0.71678058217314189</v>
      </c>
      <c r="X131" s="14">
        <v>1.065441443284014</v>
      </c>
      <c r="Y131" s="14">
        <v>1.1199018542802257</v>
      </c>
      <c r="Z131" s="14">
        <v>-0.62488159317455094</v>
      </c>
      <c r="AA131" s="14">
        <v>-0.29096134161778642</v>
      </c>
      <c r="AB131" s="14">
        <v>0.54928026047827117</v>
      </c>
      <c r="AC131" s="14">
        <v>-0.39328818085435557</v>
      </c>
      <c r="AD131" s="14">
        <v>1.1177857993828313</v>
      </c>
      <c r="AE131" s="14">
        <v>-0.6624448951319859</v>
      </c>
      <c r="AF131" s="14">
        <v>-0.31196327359844211</v>
      </c>
      <c r="AG131" s="14">
        <v>-0.34168220566081209</v>
      </c>
      <c r="AH131" s="14">
        <v>3.4882766113776387E-2</v>
      </c>
      <c r="AI131" s="14">
        <v>0.33375922292333682</v>
      </c>
      <c r="AJ131" s="14">
        <v>1.5608653856525676</v>
      </c>
      <c r="AK131" s="14">
        <v>-0.3189391468233545</v>
      </c>
      <c r="AM131" s="14">
        <v>-0.38012332153181594</v>
      </c>
      <c r="AN131" s="14">
        <v>-0.90308264203146815</v>
      </c>
      <c r="AO131" s="14">
        <v>-0.85467612381205671</v>
      </c>
      <c r="AP131" s="14">
        <v>-0.74600217913602207</v>
      </c>
      <c r="AQ131" s="14">
        <v>-0.96243329209974016</v>
      </c>
      <c r="AR131" s="14">
        <v>0.10417191188573034</v>
      </c>
      <c r="AS131" s="14">
        <v>0.97449402778983296</v>
      </c>
      <c r="AT131" s="14">
        <v>0.70724019131832228</v>
      </c>
      <c r="AU131" s="14">
        <v>-0.87743298863527297</v>
      </c>
      <c r="AV131" s="14">
        <v>-0.88627587089724902</v>
      </c>
      <c r="AW131" s="14">
        <v>0.78835175169281857</v>
      </c>
      <c r="AX131" s="14">
        <v>-0.82223432405593022</v>
      </c>
      <c r="AY131" s="14">
        <v>0.91045040064388649</v>
      </c>
      <c r="AZ131" s="14">
        <v>-0.95510385016199195</v>
      </c>
      <c r="BA131" s="14">
        <v>-1.2244730530352166E-2</v>
      </c>
      <c r="BB131" s="14">
        <v>-0.44432220691207142</v>
      </c>
      <c r="BC131" s="14">
        <v>0.64413544037838233</v>
      </c>
      <c r="BD131" s="14">
        <v>0.84176237723072878</v>
      </c>
      <c r="BE131" s="14">
        <v>0.94284289282683831</v>
      </c>
      <c r="BF131" s="14">
        <v>3.2644526155453289E-2</v>
      </c>
      <c r="BK131" s="16">
        <v>0.47800974989179906</v>
      </c>
      <c r="BL131" s="16">
        <v>-0.55925692373766711</v>
      </c>
      <c r="BN131" s="17">
        <f t="shared" si="5"/>
        <v>0</v>
      </c>
    </row>
    <row r="132" spans="1:66" x14ac:dyDescent="0.2">
      <c r="A132">
        <v>-0.58483926768635219</v>
      </c>
      <c r="B132">
        <v>-1.3975286734494179</v>
      </c>
      <c r="C132">
        <v>-0.56540342828806078</v>
      </c>
      <c r="D132">
        <v>-0.59914374646934254</v>
      </c>
      <c r="E132">
        <v>-0.1841390185689212</v>
      </c>
      <c r="F132">
        <v>-0.77895936548127609</v>
      </c>
      <c r="G132">
        <v>-0.55032809647737768</v>
      </c>
      <c r="H132">
        <v>-0.64391366197779554</v>
      </c>
      <c r="I132">
        <v>-0.6263559200891512</v>
      </c>
      <c r="J132">
        <v>-0.5292880508035257</v>
      </c>
      <c r="M132" s="13">
        <v>0</v>
      </c>
      <c r="O132" s="10">
        <f t="shared" si="6"/>
        <v>1</v>
      </c>
      <c r="P132" s="10">
        <f t="shared" si="7"/>
        <v>0</v>
      </c>
      <c r="R132" s="14">
        <v>0.74339517482392148</v>
      </c>
      <c r="S132" s="14">
        <v>-1.0828622983457217</v>
      </c>
      <c r="T132" s="14">
        <v>-0.70343941235408547</v>
      </c>
      <c r="U132" s="14">
        <v>-1.1381929432460149</v>
      </c>
      <c r="V132" s="14">
        <v>-0.61985135872968566</v>
      </c>
      <c r="W132" s="14">
        <v>-0.31492788922841825</v>
      </c>
      <c r="X132" s="14">
        <v>1.0626625740826909</v>
      </c>
      <c r="Y132" s="14">
        <v>0.98198819914585378</v>
      </c>
      <c r="Z132" s="14">
        <v>-1.4922647949178913E-2</v>
      </c>
      <c r="AA132" s="14">
        <v>-0.25021673190473037</v>
      </c>
      <c r="AB132" s="14">
        <v>0.75045865409931378</v>
      </c>
      <c r="AC132" s="14">
        <v>0.33808517738220573</v>
      </c>
      <c r="AD132" s="14">
        <v>1.1166499174331939</v>
      </c>
      <c r="AE132" s="14">
        <v>-0.5784301054424843</v>
      </c>
      <c r="AF132" s="14">
        <v>0.31548586702683951</v>
      </c>
      <c r="AG132" s="14">
        <v>-0.60063378086502406</v>
      </c>
      <c r="AH132" s="14">
        <v>-0.12152211906952615</v>
      </c>
      <c r="AI132" s="14">
        <v>0.30435873654517398</v>
      </c>
      <c r="AJ132" s="14">
        <v>1.5640469755879958</v>
      </c>
      <c r="AK132" s="14">
        <v>-1.3704962320686662</v>
      </c>
      <c r="AM132" s="14">
        <v>-0.36343782668948521</v>
      </c>
      <c r="AN132" s="14">
        <v>-0.60122638780047066</v>
      </c>
      <c r="AO132" s="14">
        <v>-0.14043527958922633</v>
      </c>
      <c r="AP132" s="14">
        <v>0.35716909587215373</v>
      </c>
      <c r="AQ132" s="14">
        <v>-0.45095595367376412</v>
      </c>
      <c r="AR132" s="14">
        <v>0.30958487156295045</v>
      </c>
      <c r="AS132" s="14">
        <v>0.60387289044531989</v>
      </c>
      <c r="AT132" s="14">
        <v>0.4931977437878084</v>
      </c>
      <c r="AU132" s="14">
        <v>-0.40443900217590556</v>
      </c>
      <c r="AV132" s="14">
        <v>-0.39441738326664255</v>
      </c>
      <c r="AW132" s="14">
        <v>-0.40698443233299492</v>
      </c>
      <c r="AX132" s="14">
        <v>-0.37529127874428692</v>
      </c>
      <c r="AY132" s="14">
        <v>0.3983576727754598</v>
      </c>
      <c r="AZ132" s="14">
        <v>-0.68075511486327922</v>
      </c>
      <c r="BA132" s="14">
        <v>-0.14222499065415273</v>
      </c>
      <c r="BB132" s="14">
        <v>9.2777727117597502E-3</v>
      </c>
      <c r="BC132" s="14">
        <v>0.40005694429076455</v>
      </c>
      <c r="BD132" s="14">
        <v>0.52800682663266385</v>
      </c>
      <c r="BE132" s="14">
        <v>0.46093922087905875</v>
      </c>
      <c r="BF132" s="14">
        <v>-0.14846179018754357</v>
      </c>
      <c r="BK132" s="16">
        <v>-3.838252612199454E-2</v>
      </c>
      <c r="BL132" s="16">
        <v>-0.99169286647636801</v>
      </c>
      <c r="BN132" s="17">
        <f t="shared" si="5"/>
        <v>0</v>
      </c>
    </row>
    <row r="133" spans="1:66" x14ac:dyDescent="0.2">
      <c r="A133">
        <v>0.35017282024427121</v>
      </c>
      <c r="B133">
        <v>0.1202730334058694</v>
      </c>
      <c r="C133">
        <v>0.37336464983794132</v>
      </c>
      <c r="D133">
        <v>0.24453940450397921</v>
      </c>
      <c r="E133">
        <v>0.32154666809753629</v>
      </c>
      <c r="F133">
        <v>0.6846131862602256</v>
      </c>
      <c r="G133">
        <v>0.78006964603470297</v>
      </c>
      <c r="H133">
        <v>0.58178248019424572</v>
      </c>
      <c r="I133">
        <v>0.45550386868658199</v>
      </c>
      <c r="J133">
        <v>0.51194849675465548</v>
      </c>
      <c r="M133" s="13">
        <v>1</v>
      </c>
      <c r="O133" s="10">
        <f t="shared" si="6"/>
        <v>0</v>
      </c>
      <c r="P133" s="10">
        <f t="shared" si="7"/>
        <v>1</v>
      </c>
      <c r="R133" s="14">
        <v>-4.1229232779127267E-2</v>
      </c>
      <c r="S133" s="14">
        <v>0.52613601499372931</v>
      </c>
      <c r="T133" s="14">
        <v>-0.18027545017971675</v>
      </c>
      <c r="U133" s="14">
        <v>-9.4551754826890211E-2</v>
      </c>
      <c r="V133" s="14">
        <v>0.39550067329275496</v>
      </c>
      <c r="W133" s="14">
        <v>9.5780345786812271E-2</v>
      </c>
      <c r="X133" s="14">
        <v>-0.8540710857712781</v>
      </c>
      <c r="Y133" s="14">
        <v>-0.76418878301584714</v>
      </c>
      <c r="Z133" s="14">
        <v>0.22115033376778892</v>
      </c>
      <c r="AA133" s="14">
        <v>0.90449149275850527</v>
      </c>
      <c r="AB133" s="14">
        <v>0.75051166839240369</v>
      </c>
      <c r="AC133" s="14">
        <v>3.265033702593613E-2</v>
      </c>
      <c r="AD133" s="14">
        <v>-0.13953237081030198</v>
      </c>
      <c r="AE133" s="14">
        <v>1.0433532383135633</v>
      </c>
      <c r="AF133" s="14">
        <v>-0.56670380786413954</v>
      </c>
      <c r="AG133" s="14">
        <v>-0.50600645123437593</v>
      </c>
      <c r="AH133" s="14">
        <v>-0.55167703132053547</v>
      </c>
      <c r="AI133" s="14">
        <v>-0.97641920374147229</v>
      </c>
      <c r="AJ133" s="14">
        <v>6.8880872895749123E-2</v>
      </c>
      <c r="AK133" s="14">
        <v>-0.76821854859706817</v>
      </c>
      <c r="AM133" s="14">
        <v>-0.39075757321435628</v>
      </c>
      <c r="AN133" s="14">
        <v>-0.4839618563919898</v>
      </c>
      <c r="AO133" s="14">
        <v>-0.45883507473203833</v>
      </c>
      <c r="AP133" s="14">
        <v>-0.13817492142846166</v>
      </c>
      <c r="AQ133" s="14">
        <v>-0.78832679614300305</v>
      </c>
      <c r="AR133" s="14">
        <v>0.61453128859480677</v>
      </c>
      <c r="AS133" s="14">
        <v>0.7478713403547681</v>
      </c>
      <c r="AT133" s="14">
        <v>-0.13595378143406273</v>
      </c>
      <c r="AU133" s="14">
        <v>-0.87438368873532213</v>
      </c>
      <c r="AV133" s="14">
        <v>-0.4659491749300344</v>
      </c>
      <c r="AW133" s="14">
        <v>0.58439504746625115</v>
      </c>
      <c r="AX133" s="14">
        <v>-0.68804012666150782</v>
      </c>
      <c r="AY133" s="14">
        <v>0.47828777320791088</v>
      </c>
      <c r="AZ133" s="14">
        <v>-0.7262003502261537</v>
      </c>
      <c r="BA133" s="14">
        <v>-0.32491296180283746</v>
      </c>
      <c r="BB133" s="14">
        <v>-0.13988330305242364</v>
      </c>
      <c r="BC133" s="14">
        <v>0.28912467875703157</v>
      </c>
      <c r="BD133" s="14">
        <v>0.38566034646702424</v>
      </c>
      <c r="BE133" s="14">
        <v>0.57871665071488154</v>
      </c>
      <c r="BF133" s="14">
        <v>0.19979778361352424</v>
      </c>
      <c r="BK133" s="16">
        <v>0.59710593316390304</v>
      </c>
      <c r="BL133" s="16">
        <v>-0.13521769467203804</v>
      </c>
      <c r="BN133" s="17">
        <f t="shared" si="5"/>
        <v>0</v>
      </c>
    </row>
    <row r="134" spans="1:66" x14ac:dyDescent="0.2">
      <c r="A134">
        <v>0.55032831307345631</v>
      </c>
      <c r="B134">
        <v>0.6253895949764493</v>
      </c>
      <c r="C134">
        <v>0.56012222506194687</v>
      </c>
      <c r="D134">
        <v>0.41983897425585659</v>
      </c>
      <c r="E134">
        <v>0.43491244129361778</v>
      </c>
      <c r="F134">
        <v>0.16018185259935711</v>
      </c>
      <c r="G134">
        <v>0.1477153684218524</v>
      </c>
      <c r="H134">
        <v>0.6252615663185912</v>
      </c>
      <c r="I134">
        <v>0.48915700553455022</v>
      </c>
      <c r="J134">
        <v>0.2094462925165532</v>
      </c>
      <c r="M134" s="13">
        <v>1</v>
      </c>
      <c r="O134" s="10">
        <f t="shared" si="6"/>
        <v>0</v>
      </c>
      <c r="P134" s="10">
        <f t="shared" si="7"/>
        <v>1</v>
      </c>
      <c r="R134" s="14">
        <v>-1.355875479909276</v>
      </c>
      <c r="S134" s="14">
        <v>-0.42953407792152831</v>
      </c>
      <c r="T134" s="14">
        <v>-0.13265702198588464</v>
      </c>
      <c r="U134" s="14">
        <v>3.2859213819963151E-2</v>
      </c>
      <c r="V134" s="14">
        <v>0.38742669910791144</v>
      </c>
      <c r="W134" s="14">
        <v>0.60012050875861611</v>
      </c>
      <c r="X134" s="14">
        <v>-0.4852972771871728</v>
      </c>
      <c r="Y134" s="14">
        <v>-0.13260519910789614</v>
      </c>
      <c r="Z134" s="14">
        <v>0.20796743304705412</v>
      </c>
      <c r="AA134" s="14">
        <v>6.9843696637041569E-2</v>
      </c>
      <c r="AB134" s="14">
        <v>-7.4221670779306081E-2</v>
      </c>
      <c r="AC134" s="14">
        <v>-0.70304309223698791</v>
      </c>
      <c r="AD134" s="14">
        <v>-0.56652001490272641</v>
      </c>
      <c r="AE134" s="14">
        <v>-0.2749108765861753</v>
      </c>
      <c r="AF134" s="14">
        <v>-1.0182672655523308</v>
      </c>
      <c r="AG134" s="14">
        <v>-9.9553593915385763E-2</v>
      </c>
      <c r="AH134" s="14">
        <v>-0.49601638667724013</v>
      </c>
      <c r="AI134" s="14">
        <v>-0.92152650706589156</v>
      </c>
      <c r="AJ134" s="14">
        <v>-0.25105237522894569</v>
      </c>
      <c r="AK134" s="14">
        <v>9.0459469790994729E-2</v>
      </c>
      <c r="AM134" s="14">
        <v>-0.53020246378701064</v>
      </c>
      <c r="AN134" s="14">
        <v>-0.71448476185121901</v>
      </c>
      <c r="AO134" s="14">
        <v>-0.57087984048650575</v>
      </c>
      <c r="AP134" s="14">
        <v>-0.31334719966091645</v>
      </c>
      <c r="AQ134" s="14">
        <v>-0.64932205653069242</v>
      </c>
      <c r="AR134" s="14">
        <v>0.34857522930318646</v>
      </c>
      <c r="AS134" s="14">
        <v>0.83426014296826501</v>
      </c>
      <c r="AT134" s="14">
        <v>0.49042974559292934</v>
      </c>
      <c r="AU134" s="14">
        <v>-0.6655945518966363</v>
      </c>
      <c r="AV134" s="14">
        <v>-0.57044233410425149</v>
      </c>
      <c r="AW134" s="14">
        <v>0.14233600030680982</v>
      </c>
      <c r="AX134" s="14">
        <v>-0.6371888720027582</v>
      </c>
      <c r="AY134" s="14">
        <v>0.68341881511178837</v>
      </c>
      <c r="AZ134" s="14">
        <v>-0.81461744835880701</v>
      </c>
      <c r="BA134" s="14">
        <v>-0.19516024010483612</v>
      </c>
      <c r="BB134" s="14">
        <v>7.8756920316991247E-2</v>
      </c>
      <c r="BC134" s="14">
        <v>0.34535323020064174</v>
      </c>
      <c r="BD134" s="14">
        <v>0.64981784127863174</v>
      </c>
      <c r="BE134" s="14">
        <v>0.69714938971702634</v>
      </c>
      <c r="BF134" s="14">
        <v>0.28092044794576915</v>
      </c>
      <c r="BK134" s="16">
        <v>0.3286428648174029</v>
      </c>
      <c r="BL134" s="16">
        <v>-0.69943788589455369</v>
      </c>
      <c r="BN134" s="17">
        <f t="shared" si="5"/>
        <v>0</v>
      </c>
    </row>
    <row r="135" spans="1:66" x14ac:dyDescent="0.2">
      <c r="A135">
        <v>0.42165692482612299</v>
      </c>
      <c r="B135">
        <v>-1.2405992562624411</v>
      </c>
      <c r="C135">
        <v>0.38581515485287482</v>
      </c>
      <c r="D135">
        <v>0.28138397745675497</v>
      </c>
      <c r="E135">
        <v>-0.19287375847091431</v>
      </c>
      <c r="F135">
        <v>-0.24832907988588221</v>
      </c>
      <c r="G135">
        <v>0.22950735259166341</v>
      </c>
      <c r="H135">
        <v>0.21738632981877379</v>
      </c>
      <c r="I135">
        <v>4.2455894320994197E-2</v>
      </c>
      <c r="J135">
        <v>0.30229350371834668</v>
      </c>
      <c r="M135" s="13">
        <v>0</v>
      </c>
      <c r="O135" s="10">
        <f t="shared" si="6"/>
        <v>1</v>
      </c>
      <c r="P135" s="10">
        <f t="shared" si="7"/>
        <v>0</v>
      </c>
      <c r="R135" s="14">
        <v>-0.71864211439042203</v>
      </c>
      <c r="S135" s="14">
        <v>-1.1317233638406736</v>
      </c>
      <c r="T135" s="14">
        <v>-0.84874982752686368</v>
      </c>
      <c r="U135" s="14">
        <v>-1.4597520953717997</v>
      </c>
      <c r="V135" s="14">
        <v>-0.6748368342526444</v>
      </c>
      <c r="W135" s="14">
        <v>-0.20068337251454244</v>
      </c>
      <c r="X135" s="14">
        <v>1.0655333647007748</v>
      </c>
      <c r="Y135" s="14">
        <v>1.0526201025171262</v>
      </c>
      <c r="Z135" s="14">
        <v>-0.67650961656357156</v>
      </c>
      <c r="AA135" s="14">
        <v>-0.30101202552036754</v>
      </c>
      <c r="AB135" s="14">
        <v>0.78802223582715447</v>
      </c>
      <c r="AC135" s="14">
        <v>-0.39791754607831509</v>
      </c>
      <c r="AD135" s="14">
        <v>1.1391614915650816</v>
      </c>
      <c r="AE135" s="14">
        <v>-0.66240855761941764</v>
      </c>
      <c r="AF135" s="14">
        <v>-0.32204812777833136</v>
      </c>
      <c r="AG135" s="14">
        <v>-0.62182933644365368</v>
      </c>
      <c r="AH135" s="14">
        <v>0.16723900388974478</v>
      </c>
      <c r="AI135" s="14">
        <v>0.33810437697724882</v>
      </c>
      <c r="AJ135" s="14">
        <v>1.5680870135835974</v>
      </c>
      <c r="AK135" s="14">
        <v>-0.63741279630908332</v>
      </c>
      <c r="AM135" s="14">
        <v>0.30523999523842876</v>
      </c>
      <c r="AN135" s="14">
        <v>0.78664175527642866</v>
      </c>
      <c r="AO135" s="14">
        <v>0.13687687445105706</v>
      </c>
      <c r="AP135" s="14">
        <v>-0.66372240051984266</v>
      </c>
      <c r="AQ135" s="14">
        <v>-6.0734263482468076E-2</v>
      </c>
      <c r="AR135" s="14">
        <v>0.14432096898798369</v>
      </c>
      <c r="AS135" s="14">
        <v>-0.72815493470539061</v>
      </c>
      <c r="AT135" s="14">
        <v>-0.84676288210509687</v>
      </c>
      <c r="AU135" s="14">
        <v>-0.15524043094695439</v>
      </c>
      <c r="AV135" s="14">
        <v>0.20944989279215434</v>
      </c>
      <c r="AW135" s="14">
        <v>0.89196470303600217</v>
      </c>
      <c r="AX135" s="14">
        <v>0.2599224352384425</v>
      </c>
      <c r="AY135" s="14">
        <v>-0.62651328554079289</v>
      </c>
      <c r="AZ135" s="14">
        <v>0.75316151629796591</v>
      </c>
      <c r="BA135" s="14">
        <v>-0.21179886900620326</v>
      </c>
      <c r="BB135" s="14">
        <v>-0.63393911081767551</v>
      </c>
      <c r="BC135" s="14">
        <v>-0.52359066764635176</v>
      </c>
      <c r="BD135" s="14">
        <v>-0.75300567118791384</v>
      </c>
      <c r="BE135" s="14">
        <v>-0.44475884609319222</v>
      </c>
      <c r="BF135" s="14">
        <v>0.22787460239064183</v>
      </c>
      <c r="BK135" s="16">
        <v>-0.5546406464175927</v>
      </c>
      <c r="BL135" s="16">
        <v>0.48569510586485704</v>
      </c>
      <c r="BN135" s="17">
        <f t="shared" si="5"/>
        <v>1</v>
      </c>
    </row>
    <row r="136" spans="1:66" x14ac:dyDescent="0.2">
      <c r="A136">
        <v>1.2051227110432201</v>
      </c>
      <c r="B136">
        <v>0.71611441428767031</v>
      </c>
      <c r="C136">
        <v>1.1411457924255199</v>
      </c>
      <c r="D136">
        <v>1.1832124701211759</v>
      </c>
      <c r="E136">
        <v>-0.14696991260299269</v>
      </c>
      <c r="F136">
        <v>0.29655879515892092</v>
      </c>
      <c r="G136">
        <v>0.46312570737668579</v>
      </c>
      <c r="H136">
        <v>1.256743531457903</v>
      </c>
      <c r="I136">
        <v>1.2242123630033279</v>
      </c>
      <c r="J136">
        <v>0.30978118204107208</v>
      </c>
      <c r="M136" s="13">
        <v>1</v>
      </c>
      <c r="O136" s="10">
        <f t="shared" si="6"/>
        <v>0</v>
      </c>
      <c r="P136" s="10">
        <f t="shared" si="7"/>
        <v>1</v>
      </c>
      <c r="R136" s="14">
        <v>-0.60257554075107445</v>
      </c>
      <c r="S136" s="14">
        <v>-1.1226980630677996</v>
      </c>
      <c r="T136" s="14">
        <v>-0.39188326523522932</v>
      </c>
      <c r="U136" s="14">
        <v>-0.13599957009363683</v>
      </c>
      <c r="V136" s="14">
        <v>-0.50576749009627608</v>
      </c>
      <c r="W136" s="14">
        <v>0.71851084452716896</v>
      </c>
      <c r="X136" s="14">
        <v>1.0618663945633731</v>
      </c>
      <c r="Y136" s="14">
        <v>1.1162535081690339</v>
      </c>
      <c r="Z136" s="14">
        <v>-0.55567621044536553</v>
      </c>
      <c r="AA136" s="14">
        <v>-0.19670152969980004</v>
      </c>
      <c r="AB136" s="14">
        <v>-0.82394800906264754</v>
      </c>
      <c r="AC136" s="14">
        <v>-0.28725914238460315</v>
      </c>
      <c r="AD136" s="14">
        <v>1.0271039175469534</v>
      </c>
      <c r="AE136" s="14">
        <v>-0.66139424025100491</v>
      </c>
      <c r="AF136" s="14">
        <v>-0.1027618064885113</v>
      </c>
      <c r="AG136" s="14">
        <v>-0.11835836738559574</v>
      </c>
      <c r="AH136" s="14">
        <v>-3.5226560919608851E-2</v>
      </c>
      <c r="AI136" s="14">
        <v>0.31917433010894181</v>
      </c>
      <c r="AJ136" s="14">
        <v>1.5208793864556946</v>
      </c>
      <c r="AK136" s="14">
        <v>-0.84507934132728746</v>
      </c>
      <c r="AM136" s="14">
        <v>-4.2337451524298186E-2</v>
      </c>
      <c r="AN136" s="14">
        <v>-0.17631010893520949</v>
      </c>
      <c r="AO136" s="14">
        <v>-0.17829325980161678</v>
      </c>
      <c r="AP136" s="14">
        <v>6.0352077361864938E-2</v>
      </c>
      <c r="AQ136" s="14">
        <v>-0.53523660905868486</v>
      </c>
      <c r="AR136" s="14">
        <v>0.24986566729254331</v>
      </c>
      <c r="AS136" s="14">
        <v>0.38278025823047551</v>
      </c>
      <c r="AT136" s="14">
        <v>-0.17811062042252632</v>
      </c>
      <c r="AU136" s="14">
        <v>-0.64432059275501996</v>
      </c>
      <c r="AV136" s="14">
        <v>-0.1679676149970937</v>
      </c>
      <c r="AW136" s="14">
        <v>0.38265103074890949</v>
      </c>
      <c r="AX136" s="14">
        <v>-0.40342465016243256</v>
      </c>
      <c r="AY136" s="14">
        <v>0.19902649281216861</v>
      </c>
      <c r="AZ136" s="14">
        <v>-0.3345383188170194</v>
      </c>
      <c r="BA136" s="14">
        <v>-4.9345495022937953E-2</v>
      </c>
      <c r="BB136" s="14">
        <v>-0.12386699519417216</v>
      </c>
      <c r="BC136" s="14">
        <v>0.13993249470927441</v>
      </c>
      <c r="BD136" s="14">
        <v>0.10935921211114261</v>
      </c>
      <c r="BE136" s="14">
        <v>0.24707092968232927</v>
      </c>
      <c r="BF136" s="14">
        <v>-7.5755485574250561E-2</v>
      </c>
      <c r="BK136" s="16">
        <v>-0.30838820580401527</v>
      </c>
      <c r="BL136" s="16">
        <v>0.61702895428053151</v>
      </c>
      <c r="BN136" s="17">
        <f t="shared" si="5"/>
        <v>1</v>
      </c>
    </row>
    <row r="137" spans="1:66" x14ac:dyDescent="0.2">
      <c r="A137">
        <v>-0.41899614505645583</v>
      </c>
      <c r="B137">
        <v>0.85342765432627432</v>
      </c>
      <c r="C137">
        <v>-0.45583898415664409</v>
      </c>
      <c r="D137">
        <v>-0.45378039224159522</v>
      </c>
      <c r="E137">
        <v>-0.88068806437042113</v>
      </c>
      <c r="F137">
        <v>-0.54885426967168482</v>
      </c>
      <c r="G137">
        <v>-0.59582488767183484</v>
      </c>
      <c r="H137">
        <v>-0.40581390463018607</v>
      </c>
      <c r="I137">
        <v>-0.43435591828284892</v>
      </c>
      <c r="J137">
        <v>-0.3579699707795706</v>
      </c>
      <c r="M137" s="13">
        <v>1</v>
      </c>
      <c r="O137" s="10">
        <f t="shared" si="6"/>
        <v>0</v>
      </c>
      <c r="P137" s="10">
        <f t="shared" si="7"/>
        <v>1</v>
      </c>
      <c r="R137" s="14">
        <v>-0.63954199462002403</v>
      </c>
      <c r="S137" s="14">
        <v>-0.94974034699095844</v>
      </c>
      <c r="T137" s="14">
        <v>-0.74054253677520909</v>
      </c>
      <c r="U137" s="14">
        <v>-0.72526902598641574</v>
      </c>
      <c r="V137" s="14">
        <v>-0.64457601321058711</v>
      </c>
      <c r="W137" s="14">
        <v>1.0778233972256901</v>
      </c>
      <c r="X137" s="14">
        <v>1.063397324855734</v>
      </c>
      <c r="Y137" s="14">
        <v>-0.26045474951659908</v>
      </c>
      <c r="Z137" s="14">
        <v>-1.1714244192447385</v>
      </c>
      <c r="AA137" s="14">
        <v>-0.19267242874174662</v>
      </c>
      <c r="AB137" s="14">
        <v>0.77025944114496048</v>
      </c>
      <c r="AC137" s="14">
        <v>-0.38000654202090656</v>
      </c>
      <c r="AD137" s="14">
        <v>0.96632670461647374</v>
      </c>
      <c r="AE137" s="14">
        <v>-0.65758316558221508</v>
      </c>
      <c r="AF137" s="14">
        <v>-0.25081168360707784</v>
      </c>
      <c r="AG137" s="14">
        <v>-0.31555491314643713</v>
      </c>
      <c r="AH137" s="14">
        <v>-0.20965294214837138</v>
      </c>
      <c r="AI137" s="14">
        <v>6.861681244849227E-2</v>
      </c>
      <c r="AJ137" s="14">
        <v>1.4990485852749003</v>
      </c>
      <c r="AK137" s="14">
        <v>-0.35425740802187139</v>
      </c>
      <c r="AM137" s="14">
        <v>1.4402417594352962E-2</v>
      </c>
      <c r="AN137" s="14">
        <v>-0.55231475382818618</v>
      </c>
      <c r="AO137" s="14">
        <v>-0.21127501056872111</v>
      </c>
      <c r="AP137" s="14">
        <v>0.24184821689046632</v>
      </c>
      <c r="AQ137" s="14">
        <v>-0.45969439638750587</v>
      </c>
      <c r="AR137" s="14">
        <v>9.1850063143644467E-2</v>
      </c>
      <c r="AS137" s="14">
        <v>0.65641184609056968</v>
      </c>
      <c r="AT137" s="14">
        <v>0.40847938837072223</v>
      </c>
      <c r="AU137" s="14">
        <v>-0.47852644220108437</v>
      </c>
      <c r="AV137" s="14">
        <v>-0.2533672017008049</v>
      </c>
      <c r="AW137" s="14">
        <v>-0.22459555777821533</v>
      </c>
      <c r="AX137" s="14">
        <v>-0.3154409768004468</v>
      </c>
      <c r="AY137" s="14">
        <v>0.50478293176113465</v>
      </c>
      <c r="AZ137" s="14">
        <v>-0.59542514760027621</v>
      </c>
      <c r="BA137" s="14">
        <v>7.7189079786821713E-2</v>
      </c>
      <c r="BB137" s="14">
        <v>7.4533070138262339E-2</v>
      </c>
      <c r="BC137" s="14">
        <v>0.34636102773831801</v>
      </c>
      <c r="BD137" s="14">
        <v>0.51622966617409727</v>
      </c>
      <c r="BE137" s="14">
        <v>0.49599808600203765</v>
      </c>
      <c r="BF137" s="14">
        <v>-0.30489594698495542</v>
      </c>
      <c r="BK137" s="16">
        <v>-0.19600230124391477</v>
      </c>
      <c r="BL137" s="16">
        <v>0.7118681305148018</v>
      </c>
      <c r="BN137" s="17">
        <f t="shared" si="5"/>
        <v>1</v>
      </c>
    </row>
    <row r="138" spans="1:66" x14ac:dyDescent="0.2">
      <c r="A138">
        <v>-0.72208874848350757</v>
      </c>
      <c r="B138">
        <v>-0.56874518893069848</v>
      </c>
      <c r="C138">
        <v>-0.74635076783843068</v>
      </c>
      <c r="D138">
        <v>-0.6918308753036686</v>
      </c>
      <c r="E138">
        <v>-0.81861565740732056</v>
      </c>
      <c r="F138">
        <v>-0.68758681396636845</v>
      </c>
      <c r="G138">
        <v>-0.62240728252702349</v>
      </c>
      <c r="H138">
        <v>-0.64598409465038342</v>
      </c>
      <c r="I138">
        <v>-0.62369909349589059</v>
      </c>
      <c r="J138">
        <v>-0.71183764831156859</v>
      </c>
      <c r="M138" s="13">
        <v>0</v>
      </c>
      <c r="O138" s="10">
        <f t="shared" si="6"/>
        <v>1</v>
      </c>
      <c r="P138" s="10">
        <f t="shared" si="7"/>
        <v>0</v>
      </c>
      <c r="R138" s="14">
        <v>-0.75851605361671171</v>
      </c>
      <c r="S138" s="14">
        <v>-1.1098096188893511</v>
      </c>
      <c r="T138" s="14">
        <v>-0.81744233390075061</v>
      </c>
      <c r="U138" s="14">
        <v>-0.9725777291297738</v>
      </c>
      <c r="V138" s="14">
        <v>-0.56776605979999173</v>
      </c>
      <c r="W138" s="14">
        <v>0.51204102736059676</v>
      </c>
      <c r="X138" s="14">
        <v>1.0651733716749041</v>
      </c>
      <c r="Y138" s="14">
        <v>0.83065370508696201</v>
      </c>
      <c r="Z138" s="14">
        <v>-0.68956998557313931</v>
      </c>
      <c r="AA138" s="14">
        <v>-0.266275931638848</v>
      </c>
      <c r="AB138" s="14">
        <v>0.69659282434244107</v>
      </c>
      <c r="AC138" s="14">
        <v>-0.3915828241555821</v>
      </c>
      <c r="AD138" s="14">
        <v>1.1119127205816381</v>
      </c>
      <c r="AE138" s="14">
        <v>-0.66146829346775848</v>
      </c>
      <c r="AF138" s="14">
        <v>-0.29005248117306015</v>
      </c>
      <c r="AG138" s="14">
        <v>-0.18461949639347008</v>
      </c>
      <c r="AH138" s="14">
        <v>-0.1458200422114172</v>
      </c>
      <c r="AI138" s="14">
        <v>0.30893850134601109</v>
      </c>
      <c r="AJ138" s="14">
        <v>1.5404484556656644</v>
      </c>
      <c r="AK138" s="14">
        <v>-0.22596660150692799</v>
      </c>
      <c r="AM138" s="14">
        <v>0.17733393982169485</v>
      </c>
      <c r="AN138" s="14">
        <v>0.98998166903122564</v>
      </c>
      <c r="AO138" s="14">
        <v>0.79349253333794767</v>
      </c>
      <c r="AP138" s="14">
        <v>-0.83110134645876121</v>
      </c>
      <c r="AQ138" s="14">
        <v>0.95016255172956854</v>
      </c>
      <c r="AR138" s="14">
        <v>-9.371660620175748E-2</v>
      </c>
      <c r="AS138" s="14">
        <v>-0.99405096073392862</v>
      </c>
      <c r="AT138" s="14">
        <v>-0.96382261349809939</v>
      </c>
      <c r="AU138" s="14">
        <v>0.88729381581064659</v>
      </c>
      <c r="AV138" s="14">
        <v>0.81501446046259163</v>
      </c>
      <c r="AW138" s="14">
        <v>0.75030793248661776</v>
      </c>
      <c r="AX138" s="14">
        <v>0.8767897444156334</v>
      </c>
      <c r="AY138" s="14">
        <v>-0.97572177363295931</v>
      </c>
      <c r="AZ138" s="14">
        <v>0.99231859531076461</v>
      </c>
      <c r="BA138" s="14">
        <v>-0.38205638066181463</v>
      </c>
      <c r="BB138" s="14">
        <v>-0.26242540978793799</v>
      </c>
      <c r="BC138" s="14">
        <v>-0.90373874737190707</v>
      </c>
      <c r="BD138" s="14">
        <v>-0.98456092057306954</v>
      </c>
      <c r="BE138" s="14">
        <v>-0.96936596558204158</v>
      </c>
      <c r="BF138" s="14">
        <v>0.80329353043300833</v>
      </c>
      <c r="BK138" s="16">
        <v>0.82888209962667558</v>
      </c>
      <c r="BL138" s="16">
        <v>-0.28067481659424875</v>
      </c>
      <c r="BN138" s="17">
        <f t="shared" si="5"/>
        <v>0</v>
      </c>
    </row>
    <row r="139" spans="1:66" x14ac:dyDescent="0.2">
      <c r="A139">
        <v>-0.80215094561518197</v>
      </c>
      <c r="B139">
        <v>-0.88260402330465149</v>
      </c>
      <c r="C139">
        <v>-0.81524356225439709</v>
      </c>
      <c r="D139">
        <v>-0.76033875313773569</v>
      </c>
      <c r="E139">
        <v>-0.67105430672258426</v>
      </c>
      <c r="F139">
        <v>-0.69862094840982403</v>
      </c>
      <c r="G139">
        <v>-0.55211729613109217</v>
      </c>
      <c r="H139">
        <v>-0.85509779458176194</v>
      </c>
      <c r="I139">
        <v>-0.77372123512867486</v>
      </c>
      <c r="J139">
        <v>-0.48600927009817341</v>
      </c>
      <c r="M139" s="13">
        <v>0</v>
      </c>
      <c r="O139" s="10">
        <f t="shared" si="6"/>
        <v>1</v>
      </c>
      <c r="P139" s="10">
        <f t="shared" si="7"/>
        <v>0</v>
      </c>
      <c r="R139" s="14">
        <v>0.25162102378428663</v>
      </c>
      <c r="S139" s="14">
        <v>1.0309346185705948</v>
      </c>
      <c r="T139" s="14">
        <v>-0.27067117523969608</v>
      </c>
      <c r="U139" s="14">
        <v>-1.4134587592456627</v>
      </c>
      <c r="V139" s="14">
        <v>-0.1976934314402905</v>
      </c>
      <c r="W139" s="14">
        <v>0.25594155573488536</v>
      </c>
      <c r="X139" s="14">
        <v>-1.4347700231593072</v>
      </c>
      <c r="Y139" s="14">
        <v>-1.1005747426178516</v>
      </c>
      <c r="Z139" s="14">
        <v>-6.248503922236992E-2</v>
      </c>
      <c r="AA139" s="14">
        <v>0.49878905905750448</v>
      </c>
      <c r="AB139" s="14">
        <v>1.7111639074623031</v>
      </c>
      <c r="AC139" s="14">
        <v>0.68974934508236341</v>
      </c>
      <c r="AD139" s="14">
        <v>-0.70939215826647495</v>
      </c>
      <c r="AE139" s="14">
        <v>1.6839561377707728</v>
      </c>
      <c r="AF139" s="14">
        <v>-0.71434192255137496</v>
      </c>
      <c r="AG139" s="14">
        <v>-1.5715012363795569</v>
      </c>
      <c r="AH139" s="14">
        <v>-1.1530691731959364</v>
      </c>
      <c r="AI139" s="14">
        <v>-1.5972382441820896</v>
      </c>
      <c r="AJ139" s="14">
        <v>3.3898788030550464E-2</v>
      </c>
      <c r="AK139" s="14">
        <v>-0.28106770861628638</v>
      </c>
      <c r="AM139" s="14">
        <v>-0.59533687772463817</v>
      </c>
      <c r="AN139" s="14">
        <v>-0.47277910672521867</v>
      </c>
      <c r="AO139" s="14">
        <v>-0.18226701115960831</v>
      </c>
      <c r="AP139" s="14">
        <v>0.2198334056843296</v>
      </c>
      <c r="AQ139" s="14">
        <v>-0.52476275705390862</v>
      </c>
      <c r="AR139" s="14">
        <v>0.45144524100356387</v>
      </c>
      <c r="AS139" s="14">
        <v>0.51885480687704921</v>
      </c>
      <c r="AT139" s="14">
        <v>0.22625246526401108</v>
      </c>
      <c r="AU139" s="14">
        <v>-0.60443591929444451</v>
      </c>
      <c r="AV139" s="14">
        <v>-0.41622483581230485</v>
      </c>
      <c r="AW139" s="14">
        <v>-7.5712568134779598E-2</v>
      </c>
      <c r="AX139" s="14">
        <v>-0.56342981472735421</v>
      </c>
      <c r="AY139" s="14">
        <v>0.25152584608525014</v>
      </c>
      <c r="AZ139" s="14">
        <v>-0.64667091422820555</v>
      </c>
      <c r="BA139" s="14">
        <v>-0.26275457141985348</v>
      </c>
      <c r="BB139" s="14">
        <v>9.809586549364873E-4</v>
      </c>
      <c r="BC139" s="14">
        <v>0.29983455350402699</v>
      </c>
      <c r="BD139" s="14">
        <v>0.32746954243276494</v>
      </c>
      <c r="BE139" s="14">
        <v>0.32119148396250863</v>
      </c>
      <c r="BF139" s="14">
        <v>0.19013829081096734</v>
      </c>
      <c r="BK139" s="16">
        <v>-0.47625581146823603</v>
      </c>
      <c r="BL139" s="16">
        <v>0.52168309562267678</v>
      </c>
      <c r="BN139" s="17">
        <f t="shared" si="5"/>
        <v>1</v>
      </c>
    </row>
    <row r="140" spans="1:66" x14ac:dyDescent="0.2">
      <c r="A140">
        <v>0.2043452468972928</v>
      </c>
      <c r="B140">
        <v>-0.34806319601151331</v>
      </c>
      <c r="C140">
        <v>0.17208148542984589</v>
      </c>
      <c r="D140">
        <v>4.074286035893946E-2</v>
      </c>
      <c r="E140">
        <v>0.47394000255784308</v>
      </c>
      <c r="F140">
        <v>0.77511788450429986</v>
      </c>
      <c r="G140">
        <v>0.91732681946966688</v>
      </c>
      <c r="H140">
        <v>0.43478176044050421</v>
      </c>
      <c r="I140">
        <v>0.12853707594263911</v>
      </c>
      <c r="J140">
        <v>0.74107145343004954</v>
      </c>
      <c r="M140" s="13">
        <v>1</v>
      </c>
      <c r="O140" s="10">
        <f t="shared" si="6"/>
        <v>0</v>
      </c>
      <c r="P140" s="10">
        <f t="shared" si="7"/>
        <v>1</v>
      </c>
      <c r="R140" s="14">
        <v>-8.8547459754795305E-2</v>
      </c>
      <c r="S140" s="14">
        <v>-0.7779704306810441</v>
      </c>
      <c r="T140" s="14">
        <v>-0.43503825425441833</v>
      </c>
      <c r="U140" s="14">
        <v>-0.54994646486816978</v>
      </c>
      <c r="V140" s="14">
        <v>-0.58446505935793081</v>
      </c>
      <c r="W140" s="14">
        <v>0.69819017144451623</v>
      </c>
      <c r="X140" s="14">
        <v>1.0436720114999183</v>
      </c>
      <c r="Y140" s="14">
        <v>-0.14747107873483722</v>
      </c>
      <c r="Z140" s="14">
        <v>-1.0686180065022299</v>
      </c>
      <c r="AA140" s="14">
        <v>8.5441712726361696E-2</v>
      </c>
      <c r="AB140" s="14">
        <v>0.70337203587776664</v>
      </c>
      <c r="AC140" s="14">
        <v>-0.26894390372068344</v>
      </c>
      <c r="AD140" s="14">
        <v>0.85189859293941794</v>
      </c>
      <c r="AE140" s="14">
        <v>-0.59816742235547937</v>
      </c>
      <c r="AF140" s="14">
        <v>0.13144186263168528</v>
      </c>
      <c r="AG140" s="14">
        <v>-0.18645369680483881</v>
      </c>
      <c r="AH140" s="14">
        <v>-0.36271723927579497</v>
      </c>
      <c r="AI140" s="14">
        <v>-0.16901969737734973</v>
      </c>
      <c r="AJ140" s="14">
        <v>1.3433988285931653</v>
      </c>
      <c r="AK140" s="14">
        <v>-0.74865683841402297</v>
      </c>
      <c r="AM140" s="14">
        <v>-0.36001807946898279</v>
      </c>
      <c r="AN140" s="14">
        <v>-0.65455648993677407</v>
      </c>
      <c r="AO140" s="14">
        <v>-0.55830052850326561</v>
      </c>
      <c r="AP140" s="14">
        <v>-0.42182416242094795</v>
      </c>
      <c r="AQ140" s="14">
        <v>-0.78200799640914098</v>
      </c>
      <c r="AR140" s="14">
        <v>0.24590195346528293</v>
      </c>
      <c r="AS140" s="14">
        <v>0.81293860213305325</v>
      </c>
      <c r="AT140" s="14">
        <v>0.37680742428500574</v>
      </c>
      <c r="AU140" s="14">
        <v>-0.70472133825979866</v>
      </c>
      <c r="AV140" s="14">
        <v>-0.63245405509406605</v>
      </c>
      <c r="AW140" s="14">
        <v>0.47317238559852187</v>
      </c>
      <c r="AX140" s="14">
        <v>-0.60580185101512529</v>
      </c>
      <c r="AY140" s="14">
        <v>0.64024860794631089</v>
      </c>
      <c r="AZ140" s="14">
        <v>-0.77941437433018823</v>
      </c>
      <c r="BA140" s="14">
        <v>-0.12993111043607899</v>
      </c>
      <c r="BB140" s="14">
        <v>-0.25008663789487096</v>
      </c>
      <c r="BC140" s="14">
        <v>0.36384662206519969</v>
      </c>
      <c r="BD140" s="14">
        <v>0.56161955279665321</v>
      </c>
      <c r="BE140" s="14">
        <v>0.71770891384301549</v>
      </c>
      <c r="BF140" s="14">
        <v>9.0608959343071602E-2</v>
      </c>
      <c r="BK140" s="16">
        <v>-0.24205131481390754</v>
      </c>
      <c r="BL140" s="16">
        <v>1.2196777633260294</v>
      </c>
      <c r="BN140" s="17">
        <f t="shared" si="5"/>
        <v>1</v>
      </c>
    </row>
    <row r="141" spans="1:66" x14ac:dyDescent="0.2">
      <c r="A141">
        <v>-0.8450414083642932</v>
      </c>
      <c r="B141">
        <v>-1.3730084520139529</v>
      </c>
      <c r="C141">
        <v>-0.81773366325738395</v>
      </c>
      <c r="D141">
        <v>-0.80351598706676952</v>
      </c>
      <c r="E141">
        <v>0.1598610571457473</v>
      </c>
      <c r="F141">
        <v>-0.55827667661216374</v>
      </c>
      <c r="G141">
        <v>-6.1109791161696007E-2</v>
      </c>
      <c r="H141">
        <v>-0.93791510148527824</v>
      </c>
      <c r="I141">
        <v>-0.82331533153620684</v>
      </c>
      <c r="J141">
        <v>-0.46579253862681502</v>
      </c>
      <c r="M141" s="13">
        <v>0</v>
      </c>
      <c r="O141" s="10">
        <f t="shared" si="6"/>
        <v>1</v>
      </c>
      <c r="P141" s="10">
        <f t="shared" si="7"/>
        <v>0</v>
      </c>
      <c r="R141" s="14">
        <v>-0.18098668810800353</v>
      </c>
      <c r="S141" s="14">
        <v>-1.1007725859833768</v>
      </c>
      <c r="T141" s="14">
        <v>-0.53313448258669405</v>
      </c>
      <c r="U141" s="14">
        <v>-0.22473652873770278</v>
      </c>
      <c r="V141" s="14">
        <v>-0.48145497847745122</v>
      </c>
      <c r="W141" s="14">
        <v>0.25018629233849388</v>
      </c>
      <c r="X141" s="14">
        <v>1.0614341950398039</v>
      </c>
      <c r="Y141" s="14">
        <v>0.87983540710490105</v>
      </c>
      <c r="Z141" s="14">
        <v>-0.6126180601652147</v>
      </c>
      <c r="AA141" s="14">
        <v>-4.949595804769702E-2</v>
      </c>
      <c r="AB141" s="14">
        <v>-0.21634117570399142</v>
      </c>
      <c r="AC141" s="14">
        <v>-0.26649358199788997</v>
      </c>
      <c r="AD141" s="14">
        <v>1.0736735491363483</v>
      </c>
      <c r="AE141" s="14">
        <v>-0.65277651065181908</v>
      </c>
      <c r="AF141" s="14">
        <v>0.1003096414996707</v>
      </c>
      <c r="AG141" s="14">
        <v>-4.5915025445395441E-2</v>
      </c>
      <c r="AH141" s="14">
        <v>-8.7732175196380546E-2</v>
      </c>
      <c r="AI141" s="14">
        <v>0.3017488112746195</v>
      </c>
      <c r="AJ141" s="14">
        <v>1.4996001939162467</v>
      </c>
      <c r="AK141" s="14">
        <v>-1.0435578203364519</v>
      </c>
      <c r="AM141" s="14">
        <v>-0.21808580319082768</v>
      </c>
      <c r="AN141" s="14">
        <v>9.9832460330773962E-2</v>
      </c>
      <c r="AO141" s="14">
        <v>-0.24355261013180096</v>
      </c>
      <c r="AP141" s="14">
        <v>-0.31139740628902352</v>
      </c>
      <c r="AQ141" s="14">
        <v>-0.15622547128036329</v>
      </c>
      <c r="AR141" s="14">
        <v>0.64435446739062641</v>
      </c>
      <c r="AS141" s="14">
        <v>0.1612413995219141</v>
      </c>
      <c r="AT141" s="14">
        <v>-0.43762482187228668</v>
      </c>
      <c r="AU141" s="14">
        <v>-0.52253083011583978</v>
      </c>
      <c r="AV141" s="14">
        <v>8.5549035643481732E-3</v>
      </c>
      <c r="AW141" s="14">
        <v>0.37370642117174852</v>
      </c>
      <c r="AX141" s="14">
        <v>-0.27055882555054878</v>
      </c>
      <c r="AY141" s="14">
        <v>4.7360399446973497E-2</v>
      </c>
      <c r="AZ141" s="14">
        <v>-0.13217437880068417</v>
      </c>
      <c r="BA141" s="14">
        <v>-0.46765089178578167</v>
      </c>
      <c r="BB141" s="14">
        <v>-4.2985913369125182E-2</v>
      </c>
      <c r="BC141" s="14">
        <v>-0.21212163715897114</v>
      </c>
      <c r="BD141" s="14">
        <v>1.7810478979710786E-2</v>
      </c>
      <c r="BE141" s="14">
        <v>0.17602439284971422</v>
      </c>
      <c r="BF141" s="14">
        <v>0.40483557746700349</v>
      </c>
      <c r="BK141" s="16">
        <v>0.83864162686717281</v>
      </c>
      <c r="BL141" s="16">
        <v>-0.17035902655980673</v>
      </c>
      <c r="BN141" s="17">
        <f t="shared" si="5"/>
        <v>0</v>
      </c>
    </row>
    <row r="142" spans="1:66" x14ac:dyDescent="0.2">
      <c r="A142">
        <v>-1.2859553654251561</v>
      </c>
      <c r="B142">
        <v>-1.721195596397556</v>
      </c>
      <c r="C142">
        <v>-1.3057934598427849</v>
      </c>
      <c r="D142">
        <v>-1.0807138288911671</v>
      </c>
      <c r="E142">
        <v>-1.189005798357798</v>
      </c>
      <c r="F142">
        <v>-1.1329195209426901</v>
      </c>
      <c r="G142">
        <v>-1.2869671539067371</v>
      </c>
      <c r="H142">
        <v>-1.207071348921706</v>
      </c>
      <c r="I142">
        <v>-0.98467326663356991</v>
      </c>
      <c r="J142">
        <v>-1.755320499366567</v>
      </c>
      <c r="M142" s="13">
        <v>0</v>
      </c>
      <c r="O142" s="10">
        <f t="shared" si="6"/>
        <v>1</v>
      </c>
      <c r="P142" s="10">
        <f t="shared" si="7"/>
        <v>0</v>
      </c>
      <c r="R142" s="14">
        <v>0.42374757643889205</v>
      </c>
      <c r="S142" s="14">
        <v>1.0359333612465917</v>
      </c>
      <c r="T142" s="14">
        <v>0.4495059026150513</v>
      </c>
      <c r="U142" s="14">
        <v>-1.507413865277524</v>
      </c>
      <c r="V142" s="14">
        <v>1.5049725578097899</v>
      </c>
      <c r="W142" s="14">
        <v>0.47981058327306042</v>
      </c>
      <c r="X142" s="14">
        <v>-1.4659127711462285</v>
      </c>
      <c r="Y142" s="14">
        <v>-1.1199040493269525</v>
      </c>
      <c r="Z142" s="14">
        <v>1.2749746469964547</v>
      </c>
      <c r="AA142" s="14">
        <v>1.2160632116610748</v>
      </c>
      <c r="AB142" s="14">
        <v>1.4103546869288892</v>
      </c>
      <c r="AC142" s="14">
        <v>1.0651785985119107</v>
      </c>
      <c r="AD142" s="14">
        <v>-0.8158357743657314</v>
      </c>
      <c r="AE142" s="14">
        <v>1.6894094608328771</v>
      </c>
      <c r="AF142" s="14">
        <v>0.21008156262479505</v>
      </c>
      <c r="AG142" s="14">
        <v>0.18100052380847254</v>
      </c>
      <c r="AH142" s="14">
        <v>-1.4350168778794155</v>
      </c>
      <c r="AI142" s="14">
        <v>-1.6036297388385858</v>
      </c>
      <c r="AJ142" s="14">
        <v>-0.5569076624238134</v>
      </c>
      <c r="AK142" s="14">
        <v>0.34277047298032459</v>
      </c>
      <c r="AM142" s="14">
        <v>-0.50906329500839098</v>
      </c>
      <c r="AN142" s="14">
        <v>0.72339573790153877</v>
      </c>
      <c r="AO142" s="14">
        <v>0.20594387352157648</v>
      </c>
      <c r="AP142" s="14">
        <v>-0.87286969553333016</v>
      </c>
      <c r="AQ142" s="14">
        <v>0.30376599529540554</v>
      </c>
      <c r="AR142" s="14">
        <v>0.63219474156561939</v>
      </c>
      <c r="AS142" s="14">
        <v>-0.46729598526908167</v>
      </c>
      <c r="AT142" s="14">
        <v>-0.83260920237659741</v>
      </c>
      <c r="AU142" s="14">
        <v>-0.64442986561473226</v>
      </c>
      <c r="AV142" s="14">
        <v>0.20515293477483357</v>
      </c>
      <c r="AW142" s="14">
        <v>0.6460546577281312</v>
      </c>
      <c r="AX142" s="14">
        <v>-0.13767405433921037</v>
      </c>
      <c r="AY142" s="14">
        <v>-0.51986715953455387</v>
      </c>
      <c r="AZ142" s="14">
        <v>0.54794341226736087</v>
      </c>
      <c r="BA142" s="14">
        <v>-0.62244137272744415</v>
      </c>
      <c r="BB142" s="14">
        <v>-2.6274679312925639E-2</v>
      </c>
      <c r="BC142" s="14">
        <v>-0.67689076162133233</v>
      </c>
      <c r="BD142" s="14">
        <v>-0.71716672222185862</v>
      </c>
      <c r="BE142" s="14">
        <v>-0.45998788684874614</v>
      </c>
      <c r="BF142" s="14">
        <v>0.79327344651445342</v>
      </c>
      <c r="BK142" s="16">
        <v>0.85961834266969839</v>
      </c>
      <c r="BL142" s="16">
        <v>-0.1565892163327888</v>
      </c>
      <c r="BN142" s="17">
        <f t="shared" si="5"/>
        <v>0</v>
      </c>
    </row>
    <row r="143" spans="1:66" x14ac:dyDescent="0.2">
      <c r="A143">
        <v>0.53603149215708568</v>
      </c>
      <c r="B143">
        <v>-0.2303661331212809</v>
      </c>
      <c r="C143">
        <v>0.51447037334052292</v>
      </c>
      <c r="D143">
        <v>0.4290501174940507</v>
      </c>
      <c r="E143">
        <v>0.16171951244404351</v>
      </c>
      <c r="F143">
        <v>3.8310457566583078E-2</v>
      </c>
      <c r="G143">
        <v>0.23206335209696979</v>
      </c>
      <c r="H143">
        <v>0.7184310365850477</v>
      </c>
      <c r="I143">
        <v>0.59188763380729503</v>
      </c>
      <c r="J143">
        <v>6.5682868720227147E-2</v>
      </c>
      <c r="M143" s="13">
        <v>1</v>
      </c>
      <c r="O143" s="10">
        <f t="shared" si="6"/>
        <v>0</v>
      </c>
      <c r="P143" s="10">
        <f t="shared" si="7"/>
        <v>1</v>
      </c>
      <c r="R143" s="14">
        <v>-0.74685697134121254</v>
      </c>
      <c r="S143" s="14">
        <v>-1.0948105141867688</v>
      </c>
      <c r="T143" s="14">
        <v>-0.46784290395032579</v>
      </c>
      <c r="U143" s="14">
        <v>-0.36768535375011119</v>
      </c>
      <c r="V143" s="14">
        <v>-0.57471892677508951</v>
      </c>
      <c r="W143" s="14">
        <v>1.0092393808577191</v>
      </c>
      <c r="X143" s="14">
        <v>1.0604190350910547</v>
      </c>
      <c r="Y143" s="14">
        <v>0.659691106058232</v>
      </c>
      <c r="Z143" s="14">
        <v>-0.97893751718247102</v>
      </c>
      <c r="AA143" s="14">
        <v>-0.20935322669920065</v>
      </c>
      <c r="AB143" s="14">
        <v>0.11758391991133998</v>
      </c>
      <c r="AC143" s="14">
        <v>-0.36351335019745556</v>
      </c>
      <c r="AD143" s="14">
        <v>0.90100484695539651</v>
      </c>
      <c r="AE143" s="14">
        <v>-0.66108364770529304</v>
      </c>
      <c r="AF143" s="14">
        <v>-0.17286898170510712</v>
      </c>
      <c r="AG143" s="14">
        <v>-4.6536745215305875E-2</v>
      </c>
      <c r="AH143" s="14">
        <v>-0.17079355397182483</v>
      </c>
      <c r="AI143" s="14">
        <v>0.20846404423058829</v>
      </c>
      <c r="AJ143" s="14">
        <v>1.4165935701515546</v>
      </c>
      <c r="AK143" s="14">
        <v>-0.36318174193532332</v>
      </c>
      <c r="AM143" s="14">
        <v>-0.47802304009372948</v>
      </c>
      <c r="AN143" s="14">
        <v>-0.46283576111232738</v>
      </c>
      <c r="AO143" s="14">
        <v>-0.61048766911127839</v>
      </c>
      <c r="AP143" s="14">
        <v>-0.45139745159573991</v>
      </c>
      <c r="AQ143" s="14">
        <v>-0.60486091128183139</v>
      </c>
      <c r="AR143" s="14">
        <v>0.60898975190311211</v>
      </c>
      <c r="AS143" s="14">
        <v>0.76731620840496362</v>
      </c>
      <c r="AT143" s="14">
        <v>-8.4140908097304082E-2</v>
      </c>
      <c r="AU143" s="14">
        <v>-0.81810536884349461</v>
      </c>
      <c r="AV143" s="14">
        <v>-0.3503125371199442</v>
      </c>
      <c r="AW143" s="14">
        <v>0.5254269808591806</v>
      </c>
      <c r="AX143" s="14">
        <v>-0.68798352214026859</v>
      </c>
      <c r="AY143" s="14">
        <v>0.58197403344455545</v>
      </c>
      <c r="AZ143" s="14">
        <v>-0.69101861509998064</v>
      </c>
      <c r="BA143" s="14">
        <v>-0.36099127386531527</v>
      </c>
      <c r="BB143" s="14">
        <v>0.17277875778437879</v>
      </c>
      <c r="BC143" s="14">
        <v>7.3787788920534073E-2</v>
      </c>
      <c r="BD143" s="14">
        <v>0.44726549886177791</v>
      </c>
      <c r="BE143" s="14">
        <v>0.58826040225049603</v>
      </c>
      <c r="BF143" s="14">
        <v>0.52415836285352546</v>
      </c>
      <c r="BK143" s="16">
        <v>0.5962012959692109</v>
      </c>
      <c r="BL143" s="16">
        <v>-0.29984099688268728</v>
      </c>
      <c r="BN143" s="17">
        <f t="shared" si="5"/>
        <v>0</v>
      </c>
    </row>
    <row r="144" spans="1:66" x14ac:dyDescent="0.2">
      <c r="A144">
        <v>-0.80215094561518197</v>
      </c>
      <c r="B144">
        <v>-0.4118157717437228</v>
      </c>
      <c r="C144">
        <v>-0.79034255222452987</v>
      </c>
      <c r="D144">
        <v>-0.7655200212092198</v>
      </c>
      <c r="E144">
        <v>-0.18841346575500281</v>
      </c>
      <c r="F144">
        <v>-0.88111809336225855</v>
      </c>
      <c r="G144">
        <v>-0.81129564596918047</v>
      </c>
      <c r="H144">
        <v>-0.75985789164271844</v>
      </c>
      <c r="I144">
        <v>-0.7011013082462173</v>
      </c>
      <c r="J144">
        <v>-0.79659816692481922</v>
      </c>
      <c r="M144" s="13">
        <v>0</v>
      </c>
      <c r="O144" s="10">
        <f t="shared" si="6"/>
        <v>1</v>
      </c>
      <c r="P144" s="10">
        <f t="shared" si="7"/>
        <v>0</v>
      </c>
      <c r="R144" s="14">
        <v>-0.63091917785229013</v>
      </c>
      <c r="S144" s="14">
        <v>-1.1031507110984684</v>
      </c>
      <c r="T144" s="14">
        <v>-0.80937615295156662</v>
      </c>
      <c r="U144" s="14">
        <v>-1.1614202772045106</v>
      </c>
      <c r="V144" s="14">
        <v>-0.64780435522845004</v>
      </c>
      <c r="W144" s="14">
        <v>0.36305492837001307</v>
      </c>
      <c r="X144" s="14">
        <v>1.0652085271386467</v>
      </c>
      <c r="Y144" s="14">
        <v>0.6595146521675086</v>
      </c>
      <c r="Z144" s="14">
        <v>-0.83386027002059659</v>
      </c>
      <c r="AA144" s="14">
        <v>-0.28477130504455039</v>
      </c>
      <c r="AB144" s="14">
        <v>0.77338291756155386</v>
      </c>
      <c r="AC144" s="14">
        <v>-0.37135969936723534</v>
      </c>
      <c r="AD144" s="14">
        <v>1.1109780941347545</v>
      </c>
      <c r="AE144" s="14">
        <v>-0.66043018552957578</v>
      </c>
      <c r="AF144" s="14">
        <v>-0.25063070545291899</v>
      </c>
      <c r="AG144" s="14">
        <v>-0.51017536802733165</v>
      </c>
      <c r="AH144" s="14">
        <v>-9.8859119485425806E-2</v>
      </c>
      <c r="AI144" s="14">
        <v>0.28862670051809236</v>
      </c>
      <c r="AJ144" s="14">
        <v>1.5572952948602763</v>
      </c>
      <c r="AK144" s="14">
        <v>-0.51276653995575039</v>
      </c>
      <c r="AM144" s="14">
        <v>-6.5084111082512733E-2</v>
      </c>
      <c r="AN144" s="14">
        <v>-0.64077350914883602</v>
      </c>
      <c r="AO144" s="14">
        <v>-0.51609404417351468</v>
      </c>
      <c r="AP144" s="14">
        <v>-0.12860095328817661</v>
      </c>
      <c r="AQ144" s="14">
        <v>-0.92142382016563862</v>
      </c>
      <c r="AR144" s="14">
        <v>0.35140353500210075</v>
      </c>
      <c r="AS144" s="14">
        <v>0.86351173699908224</v>
      </c>
      <c r="AT144" s="14">
        <v>5.0370750269400605E-2</v>
      </c>
      <c r="AU144" s="14">
        <v>-0.91605398976919783</v>
      </c>
      <c r="AV144" s="14">
        <v>-0.62787186540958462</v>
      </c>
      <c r="AW144" s="14">
        <v>0.72562122857304834</v>
      </c>
      <c r="AX144" s="14">
        <v>-0.71852187966345749</v>
      </c>
      <c r="AY144" s="14">
        <v>0.64239419221859984</v>
      </c>
      <c r="AZ144" s="14">
        <v>-0.8123469022493166</v>
      </c>
      <c r="BA144" s="14">
        <v>-3.8059159533076085E-2</v>
      </c>
      <c r="BB144" s="14">
        <v>-0.38627157524270306</v>
      </c>
      <c r="BC144" s="14">
        <v>0.50731133441344867</v>
      </c>
      <c r="BD144" s="14">
        <v>0.5001896602359337</v>
      </c>
      <c r="BE144" s="14">
        <v>0.74137607084859591</v>
      </c>
      <c r="BF144" s="14">
        <v>-0.26378016394836923</v>
      </c>
      <c r="BK144" s="16">
        <v>-0.78592129363126073</v>
      </c>
      <c r="BL144" s="16">
        <v>0.4864977813621269</v>
      </c>
      <c r="BN144" s="17">
        <f t="shared" si="5"/>
        <v>1</v>
      </c>
    </row>
    <row r="145" spans="1:66" x14ac:dyDescent="0.2">
      <c r="A145">
        <v>-0.38182441067389261</v>
      </c>
      <c r="B145">
        <v>-0.75264684969668683</v>
      </c>
      <c r="C145">
        <v>-0.37200558372275733</v>
      </c>
      <c r="D145">
        <v>-0.43679734689617511</v>
      </c>
      <c r="E145">
        <v>-0.1841390185689212</v>
      </c>
      <c r="F145">
        <v>-0.52616610559132093</v>
      </c>
      <c r="G145">
        <v>-0.49767450666806179</v>
      </c>
      <c r="H145">
        <v>-0.40788433730277401</v>
      </c>
      <c r="I145">
        <v>-0.45171385202548509</v>
      </c>
      <c r="J145">
        <v>-0.23981440684696539</v>
      </c>
      <c r="M145" s="13">
        <v>0</v>
      </c>
      <c r="O145" s="10">
        <f t="shared" si="6"/>
        <v>1</v>
      </c>
      <c r="P145" s="10">
        <f t="shared" si="7"/>
        <v>0</v>
      </c>
      <c r="R145" s="14">
        <v>-0.34825349023549368</v>
      </c>
      <c r="S145" s="14">
        <v>0.34534344761539132</v>
      </c>
      <c r="T145" s="14">
        <v>-0.52090496743069759</v>
      </c>
      <c r="U145" s="14">
        <v>-1.103770403622228</v>
      </c>
      <c r="V145" s="14">
        <v>-0.15517583118910222</v>
      </c>
      <c r="W145" s="14">
        <v>1.2456702949538707</v>
      </c>
      <c r="X145" s="14">
        <v>0.77721050841049322</v>
      </c>
      <c r="Y145" s="14">
        <v>-0.42229007174287914</v>
      </c>
      <c r="Z145" s="14">
        <v>-0.98309634504083887</v>
      </c>
      <c r="AA145" s="14">
        <v>0.56260397360034675</v>
      </c>
      <c r="AB145" s="14">
        <v>0.7355666385067734</v>
      </c>
      <c r="AC145" s="14">
        <v>-0.20087731634822115</v>
      </c>
      <c r="AD145" s="14">
        <v>0.29845624431418905</v>
      </c>
      <c r="AE145" s="14">
        <v>-0.38034571833621827</v>
      </c>
      <c r="AF145" s="14">
        <v>-0.27132881227534955</v>
      </c>
      <c r="AG145" s="14">
        <v>-9.2435980575754362E-2</v>
      </c>
      <c r="AH145" s="14">
        <v>-0.92950411592182758</v>
      </c>
      <c r="AI145" s="14">
        <v>-0.63959253956446838</v>
      </c>
      <c r="AJ145" s="14">
        <v>1.235491921453381</v>
      </c>
      <c r="AK145" s="14">
        <v>-8.790065873254338E-2</v>
      </c>
      <c r="AM145" s="14">
        <v>-0.51522669029898194</v>
      </c>
      <c r="AN145" s="14">
        <v>-0.48693551037901145</v>
      </c>
      <c r="AO145" s="14">
        <v>-0.27304669326378805</v>
      </c>
      <c r="AP145" s="14">
        <v>0.23601299232651335</v>
      </c>
      <c r="AQ145" s="14">
        <v>-0.36627220760118567</v>
      </c>
      <c r="AR145" s="14">
        <v>0.35849803345291176</v>
      </c>
      <c r="AS145" s="14">
        <v>0.53365114811634595</v>
      </c>
      <c r="AT145" s="14">
        <v>0.27832460712074603</v>
      </c>
      <c r="AU145" s="14">
        <v>-0.49193697845689038</v>
      </c>
      <c r="AV145" s="14">
        <v>-0.29174927493792358</v>
      </c>
      <c r="AW145" s="14">
        <v>-0.14663165179020801</v>
      </c>
      <c r="AX145" s="14">
        <v>-0.52000150101046128</v>
      </c>
      <c r="AY145" s="14">
        <v>0.34726889319729132</v>
      </c>
      <c r="AZ145" s="14">
        <v>-0.60965287382345479</v>
      </c>
      <c r="BA145" s="14">
        <v>-0.16465891803744587</v>
      </c>
      <c r="BB145" s="14">
        <v>0.19407212333801008</v>
      </c>
      <c r="BC145" s="14">
        <v>0.25549342055269847</v>
      </c>
      <c r="BD145" s="14">
        <v>0.40222932273138545</v>
      </c>
      <c r="BE145" s="14">
        <v>0.31759984415107251</v>
      </c>
      <c r="BF145" s="14">
        <v>0.21944762745066054</v>
      </c>
      <c r="BK145" s="16">
        <v>-0.46257556903741015</v>
      </c>
      <c r="BL145" s="16">
        <v>0.48992524514873126</v>
      </c>
      <c r="BN145" s="17">
        <f t="shared" si="5"/>
        <v>1</v>
      </c>
    </row>
    <row r="146" spans="1:66" x14ac:dyDescent="0.2">
      <c r="A146">
        <v>-0.9965877100778191</v>
      </c>
      <c r="B146">
        <v>-0.98558895333360474</v>
      </c>
      <c r="C146">
        <v>-1.0144516424933361</v>
      </c>
      <c r="D146">
        <v>-0.88843121379386947</v>
      </c>
      <c r="E146">
        <v>-0.99628398392445883</v>
      </c>
      <c r="F146">
        <v>-0.85384270485034586</v>
      </c>
      <c r="G146">
        <v>-1.0856821928638429</v>
      </c>
      <c r="H146">
        <v>-0.93170380346751469</v>
      </c>
      <c r="I146">
        <v>-0.81056256388855574</v>
      </c>
      <c r="J146">
        <v>-1.2442115770573381</v>
      </c>
      <c r="M146" s="13">
        <v>0</v>
      </c>
      <c r="O146" s="10">
        <f t="shared" si="6"/>
        <v>1</v>
      </c>
      <c r="P146" s="10">
        <f t="shared" si="7"/>
        <v>0</v>
      </c>
      <c r="R146" s="14">
        <v>-0.62710800671820155</v>
      </c>
      <c r="S146" s="14">
        <v>0.86565894153695266</v>
      </c>
      <c r="T146" s="14">
        <v>0.15708654059553775</v>
      </c>
      <c r="U146" s="14">
        <v>-1.6780198764636154</v>
      </c>
      <c r="V146" s="14">
        <v>0.72525663400960971</v>
      </c>
      <c r="W146" s="14">
        <v>1.2868610615044871</v>
      </c>
      <c r="X146" s="14">
        <v>-0.92919308900814102</v>
      </c>
      <c r="Y146" s="14">
        <v>-0.63348377741843154</v>
      </c>
      <c r="Z146" s="14">
        <v>-1.2176257441068479</v>
      </c>
      <c r="AA146" s="14">
        <v>1.2129372019453948</v>
      </c>
      <c r="AB146" s="14">
        <v>0.78848291772752699</v>
      </c>
      <c r="AC146" s="14">
        <v>8.4380498104451584E-3</v>
      </c>
      <c r="AD146" s="14">
        <v>-0.77513154348633939</v>
      </c>
      <c r="AE146" s="14">
        <v>1.3354868957079054</v>
      </c>
      <c r="AF146" s="14">
        <v>-0.35840686497311391</v>
      </c>
      <c r="AG146" s="14">
        <v>-0.19206678173388869</v>
      </c>
      <c r="AH146" s="14">
        <v>-1.5668196903786553</v>
      </c>
      <c r="AI146" s="14">
        <v>-1.6563414978998598</v>
      </c>
      <c r="AJ146" s="14">
        <v>-0.4028451289428322</v>
      </c>
      <c r="AK146" s="14">
        <v>0.30963874200084107</v>
      </c>
      <c r="AM146" s="14">
        <v>-0.44089475740113682</v>
      </c>
      <c r="AN146" s="14">
        <v>-0.66955053204745185</v>
      </c>
      <c r="AO146" s="14">
        <v>-0.71055730151794194</v>
      </c>
      <c r="AP146" s="14">
        <v>-0.82320751449688134</v>
      </c>
      <c r="AQ146" s="14">
        <v>-0.85593177859136993</v>
      </c>
      <c r="AR146" s="14">
        <v>0.45426608229065313</v>
      </c>
      <c r="AS146" s="14">
        <v>0.90985415879563047</v>
      </c>
      <c r="AT146" s="14">
        <v>0.24200242564789495</v>
      </c>
      <c r="AU146" s="14">
        <v>-0.87411123461893736</v>
      </c>
      <c r="AV146" s="14">
        <v>-0.7154995238783084</v>
      </c>
      <c r="AW146" s="14">
        <v>0.74263981215248087</v>
      </c>
      <c r="AX146" s="14">
        <v>-0.70655328547629237</v>
      </c>
      <c r="AY146" s="14">
        <v>0.76398466432521794</v>
      </c>
      <c r="AZ146" s="14">
        <v>-0.83943247432138879</v>
      </c>
      <c r="BA146" s="14">
        <v>-0.31864870663583522</v>
      </c>
      <c r="BB146" s="14">
        <v>-0.26701925710500918</v>
      </c>
      <c r="BC146" s="14">
        <v>0.2513817937017801</v>
      </c>
      <c r="BD146" s="14">
        <v>0.5916865625923009</v>
      </c>
      <c r="BE146" s="14">
        <v>0.83536989251804494</v>
      </c>
      <c r="BF146" s="14">
        <v>0.39406502111095565</v>
      </c>
      <c r="BK146" s="16">
        <v>-0.37906791334138723</v>
      </c>
      <c r="BL146" s="16">
        <v>-0.24954390540117391</v>
      </c>
      <c r="BN146" s="17">
        <f t="shared" si="5"/>
        <v>1</v>
      </c>
    </row>
    <row r="147" spans="1:66" x14ac:dyDescent="0.2">
      <c r="A147">
        <v>-0.66776082900130018</v>
      </c>
      <c r="B147">
        <v>-1.0640536619270931</v>
      </c>
      <c r="C147">
        <v>-0.60566006116967974</v>
      </c>
      <c r="D147">
        <v>-0.66534883849386117</v>
      </c>
      <c r="E147">
        <v>0.45721390487317498</v>
      </c>
      <c r="F147">
        <v>-0.67295728740088789</v>
      </c>
      <c r="G147">
        <v>-0.51940050246316782</v>
      </c>
      <c r="H147">
        <v>-0.68325188275696569</v>
      </c>
      <c r="I147">
        <v>-0.68941127123587043</v>
      </c>
      <c r="J147">
        <v>-0.85050945084844132</v>
      </c>
      <c r="M147" s="13">
        <v>0</v>
      </c>
      <c r="O147" s="10">
        <f t="shared" si="6"/>
        <v>1</v>
      </c>
      <c r="P147" s="10">
        <f t="shared" si="7"/>
        <v>0</v>
      </c>
      <c r="R147" s="14">
        <v>-0.72331321694697204</v>
      </c>
      <c r="S147" s="14">
        <v>-0.6684385750882591</v>
      </c>
      <c r="T147" s="14">
        <v>-0.82095162892149787</v>
      </c>
      <c r="U147" s="14">
        <v>-1.1521767870717821</v>
      </c>
      <c r="V147" s="14">
        <v>-0.50544145395897599</v>
      </c>
      <c r="W147" s="14">
        <v>1.0032783004066625</v>
      </c>
      <c r="X147" s="14">
        <v>1.0627533440958934</v>
      </c>
      <c r="Y147" s="14">
        <v>-0.30670587950999928</v>
      </c>
      <c r="Z147" s="14">
        <v>-1.0757553986021033</v>
      </c>
      <c r="AA147" s="14">
        <v>-8.5986979579564027E-2</v>
      </c>
      <c r="AB147" s="14">
        <v>0.77882729880269319</v>
      </c>
      <c r="AC147" s="14">
        <v>-0.39604361980014291</v>
      </c>
      <c r="AD147" s="14">
        <v>1.0259574797078737</v>
      </c>
      <c r="AE147" s="14">
        <v>-0.64867081992610132</v>
      </c>
      <c r="AF147" s="14">
        <v>-0.31730398790268255</v>
      </c>
      <c r="AG147" s="14">
        <v>8.8358058519612703E-2</v>
      </c>
      <c r="AH147" s="14">
        <v>-0.532028645526467</v>
      </c>
      <c r="AI147" s="14">
        <v>1.3181426927278084E-2</v>
      </c>
      <c r="AJ147" s="14">
        <v>1.4227283921905862</v>
      </c>
      <c r="AK147" s="14">
        <v>5.891415188103355E-2</v>
      </c>
      <c r="AM147" s="14">
        <v>0.43874699441778386</v>
      </c>
      <c r="AN147" s="14">
        <v>0.75269434041634675</v>
      </c>
      <c r="AO147" s="14">
        <v>0.30463325451982526</v>
      </c>
      <c r="AP147" s="14">
        <v>-0.23821324224400822</v>
      </c>
      <c r="AQ147" s="14">
        <v>0.28756899879957071</v>
      </c>
      <c r="AR147" s="14">
        <v>-0.21475591995828799</v>
      </c>
      <c r="AS147" s="14">
        <v>-0.78470383631703111</v>
      </c>
      <c r="AT147" s="14">
        <v>-0.74382676095671851</v>
      </c>
      <c r="AU147" s="14">
        <v>0.24495043455899723</v>
      </c>
      <c r="AV147" s="14">
        <v>0.41424704158164621</v>
      </c>
      <c r="AW147" s="14">
        <v>0.71307057851493671</v>
      </c>
      <c r="AX147" s="14">
        <v>0.42064895170655353</v>
      </c>
      <c r="AY147" s="14">
        <v>-0.63440654696443943</v>
      </c>
      <c r="AZ147" s="14">
        <v>0.79509212881023494</v>
      </c>
      <c r="BA147" s="14">
        <v>0.10452958608767705</v>
      </c>
      <c r="BB147" s="14">
        <v>-0.39443114615436892</v>
      </c>
      <c r="BC147" s="14">
        <v>-0.42858313411371424</v>
      </c>
      <c r="BD147" s="14">
        <v>-0.71608440484855951</v>
      </c>
      <c r="BE147" s="14">
        <v>-0.59983963899188975</v>
      </c>
      <c r="BF147" s="14">
        <v>-1.5878250923711392E-2</v>
      </c>
      <c r="BK147" s="16">
        <v>-0.50610089114929335</v>
      </c>
      <c r="BL147" s="16">
        <v>0.56308039566281398</v>
      </c>
      <c r="BN147" s="17">
        <f t="shared" ref="BN147:BN210" si="8">IF(BK147&gt;BL147,0,1)</f>
        <v>1</v>
      </c>
    </row>
    <row r="148" spans="1:66" x14ac:dyDescent="0.2">
      <c r="A148">
        <v>-0.6963544708340409</v>
      </c>
      <c r="B148">
        <v>-0.59081338822261786</v>
      </c>
      <c r="C148">
        <v>-0.56913857979254101</v>
      </c>
      <c r="D148">
        <v>-0.66765162430340963</v>
      </c>
      <c r="E148">
        <v>1.208029845384931</v>
      </c>
      <c r="F148">
        <v>0.9238927309329148</v>
      </c>
      <c r="G148">
        <v>0.6083064792781</v>
      </c>
      <c r="H148">
        <v>-0.56109635507427913</v>
      </c>
      <c r="I148">
        <v>-0.54399429569807134</v>
      </c>
      <c r="J148">
        <v>1.0375835150099719</v>
      </c>
      <c r="M148" s="13">
        <v>1</v>
      </c>
      <c r="O148" s="10">
        <f t="shared" si="6"/>
        <v>0</v>
      </c>
      <c r="P148" s="10">
        <f t="shared" si="7"/>
        <v>1</v>
      </c>
      <c r="R148" s="14">
        <v>-0.3225558247579231</v>
      </c>
      <c r="S148" s="14">
        <v>-1.0935647820574261</v>
      </c>
      <c r="T148" s="14">
        <v>-0.76867663608616899</v>
      </c>
      <c r="U148" s="14">
        <v>-0.65713525337909495</v>
      </c>
      <c r="V148" s="14">
        <v>-0.67327266665725893</v>
      </c>
      <c r="W148" s="14">
        <v>0.48960414650069428</v>
      </c>
      <c r="X148" s="14">
        <v>1.0653348310607491</v>
      </c>
      <c r="Y148" s="14">
        <v>-7.1650681041009079E-2</v>
      </c>
      <c r="Z148" s="14">
        <v>-1.1849913861917205</v>
      </c>
      <c r="AA148" s="14">
        <v>-0.27402569319319192</v>
      </c>
      <c r="AB148" s="14">
        <v>0.78299837858147825</v>
      </c>
      <c r="AC148" s="14">
        <v>-0.36986088939560002</v>
      </c>
      <c r="AD148" s="14">
        <v>1.100497238236247</v>
      </c>
      <c r="AE148" s="14">
        <v>-0.65988294929109492</v>
      </c>
      <c r="AF148" s="14">
        <v>-0.11223836983409208</v>
      </c>
      <c r="AG148" s="14">
        <v>-0.55544647772495181</v>
      </c>
      <c r="AH148" s="14">
        <v>6.7300096937934484E-2</v>
      </c>
      <c r="AI148" s="14">
        <v>0.24180125172308631</v>
      </c>
      <c r="AJ148" s="14">
        <v>1.5568324984802211</v>
      </c>
      <c r="AK148" s="14">
        <v>-1.0229023303843385</v>
      </c>
      <c r="AM148" s="14">
        <v>-0.42447646981772841</v>
      </c>
      <c r="AN148" s="14">
        <v>0.83672725323603514</v>
      </c>
      <c r="AO148" s="14">
        <v>0.46729413397149577</v>
      </c>
      <c r="AP148" s="14">
        <v>-6.6286084552115349E-2</v>
      </c>
      <c r="AQ148" s="14">
        <v>0.6041186133917491</v>
      </c>
      <c r="AR148" s="14">
        <v>0.4046800269203894</v>
      </c>
      <c r="AS148" s="14">
        <v>-0.89075188860026355</v>
      </c>
      <c r="AT148" s="14">
        <v>-0.83964782208078048</v>
      </c>
      <c r="AU148" s="14">
        <v>0.14279573434513887</v>
      </c>
      <c r="AV148" s="14">
        <v>0.49245635280110767</v>
      </c>
      <c r="AW148" s="14">
        <v>0.50773798370946599</v>
      </c>
      <c r="AX148" s="14">
        <v>0.17661240101221307</v>
      </c>
      <c r="AY148" s="14">
        <v>-0.82894840296648453</v>
      </c>
      <c r="AZ148" s="14">
        <v>0.80665748177726981</v>
      </c>
      <c r="BA148" s="14">
        <v>-0.37874661077153765</v>
      </c>
      <c r="BB148" s="14">
        <v>-3.7370951491300673E-2</v>
      </c>
      <c r="BC148" s="14">
        <v>-0.56957768398352548</v>
      </c>
      <c r="BD148" s="14">
        <v>-0.83306618905733498</v>
      </c>
      <c r="BE148" s="14">
        <v>-0.8235562311777419</v>
      </c>
      <c r="BF148" s="14">
        <v>0.65265853756853498</v>
      </c>
      <c r="BK148" s="16">
        <v>0.8883707302644579</v>
      </c>
      <c r="BL148" s="16">
        <v>-0.26621363414230087</v>
      </c>
      <c r="BN148" s="17">
        <f t="shared" si="8"/>
        <v>0</v>
      </c>
    </row>
    <row r="149" spans="1:66" x14ac:dyDescent="0.2">
      <c r="A149">
        <v>0.2043452468972928</v>
      </c>
      <c r="B149">
        <v>-5.3820538785932737E-2</v>
      </c>
      <c r="C149">
        <v>0.2131681519791275</v>
      </c>
      <c r="D149">
        <v>7.3557558145005142E-2</v>
      </c>
      <c r="E149">
        <v>0.21747317139293629</v>
      </c>
      <c r="F149">
        <v>-1.090922079355046E-2</v>
      </c>
      <c r="G149">
        <v>-0.37652013011652941</v>
      </c>
      <c r="H149">
        <v>-4.1417754254714563E-2</v>
      </c>
      <c r="I149">
        <v>-0.15786883081085801</v>
      </c>
      <c r="J149">
        <v>-0.49664177331644338</v>
      </c>
      <c r="M149" s="13">
        <v>0</v>
      </c>
      <c r="O149" s="10">
        <f t="shared" si="6"/>
        <v>1</v>
      </c>
      <c r="P149" s="10">
        <f t="shared" si="7"/>
        <v>0</v>
      </c>
      <c r="R149" s="14">
        <v>-0.69773927154981952</v>
      </c>
      <c r="S149" s="14">
        <v>-1.0851445144669607</v>
      </c>
      <c r="T149" s="14">
        <v>-0.59100798042546632</v>
      </c>
      <c r="U149" s="14">
        <v>-0.25615551570622286</v>
      </c>
      <c r="V149" s="14">
        <v>-0.41080943471014053</v>
      </c>
      <c r="W149" s="14">
        <v>0.84995992187337754</v>
      </c>
      <c r="X149" s="14">
        <v>1.0592101639898819</v>
      </c>
      <c r="Y149" s="14">
        <v>0.73242081937840242</v>
      </c>
      <c r="Z149" s="14">
        <v>-0.76812015680886747</v>
      </c>
      <c r="AA149" s="14">
        <v>-7.4291925251134927E-2</v>
      </c>
      <c r="AB149" s="14">
        <v>-0.21386340089256745</v>
      </c>
      <c r="AC149" s="14">
        <v>-0.36345431679646822</v>
      </c>
      <c r="AD149" s="14">
        <v>0.94396494754085047</v>
      </c>
      <c r="AE149" s="14">
        <v>-0.65955575959301149</v>
      </c>
      <c r="AF149" s="14">
        <v>-4.6298023376446062E-2</v>
      </c>
      <c r="AG149" s="14">
        <v>0.43911110028651101</v>
      </c>
      <c r="AH149" s="14">
        <v>-0.23598406318237825</v>
      </c>
      <c r="AI149" s="14">
        <v>0.23247143621544752</v>
      </c>
      <c r="AJ149" s="14">
        <v>1.3206857510011631</v>
      </c>
      <c r="AK149" s="14">
        <v>-0.32577351453088882</v>
      </c>
      <c r="AM149" s="14">
        <v>0.27024459206959761</v>
      </c>
      <c r="AN149" s="14">
        <v>0.33523368647296808</v>
      </c>
      <c r="AO149" s="14">
        <v>0.38452513622755358</v>
      </c>
      <c r="AP149" s="14">
        <v>0.48003321465683008</v>
      </c>
      <c r="AQ149" s="14">
        <v>0.70467608702380369</v>
      </c>
      <c r="AR149" s="14">
        <v>-0.45005938558826092</v>
      </c>
      <c r="AS149" s="14">
        <v>-0.64664559665935428</v>
      </c>
      <c r="AT149" s="14">
        <v>0.33864499036451695</v>
      </c>
      <c r="AU149" s="14">
        <v>0.85180649671829578</v>
      </c>
      <c r="AV149" s="14">
        <v>0.4023318805251232</v>
      </c>
      <c r="AW149" s="14">
        <v>-0.78147400953755863</v>
      </c>
      <c r="AX149" s="14">
        <v>0.53955552745647595</v>
      </c>
      <c r="AY149" s="14">
        <v>-0.40917327495795558</v>
      </c>
      <c r="AZ149" s="14">
        <v>0.55988324440142467</v>
      </c>
      <c r="BA149" s="14">
        <v>0.23873122225831186</v>
      </c>
      <c r="BB149" s="14">
        <v>0.20524025403829069</v>
      </c>
      <c r="BC149" s="14">
        <v>-0.17133546394095528</v>
      </c>
      <c r="BD149" s="14">
        <v>-0.21242459260703855</v>
      </c>
      <c r="BE149" s="14">
        <v>-0.45978352460797217</v>
      </c>
      <c r="BF149" s="14">
        <v>-0.25819017429733437</v>
      </c>
      <c r="BK149" s="16">
        <v>-0.76260000225969826</v>
      </c>
      <c r="BL149" s="16">
        <v>0.2983668866109726</v>
      </c>
      <c r="BN149" s="17">
        <f t="shared" si="8"/>
        <v>1</v>
      </c>
    </row>
    <row r="150" spans="1:66" x14ac:dyDescent="0.2">
      <c r="A150">
        <v>5.8517673550314973E-2</v>
      </c>
      <c r="B150">
        <v>-0.93409648831912828</v>
      </c>
      <c r="C150">
        <v>5.2556637286482459E-2</v>
      </c>
      <c r="D150">
        <v>-6.8639465594613008E-2</v>
      </c>
      <c r="E150">
        <v>-5.3861302158341749E-2</v>
      </c>
      <c r="F150">
        <v>-8.0709419576309019E-2</v>
      </c>
      <c r="G150">
        <v>0.12701177242886899</v>
      </c>
      <c r="H150">
        <v>-0.12423506115823089</v>
      </c>
      <c r="I150">
        <v>-0.23367694960522839</v>
      </c>
      <c r="J150">
        <v>0.63923902824098544</v>
      </c>
      <c r="M150" s="13">
        <v>0</v>
      </c>
      <c r="O150" s="10">
        <f t="shared" si="6"/>
        <v>1</v>
      </c>
      <c r="P150" s="10">
        <f t="shared" si="7"/>
        <v>0</v>
      </c>
      <c r="R150" s="14">
        <v>-0.74513839790066905</v>
      </c>
      <c r="S150" s="14">
        <v>-0.88142867112069412</v>
      </c>
      <c r="T150" s="14">
        <v>-0.84125636510907831</v>
      </c>
      <c r="U150" s="14">
        <v>-1.6088456549155743</v>
      </c>
      <c r="V150" s="14">
        <v>-0.64978694448555552</v>
      </c>
      <c r="W150" s="14">
        <v>0.41855694740410765</v>
      </c>
      <c r="X150" s="14">
        <v>1.0651589820659875</v>
      </c>
      <c r="Y150" s="14">
        <v>-8.5564914624518984E-2</v>
      </c>
      <c r="Z150" s="14">
        <v>-1.0384963369520612</v>
      </c>
      <c r="AA150" s="14">
        <v>-0.29198243785429578</v>
      </c>
      <c r="AB150" s="14">
        <v>0.78844159259195346</v>
      </c>
      <c r="AC150" s="14">
        <v>-0.3909079818887724</v>
      </c>
      <c r="AD150" s="14">
        <v>1.1155881020209197</v>
      </c>
      <c r="AE150" s="14">
        <v>-0.65033126280893594</v>
      </c>
      <c r="AF150" s="14">
        <v>-0.36392331064735728</v>
      </c>
      <c r="AG150" s="14">
        <v>-0.58377165984751422</v>
      </c>
      <c r="AH150" s="14">
        <v>-0.31199816409651498</v>
      </c>
      <c r="AI150" s="14">
        <v>0.13119336756802302</v>
      </c>
      <c r="AJ150" s="14">
        <v>1.5571771970171613</v>
      </c>
      <c r="AK150" s="14">
        <v>-6.1208595650443343E-2</v>
      </c>
      <c r="AM150" s="14">
        <v>0.65316935732410486</v>
      </c>
      <c r="AN150" s="14">
        <v>-0.65049580132370777</v>
      </c>
      <c r="AO150" s="14">
        <v>-0.30521569991476949</v>
      </c>
      <c r="AP150" s="14">
        <v>-0.36939330636017298</v>
      </c>
      <c r="AQ150" s="14">
        <v>-0.74933628478193914</v>
      </c>
      <c r="AR150" s="14">
        <v>-0.58222951248928023</v>
      </c>
      <c r="AS150" s="14">
        <v>0.75438861585543782</v>
      </c>
      <c r="AT150" s="14">
        <v>0.58136862152938884</v>
      </c>
      <c r="AU150" s="14">
        <v>-0.24918467512865067</v>
      </c>
      <c r="AV150" s="14">
        <v>-0.5490808178953932</v>
      </c>
      <c r="AW150" s="14">
        <v>0.41093944414249356</v>
      </c>
      <c r="AX150" s="14">
        <v>9.2842439039374988E-2</v>
      </c>
      <c r="AY150" s="14">
        <v>0.68107492076993448</v>
      </c>
      <c r="AZ150" s="14">
        <v>-0.56776552975824568</v>
      </c>
      <c r="BA150" s="14">
        <v>0.45463568612682914</v>
      </c>
      <c r="BB150" s="14">
        <v>-0.5795570914501893</v>
      </c>
      <c r="BC150" s="14">
        <v>0.48935831739311958</v>
      </c>
      <c r="BD150" s="14">
        <v>0.60247971142675638</v>
      </c>
      <c r="BE150" s="14">
        <v>0.75372408158606663</v>
      </c>
      <c r="BF150" s="14">
        <v>-0.76076981901279994</v>
      </c>
      <c r="BK150" s="16">
        <v>-0.59866527700674732</v>
      </c>
      <c r="BL150" s="16">
        <v>0.22756378523349866</v>
      </c>
      <c r="BN150" s="17">
        <f t="shared" si="8"/>
        <v>1</v>
      </c>
    </row>
    <row r="151" spans="1:66" x14ac:dyDescent="0.2">
      <c r="A151">
        <v>-0.1416378192788702</v>
      </c>
      <c r="B151">
        <v>-0.2646944431309321</v>
      </c>
      <c r="C151">
        <v>-0.19022821050472469</v>
      </c>
      <c r="D151">
        <v>-0.22724383822726421</v>
      </c>
      <c r="E151">
        <v>-0.7663930635251911</v>
      </c>
      <c r="F151">
        <v>-0.77573591047532287</v>
      </c>
      <c r="G151">
        <v>-0.9472748196514913</v>
      </c>
      <c r="H151">
        <v>-0.22982712746021411</v>
      </c>
      <c r="I151">
        <v>-0.306296876487686</v>
      </c>
      <c r="J151">
        <v>-0.85395378287689494</v>
      </c>
      <c r="M151" s="13">
        <v>0</v>
      </c>
      <c r="O151" s="10">
        <f t="shared" si="6"/>
        <v>1</v>
      </c>
      <c r="P151" s="10">
        <f t="shared" si="7"/>
        <v>0</v>
      </c>
      <c r="R151" s="14">
        <v>0.37980606590546284</v>
      </c>
      <c r="S151" s="14">
        <v>1.0235456736543276</v>
      </c>
      <c r="T151" s="14">
        <v>0.15133392468665219</v>
      </c>
      <c r="U151" s="14">
        <v>-1.0012343137021087</v>
      </c>
      <c r="V151" s="14">
        <v>0.49590776146216181</v>
      </c>
      <c r="W151" s="14">
        <v>-0.14802927525698395</v>
      </c>
      <c r="X151" s="14">
        <v>-1.4573877502886938</v>
      </c>
      <c r="Y151" s="14">
        <v>-1.0358743845666158</v>
      </c>
      <c r="Z151" s="14">
        <v>0.29835896348146601</v>
      </c>
      <c r="AA151" s="14">
        <v>1.0309157727008564</v>
      </c>
      <c r="AB151" s="14">
        <v>1.6721716173102528</v>
      </c>
      <c r="AC151" s="14">
        <v>0.89562303888871031</v>
      </c>
      <c r="AD151" s="14">
        <v>-0.74208647723700649</v>
      </c>
      <c r="AE151" s="14">
        <v>1.6865097366290336</v>
      </c>
      <c r="AF151" s="14">
        <v>4.0393790186283196E-2</v>
      </c>
      <c r="AG151" s="14">
        <v>-0.92816450841588849</v>
      </c>
      <c r="AH151" s="14">
        <v>-1.0643949875113914</v>
      </c>
      <c r="AI151" s="14">
        <v>-1.592749485023945</v>
      </c>
      <c r="AJ151" s="14">
        <v>-0.43639451540033908</v>
      </c>
      <c r="AK151" s="14">
        <v>-0.62275770203000547</v>
      </c>
      <c r="AM151" s="14">
        <v>0.57813171751157577</v>
      </c>
      <c r="AN151" s="14">
        <v>0.63616736258535378</v>
      </c>
      <c r="AO151" s="14">
        <v>0.48881849031379077</v>
      </c>
      <c r="AP151" s="14">
        <v>4.1759900772977677E-2</v>
      </c>
      <c r="AQ151" s="14">
        <v>0.70891516523940656</v>
      </c>
      <c r="AR151" s="14">
        <v>-0.57151219825695465</v>
      </c>
      <c r="AS151" s="14">
        <v>-0.78357689675041631</v>
      </c>
      <c r="AT151" s="14">
        <v>-3.9422826392984403E-2</v>
      </c>
      <c r="AU151" s="14">
        <v>0.85968149481212952</v>
      </c>
      <c r="AV151" s="14">
        <v>0.46466760659118123</v>
      </c>
      <c r="AW151" s="14">
        <v>-0.38095818966271516</v>
      </c>
      <c r="AX151" s="14">
        <v>0.7486920250476734</v>
      </c>
      <c r="AY151" s="14">
        <v>-0.56807594139476514</v>
      </c>
      <c r="AZ151" s="14">
        <v>0.7938187129505041</v>
      </c>
      <c r="BA151" s="14">
        <v>0.30075210865136243</v>
      </c>
      <c r="BB151" s="14">
        <v>-0.11542665988292367</v>
      </c>
      <c r="BC151" s="14">
        <v>-0.31836229305306324</v>
      </c>
      <c r="BD151" s="14">
        <v>-0.52772983098799753</v>
      </c>
      <c r="BE151" s="14">
        <v>-0.54672987531630879</v>
      </c>
      <c r="BF151" s="14">
        <v>-0.33188448781388113</v>
      </c>
      <c r="BK151" s="16">
        <v>0.15203707250920889</v>
      </c>
      <c r="BL151" s="16">
        <v>0.11404317443407613</v>
      </c>
      <c r="BN151" s="17">
        <f t="shared" si="8"/>
        <v>0</v>
      </c>
    </row>
    <row r="152" spans="1:66" x14ac:dyDescent="0.2">
      <c r="A152">
        <v>-0.3532307688411519</v>
      </c>
      <c r="B152">
        <v>0.43903591206691528</v>
      </c>
      <c r="C152">
        <v>-0.3815509709008727</v>
      </c>
      <c r="D152">
        <v>-0.41607227461023899</v>
      </c>
      <c r="E152">
        <v>-0.54096243584183468</v>
      </c>
      <c r="F152">
        <v>-0.74412125560924214</v>
      </c>
      <c r="G152">
        <v>-0.61090528475314376</v>
      </c>
      <c r="H152">
        <v>-0.47413818282558712</v>
      </c>
      <c r="I152">
        <v>-0.49971385247706063</v>
      </c>
      <c r="J152">
        <v>-0.81247204496899672</v>
      </c>
      <c r="M152" s="13">
        <v>0</v>
      </c>
      <c r="O152" s="10">
        <f t="shared" si="6"/>
        <v>1</v>
      </c>
      <c r="P152" s="10">
        <f t="shared" si="7"/>
        <v>0</v>
      </c>
      <c r="R152" s="14">
        <v>-0.70932816885592953</v>
      </c>
      <c r="S152" s="14">
        <v>1.0340001040020819</v>
      </c>
      <c r="T152" s="14">
        <v>0.3572173921565448</v>
      </c>
      <c r="U152" s="14">
        <v>-0.91961672353408819</v>
      </c>
      <c r="V152" s="14">
        <v>1.2525472909144444</v>
      </c>
      <c r="W152" s="14">
        <v>0.6212064029404909</v>
      </c>
      <c r="X152" s="14">
        <v>-1.4656637718720249</v>
      </c>
      <c r="Y152" s="14">
        <v>-1.0856588815587254</v>
      </c>
      <c r="Z152" s="14">
        <v>2.1090380554269261E-2</v>
      </c>
      <c r="AA152" s="14">
        <v>1.1527592125883126</v>
      </c>
      <c r="AB152" s="14">
        <v>1.3815683767814249</v>
      </c>
      <c r="AC152" s="14">
        <v>0.67759937619185495</v>
      </c>
      <c r="AD152" s="14">
        <v>-0.8126106869323042</v>
      </c>
      <c r="AE152" s="14">
        <v>1.6857438904005262</v>
      </c>
      <c r="AF152" s="14">
        <v>-0.24815689711055444</v>
      </c>
      <c r="AG152" s="14">
        <v>4.6059991978243398E-3</v>
      </c>
      <c r="AH152" s="14">
        <v>-1.2543748787558533</v>
      </c>
      <c r="AI152" s="14">
        <v>-1.6027412168177326</v>
      </c>
      <c r="AJ152" s="14">
        <v>-0.55427268413593578</v>
      </c>
      <c r="AK152" s="14">
        <v>0.22716618067891603</v>
      </c>
      <c r="AM152" s="14">
        <v>0.43062031513379706</v>
      </c>
      <c r="AN152" s="14">
        <v>0.97988397227290613</v>
      </c>
      <c r="AO152" s="14">
        <v>0.56286671579047476</v>
      </c>
      <c r="AP152" s="14">
        <v>-0.95275089418803849</v>
      </c>
      <c r="AQ152" s="14">
        <v>0.96648100179542706</v>
      </c>
      <c r="AR152" s="14">
        <v>0.28719917244652365</v>
      </c>
      <c r="AS152" s="14">
        <v>-0.98067407237038962</v>
      </c>
      <c r="AT152" s="14">
        <v>-0.95696368371961948</v>
      </c>
      <c r="AU152" s="14">
        <v>0.89973635885908154</v>
      </c>
      <c r="AV152" s="14">
        <v>0.82576153544317554</v>
      </c>
      <c r="AW152" s="14">
        <v>0.54341432302384096</v>
      </c>
      <c r="AX152" s="14">
        <v>0.87676718987856317</v>
      </c>
      <c r="AY152" s="14">
        <v>-0.92419910365463653</v>
      </c>
      <c r="AZ152" s="14">
        <v>0.98377596316329696</v>
      </c>
      <c r="BA152" s="14">
        <v>-0.68388269299907722</v>
      </c>
      <c r="BB152" s="14">
        <v>5.5719313323451758E-2</v>
      </c>
      <c r="BC152" s="14">
        <v>-0.93581906945904292</v>
      </c>
      <c r="BD152" s="14">
        <v>-0.94737878824312172</v>
      </c>
      <c r="BE152" s="14">
        <v>-0.91110480188657628</v>
      </c>
      <c r="BF152" s="14">
        <v>0.8788809324144834</v>
      </c>
      <c r="BK152" s="16">
        <v>-0.41511641597758531</v>
      </c>
      <c r="BL152" s="16">
        <v>0.66517457770029365</v>
      </c>
      <c r="BN152" s="17">
        <f t="shared" si="8"/>
        <v>1</v>
      </c>
    </row>
    <row r="153" spans="1:66" x14ac:dyDescent="0.2">
      <c r="A153">
        <v>-1.720292784864488</v>
      </c>
      <c r="B153">
        <v>0.41941973491854279</v>
      </c>
      <c r="C153">
        <v>-1.6365618764061911</v>
      </c>
      <c r="D153">
        <v>-1.3242334282509181</v>
      </c>
      <c r="E153">
        <v>0.47394000255784308</v>
      </c>
      <c r="F153">
        <v>0.50484358015898212</v>
      </c>
      <c r="G153">
        <v>-0.73282646115626815</v>
      </c>
      <c r="H153">
        <v>-1.5234334612931379</v>
      </c>
      <c r="I153">
        <v>-1.1495736371886141</v>
      </c>
      <c r="J153">
        <v>-0.57541214927151363</v>
      </c>
      <c r="M153" s="13">
        <v>0</v>
      </c>
      <c r="O153" s="10">
        <f t="shared" si="6"/>
        <v>1</v>
      </c>
      <c r="P153" s="10">
        <f t="shared" si="7"/>
        <v>0</v>
      </c>
      <c r="R153" s="14">
        <v>0.13715716706513381</v>
      </c>
      <c r="S153" s="14">
        <v>-0.27994407161924656</v>
      </c>
      <c r="T153" s="14">
        <v>0.31858600816886495</v>
      </c>
      <c r="U153" s="14">
        <v>5.5699204049657225E-2</v>
      </c>
      <c r="V153" s="14">
        <v>1.4179015184082888</v>
      </c>
      <c r="W153" s="14">
        <v>-0.65678601200412756</v>
      </c>
      <c r="X153" s="14">
        <v>-1.4212260276401751</v>
      </c>
      <c r="Y153" s="14">
        <v>0.75256838821139183</v>
      </c>
      <c r="Z153" s="14">
        <v>1.6331198119781547</v>
      </c>
      <c r="AA153" s="14">
        <v>0.92209337192661744</v>
      </c>
      <c r="AB153" s="14">
        <v>-0.28627353286966006</v>
      </c>
      <c r="AC153" s="14">
        <v>0.9821332372231617</v>
      </c>
      <c r="AD153" s="14">
        <v>-0.31511916989651623</v>
      </c>
      <c r="AE153" s="14">
        <v>1.4048775967607057</v>
      </c>
      <c r="AF153" s="14">
        <v>-8.8130636747736912E-2</v>
      </c>
      <c r="AG153" s="14">
        <v>-0.13868401643873729</v>
      </c>
      <c r="AH153" s="14">
        <v>-0.52228065012832303</v>
      </c>
      <c r="AI153" s="14">
        <v>-0.18086022274107066</v>
      </c>
      <c r="AJ153" s="14">
        <v>-0.11973904951638931</v>
      </c>
      <c r="AK153" s="14">
        <v>-1.0196729559045663</v>
      </c>
      <c r="AM153" s="14">
        <v>0.84600657318428774</v>
      </c>
      <c r="AN153" s="14">
        <v>-5.7108894102096588E-2</v>
      </c>
      <c r="AO153" s="14">
        <v>-5.7494082256447775E-2</v>
      </c>
      <c r="AP153" s="14">
        <v>-0.50266743068925746</v>
      </c>
      <c r="AQ153" s="14">
        <v>-0.13357363860891039</v>
      </c>
      <c r="AR153" s="14">
        <v>-0.66272634137371011</v>
      </c>
      <c r="AS153" s="14">
        <v>0.19846919650600883</v>
      </c>
      <c r="AT153" s="14">
        <v>0.20564214106074699</v>
      </c>
      <c r="AU153" s="14">
        <v>0.36469696178317584</v>
      </c>
      <c r="AV153" s="14">
        <v>1.2401459693102638E-2</v>
      </c>
      <c r="AW153" s="14">
        <v>0.29603048796016662</v>
      </c>
      <c r="AX153" s="14">
        <v>0.57526759086377044</v>
      </c>
      <c r="AY153" s="14">
        <v>0.36486802410660363</v>
      </c>
      <c r="AZ153" s="14">
        <v>0.25275612266572417</v>
      </c>
      <c r="BA153" s="14">
        <v>0.46776482635942568</v>
      </c>
      <c r="BB153" s="14">
        <v>-0.46338180743325702</v>
      </c>
      <c r="BC153" s="14">
        <v>1.2599304128339107E-2</v>
      </c>
      <c r="BD153" s="14">
        <v>0.21280195693583939</v>
      </c>
      <c r="BE153" s="14">
        <v>0.42526822206967307</v>
      </c>
      <c r="BF153" s="14">
        <v>-0.72372458455929556</v>
      </c>
      <c r="BK153" s="16">
        <v>0.4618000522414395</v>
      </c>
      <c r="BL153" s="16">
        <v>0.13662869796678986</v>
      </c>
      <c r="BN153" s="17">
        <f t="shared" si="8"/>
        <v>0</v>
      </c>
    </row>
    <row r="154" spans="1:66" x14ac:dyDescent="0.2">
      <c r="A154">
        <v>-1.287956920353448</v>
      </c>
      <c r="B154">
        <v>-0.89486413402238418</v>
      </c>
      <c r="C154">
        <v>-1.20037918404968</v>
      </c>
      <c r="D154">
        <v>-1.0470355864265211</v>
      </c>
      <c r="E154">
        <v>1.020325860256992</v>
      </c>
      <c r="F154">
        <v>3.9601393884635692</v>
      </c>
      <c r="G154">
        <v>0.72128165741265149</v>
      </c>
      <c r="H154">
        <v>-1.1242540420181899</v>
      </c>
      <c r="I154">
        <v>-0.91807548002916972</v>
      </c>
      <c r="J154">
        <v>0.59730802963372376</v>
      </c>
      <c r="M154" s="13">
        <v>0</v>
      </c>
      <c r="O154" s="10">
        <f t="shared" si="6"/>
        <v>1</v>
      </c>
      <c r="P154" s="10">
        <f t="shared" si="7"/>
        <v>0</v>
      </c>
      <c r="R154" s="14">
        <v>0.91679131182510121</v>
      </c>
      <c r="S154" s="14">
        <v>-1.110265498268536</v>
      </c>
      <c r="T154" s="14">
        <v>-0.69122257032478529</v>
      </c>
      <c r="U154" s="14">
        <v>-1.0914285204701772</v>
      </c>
      <c r="V154" s="14">
        <v>-0.64804603282492612</v>
      </c>
      <c r="W154" s="14">
        <v>-0.45119246335024604</v>
      </c>
      <c r="X154" s="14">
        <v>1.0642701043034406</v>
      </c>
      <c r="Y154" s="14">
        <v>1.1028024199168547</v>
      </c>
      <c r="Z154" s="14">
        <v>3.0896775365690798E-2</v>
      </c>
      <c r="AA154" s="14">
        <v>-0.27014590594355259</v>
      </c>
      <c r="AB154" s="14">
        <v>0.75485441388186969</v>
      </c>
      <c r="AC154" s="14">
        <v>0.53836828725311092</v>
      </c>
      <c r="AD154" s="14">
        <v>1.1299757057418272</v>
      </c>
      <c r="AE154" s="14">
        <v>-0.56443613566871309</v>
      </c>
      <c r="AF154" s="14">
        <v>0.59056804051846346</v>
      </c>
      <c r="AG154" s="14">
        <v>-0.62306224234652707</v>
      </c>
      <c r="AH154" s="14">
        <v>2.8745780380768804E-2</v>
      </c>
      <c r="AI154" s="14">
        <v>0.32102038680604905</v>
      </c>
      <c r="AJ154" s="14">
        <v>1.5661768071568387</v>
      </c>
      <c r="AK154" s="14">
        <v>-1.519561073515391</v>
      </c>
      <c r="AM154" s="14">
        <v>0.16039434876379924</v>
      </c>
      <c r="AN154" s="14">
        <v>-0.39729349654269253</v>
      </c>
      <c r="AO154" s="14">
        <v>-1.0247754731137915E-2</v>
      </c>
      <c r="AP154" s="14">
        <v>-0.1526072303513589</v>
      </c>
      <c r="AQ154" s="14">
        <v>-0.29824432236217319</v>
      </c>
      <c r="AR154" s="14">
        <v>-0.12354207916199274</v>
      </c>
      <c r="AS154" s="14">
        <v>0.50075948616036114</v>
      </c>
      <c r="AT154" s="14">
        <v>0.44658021432420325</v>
      </c>
      <c r="AU154" s="14">
        <v>-0.17897843067417815</v>
      </c>
      <c r="AV154" s="14">
        <v>-0.27319724741910895</v>
      </c>
      <c r="AW154" s="14">
        <v>-0.28749414381345689</v>
      </c>
      <c r="AX154" s="14">
        <v>2.4486441586297356E-2</v>
      </c>
      <c r="AY154" s="14">
        <v>0.37553745666536203</v>
      </c>
      <c r="AZ154" s="14">
        <v>-0.38405924003575637</v>
      </c>
      <c r="BA154" s="14">
        <v>8.3885785504171043E-2</v>
      </c>
      <c r="BB154" s="14">
        <v>-0.14877129986880264</v>
      </c>
      <c r="BC154" s="14">
        <v>0.21806192195273885</v>
      </c>
      <c r="BD154" s="14">
        <v>0.36621920145660875</v>
      </c>
      <c r="BE154" s="14">
        <v>0.44576536031937808</v>
      </c>
      <c r="BF154" s="14">
        <v>-0.38463250837017859</v>
      </c>
      <c r="BK154" s="16">
        <v>0.72423317119687947</v>
      </c>
      <c r="BL154" s="16">
        <v>-0.11356979560181008</v>
      </c>
      <c r="BN154" s="17">
        <f t="shared" si="8"/>
        <v>0</v>
      </c>
    </row>
    <row r="155" spans="1:66" x14ac:dyDescent="0.2">
      <c r="A155">
        <v>-0.88221314274685592</v>
      </c>
      <c r="B155">
        <v>-1.449021138463894</v>
      </c>
      <c r="C155">
        <v>-0.90613224886341304</v>
      </c>
      <c r="D155">
        <v>-0.81186358562638283</v>
      </c>
      <c r="E155">
        <v>-1.001115967700029</v>
      </c>
      <c r="F155">
        <v>-0.88719306625809369</v>
      </c>
      <c r="G155">
        <v>-0.8304656422589799</v>
      </c>
      <c r="H155">
        <v>-0.92342207277716293</v>
      </c>
      <c r="I155">
        <v>-0.81127105098009189</v>
      </c>
      <c r="J155">
        <v>-0.93077736246805665</v>
      </c>
      <c r="M155" s="13">
        <v>0</v>
      </c>
      <c r="O155" s="10">
        <f t="shared" si="6"/>
        <v>1</v>
      </c>
      <c r="P155" s="10">
        <f t="shared" si="7"/>
        <v>0</v>
      </c>
      <c r="R155" s="14">
        <v>0.4354400737976345</v>
      </c>
      <c r="S155" s="14">
        <v>0.97363049191198747</v>
      </c>
      <c r="T155" s="14">
        <v>0.40143365560752386</v>
      </c>
      <c r="U155" s="14">
        <v>-0.62434809258496848</v>
      </c>
      <c r="V155" s="14">
        <v>1.4587318171511345</v>
      </c>
      <c r="W155" s="14">
        <v>-0.83972367675776449</v>
      </c>
      <c r="X155" s="14">
        <v>-1.4655751617032255</v>
      </c>
      <c r="Y155" s="14">
        <v>0.34817392957801346</v>
      </c>
      <c r="Z155" s="14">
        <v>1.6409808065923392</v>
      </c>
      <c r="AA155" s="14">
        <v>1.110207414092605</v>
      </c>
      <c r="AB155" s="14">
        <v>-0.25450703443800438</v>
      </c>
      <c r="AC155" s="14">
        <v>1.0598039805264412</v>
      </c>
      <c r="AD155" s="14">
        <v>-0.76338997482327597</v>
      </c>
      <c r="AE155" s="14">
        <v>1.6887045540801704</v>
      </c>
      <c r="AF155" s="14">
        <v>0.1608132869154183</v>
      </c>
      <c r="AG155" s="14">
        <v>-0.35578011678516686</v>
      </c>
      <c r="AH155" s="14">
        <v>-0.89323794964402814</v>
      </c>
      <c r="AI155" s="14">
        <v>-1.5070118144066256</v>
      </c>
      <c r="AJ155" s="14">
        <v>-0.48252224724024179</v>
      </c>
      <c r="AK155" s="14">
        <v>-1.0701401895802067</v>
      </c>
      <c r="AM155" s="14">
        <v>0.10933259093084051</v>
      </c>
      <c r="AN155" s="14">
        <v>-0.61796945674619208</v>
      </c>
      <c r="AO155" s="14">
        <v>-0.15200224413094049</v>
      </c>
      <c r="AP155" s="14">
        <v>0.1411051999457531</v>
      </c>
      <c r="AQ155" s="14">
        <v>-8.4657265037878487E-2</v>
      </c>
      <c r="AR155" s="14">
        <v>-0.46809345421643472</v>
      </c>
      <c r="AS155" s="14">
        <v>0.56964737598417114</v>
      </c>
      <c r="AT155" s="14">
        <v>0.73770941545910651</v>
      </c>
      <c r="AU155" s="14">
        <v>0.2625700864193396</v>
      </c>
      <c r="AV155" s="14">
        <v>-0.25494587611283187</v>
      </c>
      <c r="AW155" s="14">
        <v>-0.59349593313825189</v>
      </c>
      <c r="AX155" s="14">
        <v>8.34684771746887E-3</v>
      </c>
      <c r="AY155" s="14">
        <v>0.54511020844642877</v>
      </c>
      <c r="AZ155" s="14">
        <v>-0.49597464128775109</v>
      </c>
      <c r="BA155" s="14">
        <v>0.34968817462942775</v>
      </c>
      <c r="BB155" s="14">
        <v>0.15189515234326706</v>
      </c>
      <c r="BC155" s="14">
        <v>0.34424239432847276</v>
      </c>
      <c r="BD155" s="14">
        <v>0.58753694327660133</v>
      </c>
      <c r="BE155" s="14">
        <v>0.45729861583486797</v>
      </c>
      <c r="BF155" s="14">
        <v>-0.41248944922426811</v>
      </c>
      <c r="BK155" s="16">
        <v>0.74095864140006862</v>
      </c>
      <c r="BL155" s="16">
        <v>-0.28779546675457518</v>
      </c>
      <c r="BN155" s="17">
        <f t="shared" si="8"/>
        <v>0</v>
      </c>
    </row>
    <row r="156" spans="1:66" x14ac:dyDescent="0.2">
      <c r="A156">
        <v>-0.31034030609204072</v>
      </c>
      <c r="B156">
        <v>-0.89486413402238418</v>
      </c>
      <c r="C156">
        <v>-0.30684794081127048</v>
      </c>
      <c r="D156">
        <v>-0.35994187050249499</v>
      </c>
      <c r="E156">
        <v>-0.37202884922668972</v>
      </c>
      <c r="F156">
        <v>1.9217685608244141E-2</v>
      </c>
      <c r="G156">
        <v>-0.39671252620845149</v>
      </c>
      <c r="H156">
        <v>-0.3478417897977249</v>
      </c>
      <c r="I156">
        <v>-0.39237805810933091</v>
      </c>
      <c r="J156">
        <v>-0.29941632629585879</v>
      </c>
      <c r="M156" s="13">
        <v>0</v>
      </c>
      <c r="O156" s="10">
        <f t="shared" si="6"/>
        <v>1</v>
      </c>
      <c r="P156" s="10">
        <f t="shared" si="7"/>
        <v>0</v>
      </c>
      <c r="R156" s="14">
        <v>0.47866124591522841</v>
      </c>
      <c r="S156" s="14">
        <v>1.0359333690115871</v>
      </c>
      <c r="T156" s="14">
        <v>0.4441443322496651</v>
      </c>
      <c r="U156" s="14">
        <v>-1.5196251626493407</v>
      </c>
      <c r="V156" s="14">
        <v>1.5052051265202442</v>
      </c>
      <c r="W156" s="14">
        <v>0.57966481907389134</v>
      </c>
      <c r="X156" s="14">
        <v>-1.4659127711474034</v>
      </c>
      <c r="Y156" s="14">
        <v>-1.1210328606575035</v>
      </c>
      <c r="Z156" s="14">
        <v>1.6563191711630589</v>
      </c>
      <c r="AA156" s="14">
        <v>1.2163242772174518</v>
      </c>
      <c r="AB156" s="14">
        <v>1.2008550603637869</v>
      </c>
      <c r="AC156" s="14">
        <v>1.0652012316892332</v>
      </c>
      <c r="AD156" s="14">
        <v>-0.81583053756542256</v>
      </c>
      <c r="AE156" s="14">
        <v>1.6894094608575387</v>
      </c>
      <c r="AF156" s="14">
        <v>-0.90729963994122409</v>
      </c>
      <c r="AG156" s="14">
        <v>0.15047350921138603</v>
      </c>
      <c r="AH156" s="14">
        <v>-1.439678427152334</v>
      </c>
      <c r="AI156" s="14">
        <v>-1.6036292964677736</v>
      </c>
      <c r="AJ156" s="14">
        <v>-0.55690207206915243</v>
      </c>
      <c r="AK156" s="14">
        <v>0.37774695576527673</v>
      </c>
      <c r="AM156" s="14">
        <v>-0.61911771041122909</v>
      </c>
      <c r="AN156" s="14">
        <v>3.7759314307043726E-2</v>
      </c>
      <c r="AO156" s="14">
        <v>0.25221098365541744</v>
      </c>
      <c r="AP156" s="14">
        <v>0.74481120136066636</v>
      </c>
      <c r="AQ156" s="14">
        <v>0.10110751107493224</v>
      </c>
      <c r="AR156" s="14">
        <v>0.32268948813012271</v>
      </c>
      <c r="AS156" s="14">
        <v>-0.36741536412741332</v>
      </c>
      <c r="AT156" s="14">
        <v>-0.17586326486062925</v>
      </c>
      <c r="AU156" s="14">
        <v>-0.19601050185168098</v>
      </c>
      <c r="AV156" s="14">
        <v>0.10921039075302749</v>
      </c>
      <c r="AW156" s="14">
        <v>-0.35180133913821204</v>
      </c>
      <c r="AX156" s="14">
        <v>-0.4106677424514209</v>
      </c>
      <c r="AY156" s="14">
        <v>-0.40081843709497628</v>
      </c>
      <c r="AZ156" s="14">
        <v>-6.8668675064603196E-2</v>
      </c>
      <c r="BA156" s="14">
        <v>-0.13182239110611235</v>
      </c>
      <c r="BB156" s="14">
        <v>0.29086236406972804</v>
      </c>
      <c r="BC156" s="14">
        <v>0.10555266461121691</v>
      </c>
      <c r="BD156" s="14">
        <v>-0.20463688646390699</v>
      </c>
      <c r="BE156" s="14">
        <v>-0.50713938043408158</v>
      </c>
      <c r="BF156" s="14">
        <v>0.26521419410425628</v>
      </c>
      <c r="BK156" s="16">
        <v>-0.53415000696715265</v>
      </c>
      <c r="BL156" s="16">
        <v>0.50474719936720258</v>
      </c>
      <c r="BN156" s="17">
        <f t="shared" si="8"/>
        <v>1</v>
      </c>
    </row>
    <row r="157" spans="1:66" x14ac:dyDescent="0.2">
      <c r="A157">
        <v>-0.56768308258670763</v>
      </c>
      <c r="B157">
        <v>-0.2573383767002923</v>
      </c>
      <c r="C157">
        <v>-0.59901979182838183</v>
      </c>
      <c r="D157">
        <v>-0.58619057629063243</v>
      </c>
      <c r="E157">
        <v>-0.71008186798680928</v>
      </c>
      <c r="F157">
        <v>-0.65126095563004816</v>
      </c>
      <c r="G157">
        <v>-0.69116366921977068</v>
      </c>
      <c r="H157">
        <v>-0.59215284516309785</v>
      </c>
      <c r="I157">
        <v>-0.59270278324118308</v>
      </c>
      <c r="J157">
        <v>-0.52569396520861755</v>
      </c>
      <c r="M157" s="13">
        <v>0</v>
      </c>
      <c r="O157" s="10">
        <f t="shared" si="6"/>
        <v>1</v>
      </c>
      <c r="P157" s="10">
        <f t="shared" si="7"/>
        <v>0</v>
      </c>
      <c r="R157" s="14">
        <v>1.1033755557426144</v>
      </c>
      <c r="S157" s="14">
        <v>-0.12505984399262238</v>
      </c>
      <c r="T157" s="14">
        <v>-0.28671508934990075</v>
      </c>
      <c r="U157" s="14">
        <v>-1.3385437410537999</v>
      </c>
      <c r="V157" s="14">
        <v>-0.12663050104183571</v>
      </c>
      <c r="W157" s="14">
        <v>-0.44932740601082716</v>
      </c>
      <c r="X157" s="14">
        <v>0.65896457039430023</v>
      </c>
      <c r="Y157" s="14">
        <v>0.60625948178757738</v>
      </c>
      <c r="Z157" s="14">
        <v>0.37915001815501181</v>
      </c>
      <c r="AA157" s="14">
        <v>0.41881185460413578</v>
      </c>
      <c r="AB157" s="14">
        <v>0.72238263792163482</v>
      </c>
      <c r="AC157" s="14">
        <v>1.4353136769760013</v>
      </c>
      <c r="AD157" s="14">
        <v>1.0459932721237726</v>
      </c>
      <c r="AE157" s="14">
        <v>1.2691211682204744</v>
      </c>
      <c r="AF157" s="14">
        <v>0.92066837724623496</v>
      </c>
      <c r="AG157" s="14">
        <v>-0.56967829863689201</v>
      </c>
      <c r="AH157" s="14">
        <v>-0.5906462032701858</v>
      </c>
      <c r="AI157" s="14">
        <v>4.0766255362709281E-2</v>
      </c>
      <c r="AJ157" s="14">
        <v>1.5321617578710316</v>
      </c>
      <c r="AK157" s="14">
        <v>-1.4911717067263441</v>
      </c>
      <c r="AM157" s="14">
        <v>0.31780251687891103</v>
      </c>
      <c r="AN157" s="14">
        <v>0.15568805355361603</v>
      </c>
      <c r="AO157" s="14">
        <v>0.46029561633800781</v>
      </c>
      <c r="AP157" s="14">
        <v>0.4121848641095115</v>
      </c>
      <c r="AQ157" s="14">
        <v>0.7000426305322659</v>
      </c>
      <c r="AR157" s="14">
        <v>-0.6872252886243968</v>
      </c>
      <c r="AS157" s="14">
        <v>-0.55962673119294726</v>
      </c>
      <c r="AT157" s="14">
        <v>0.51591376041558323</v>
      </c>
      <c r="AU157" s="14">
        <v>0.87024956915285478</v>
      </c>
      <c r="AV157" s="14">
        <v>0.30198991464834463</v>
      </c>
      <c r="AW157" s="14">
        <v>-0.79458709034375608</v>
      </c>
      <c r="AX157" s="14">
        <v>0.60376919822960173</v>
      </c>
      <c r="AY157" s="14">
        <v>-0.30616510927327334</v>
      </c>
      <c r="AZ157" s="14">
        <v>0.48819989368808031</v>
      </c>
      <c r="BA157" s="14">
        <v>0.42258742196263205</v>
      </c>
      <c r="BB157" s="14">
        <v>0.26798654090092189</v>
      </c>
      <c r="BC157" s="14">
        <v>-5.6937356654602278E-3</v>
      </c>
      <c r="BD157" s="14">
        <v>-0.13643174719170925</v>
      </c>
      <c r="BE157" s="14">
        <v>-0.45299875621123886</v>
      </c>
      <c r="BF157" s="14">
        <v>-0.36585971726542865</v>
      </c>
      <c r="BK157" s="16">
        <v>0.7449948749096208</v>
      </c>
      <c r="BL157" s="16">
        <v>-0.50961444288588043</v>
      </c>
      <c r="BN157" s="17">
        <f t="shared" si="8"/>
        <v>0</v>
      </c>
    </row>
    <row r="158" spans="1:66" x14ac:dyDescent="0.2">
      <c r="A158">
        <v>0.98495166893111574</v>
      </c>
      <c r="B158">
        <v>0.42922782349272859</v>
      </c>
      <c r="C158">
        <v>1.024941078952806</v>
      </c>
      <c r="D158">
        <v>0.86283739436774443</v>
      </c>
      <c r="E158">
        <v>1.142983909944556</v>
      </c>
      <c r="F158">
        <v>1.16689164676632</v>
      </c>
      <c r="G158">
        <v>1.4070563246864101</v>
      </c>
      <c r="H158">
        <v>0.83230483357738194</v>
      </c>
      <c r="I158">
        <v>0.71410165709728457</v>
      </c>
      <c r="J158">
        <v>0.51344603241920039</v>
      </c>
      <c r="M158" s="13">
        <v>1</v>
      </c>
      <c r="O158" s="10">
        <f t="shared" si="6"/>
        <v>0</v>
      </c>
      <c r="P158" s="10">
        <f t="shared" si="7"/>
        <v>1</v>
      </c>
      <c r="R158" s="14">
        <v>8.0277547918220948E-2</v>
      </c>
      <c r="S158" s="14">
        <v>-0.99698256514565875</v>
      </c>
      <c r="T158" s="14">
        <v>-0.24181257571332179</v>
      </c>
      <c r="U158" s="14">
        <v>-0.98014832576336541</v>
      </c>
      <c r="V158" s="14">
        <v>-0.35200157265418508</v>
      </c>
      <c r="W158" s="14">
        <v>-3.137385613515481E-2</v>
      </c>
      <c r="X158" s="14">
        <v>1.021222067098301</v>
      </c>
      <c r="Y158" s="14">
        <v>0.93362474110036908</v>
      </c>
      <c r="Z158" s="14">
        <v>-0.29330742972258117</v>
      </c>
      <c r="AA158" s="14">
        <v>-0.12917395914737351</v>
      </c>
      <c r="AB158" s="14">
        <v>0.21471053351014036</v>
      </c>
      <c r="AC158" s="14">
        <v>0.21307560334279069</v>
      </c>
      <c r="AD158" s="14">
        <v>1.029518008391584</v>
      </c>
      <c r="AE158" s="14">
        <v>-0.51349919776528474</v>
      </c>
      <c r="AF158" s="14">
        <v>-2.6567960141397062E-3</v>
      </c>
      <c r="AG158" s="14">
        <v>-0.44653234919814189</v>
      </c>
      <c r="AH158" s="14">
        <v>-0.27126714075110303</v>
      </c>
      <c r="AI158" s="14">
        <v>0.22018425587367896</v>
      </c>
      <c r="AJ158" s="14">
        <v>1.4968145015436218</v>
      </c>
      <c r="AK158" s="14">
        <v>-1.1115119281526447</v>
      </c>
      <c r="AM158" s="14">
        <v>0.7155689361192743</v>
      </c>
      <c r="AN158" s="14">
        <v>0.51547102471864648</v>
      </c>
      <c r="AO158" s="14">
        <v>-0.22801910981081164</v>
      </c>
      <c r="AP158" s="14">
        <v>-0.50606344949296234</v>
      </c>
      <c r="AQ158" s="14">
        <v>0.36215087655555322</v>
      </c>
      <c r="AR158" s="14">
        <v>-4.9498980722679602E-2</v>
      </c>
      <c r="AS158" s="14">
        <v>-0.28444607937159061</v>
      </c>
      <c r="AT158" s="14">
        <v>-0.63439297678890461</v>
      </c>
      <c r="AU158" s="14">
        <v>9.2621783216247089E-2</v>
      </c>
      <c r="AV158" s="14">
        <v>0.53529130655958834</v>
      </c>
      <c r="AW158" s="14">
        <v>0.59718665755802625</v>
      </c>
      <c r="AX158" s="14">
        <v>0.35247470223193278</v>
      </c>
      <c r="AY158" s="14">
        <v>9.8943212982324138E-3</v>
      </c>
      <c r="AZ158" s="14">
        <v>0.61395506107499664</v>
      </c>
      <c r="BA158" s="14">
        <v>6.3405228029203536E-2</v>
      </c>
      <c r="BB158" s="14">
        <v>1.7201493027268186E-2</v>
      </c>
      <c r="BC158" s="14">
        <v>-0.49280243195802209</v>
      </c>
      <c r="BD158" s="14">
        <v>-0.21688615428161315</v>
      </c>
      <c r="BE158" s="14">
        <v>-7.598878425030918E-2</v>
      </c>
      <c r="BF158" s="14">
        <v>3.3877852532535461E-3</v>
      </c>
      <c r="BK158" s="16">
        <v>0.52810058288350592</v>
      </c>
      <c r="BL158" s="16">
        <v>-0.35361642212707411</v>
      </c>
      <c r="BN158" s="17">
        <f t="shared" si="8"/>
        <v>0</v>
      </c>
    </row>
    <row r="159" spans="1:66" x14ac:dyDescent="0.2">
      <c r="A159">
        <v>0.74476507753609344</v>
      </c>
      <c r="B159">
        <v>0.11536898911877649</v>
      </c>
      <c r="C159">
        <v>0.65142592850479419</v>
      </c>
      <c r="D159">
        <v>0.62248412549612253</v>
      </c>
      <c r="E159">
        <v>-0.6089818997594838</v>
      </c>
      <c r="F159">
        <v>-0.49442747168654982</v>
      </c>
      <c r="G159">
        <v>-0.57869969098628082</v>
      </c>
      <c r="H159">
        <v>0.36645748224510288</v>
      </c>
      <c r="I159">
        <v>0.23587287031036899</v>
      </c>
      <c r="J159">
        <v>-0.49199941275635362</v>
      </c>
      <c r="M159" s="13">
        <v>0</v>
      </c>
      <c r="O159" s="10">
        <f t="shared" si="6"/>
        <v>1</v>
      </c>
      <c r="P159" s="10">
        <f t="shared" si="7"/>
        <v>0</v>
      </c>
      <c r="R159" s="14">
        <v>3.7104950992658967E-2</v>
      </c>
      <c r="S159" s="14">
        <v>-1.1210053867190328</v>
      </c>
      <c r="T159" s="14">
        <v>-0.51086355493241409</v>
      </c>
      <c r="U159" s="14">
        <v>-0.40501807294467695</v>
      </c>
      <c r="V159" s="14">
        <v>-5.1060636813168858E-3</v>
      </c>
      <c r="W159" s="14">
        <v>-0.33635461754876467</v>
      </c>
      <c r="X159" s="14">
        <v>1.0583846930816339</v>
      </c>
      <c r="Y159" s="14">
        <v>1.2935939495378017</v>
      </c>
      <c r="Z159" s="14">
        <v>0.40302915067862011</v>
      </c>
      <c r="AA159" s="14">
        <v>-0.10820471788130404</v>
      </c>
      <c r="AB159" s="14">
        <v>-0.98031018662070557</v>
      </c>
      <c r="AC159" s="14">
        <v>-7.336581637791495E-3</v>
      </c>
      <c r="AD159" s="14">
        <v>1.110717082253748</v>
      </c>
      <c r="AE159" s="14">
        <v>-0.63824818924220494</v>
      </c>
      <c r="AF159" s="14">
        <v>0.47508112378297307</v>
      </c>
      <c r="AG159" s="14">
        <v>8.7973182565119878E-2</v>
      </c>
      <c r="AH159" s="14">
        <v>-0.10480163201984993</v>
      </c>
      <c r="AI159" s="14">
        <v>0.32692790902222169</v>
      </c>
      <c r="AJ159" s="14">
        <v>1.4975362633430169</v>
      </c>
      <c r="AK159" s="14">
        <v>-1.1715591219775101</v>
      </c>
      <c r="AM159" s="14">
        <v>-0.44463699242713423</v>
      </c>
      <c r="AN159" s="14">
        <v>0.89712627187247818</v>
      </c>
      <c r="AO159" s="14">
        <v>0.57393448766722222</v>
      </c>
      <c r="AP159" s="14">
        <v>-0.27626796085123723</v>
      </c>
      <c r="AQ159" s="14">
        <v>0.90724713965016412</v>
      </c>
      <c r="AR159" s="14">
        <v>0.5369391414616973</v>
      </c>
      <c r="AS159" s="14">
        <v>-0.93536972333254653</v>
      </c>
      <c r="AT159" s="14">
        <v>-0.72195320474019387</v>
      </c>
      <c r="AU159" s="14">
        <v>0.75540518135943979</v>
      </c>
      <c r="AV159" s="14">
        <v>0.66352544354892395</v>
      </c>
      <c r="AW159" s="14">
        <v>-0.43204504886682177</v>
      </c>
      <c r="AX159" s="14">
        <v>0.54855307581229018</v>
      </c>
      <c r="AY159" s="14">
        <v>-0.87302577488847122</v>
      </c>
      <c r="AZ159" s="14">
        <v>0.88671705870677864</v>
      </c>
      <c r="BA159" s="14">
        <v>-0.60018298064969877</v>
      </c>
      <c r="BB159" s="14">
        <v>0.29365741329631334</v>
      </c>
      <c r="BC159" s="14">
        <v>-0.7545781466195367</v>
      </c>
      <c r="BD159" s="14">
        <v>-0.83905765985541658</v>
      </c>
      <c r="BE159" s="14">
        <v>-0.84977544886813572</v>
      </c>
      <c r="BF159" s="14">
        <v>0.78409249071504838</v>
      </c>
      <c r="BK159" s="16">
        <v>-0.63956052919544126</v>
      </c>
      <c r="BL159" s="16">
        <v>0.22085662605268883</v>
      </c>
      <c r="BN159" s="17">
        <f t="shared" si="8"/>
        <v>1</v>
      </c>
    </row>
    <row r="160" spans="1:66" x14ac:dyDescent="0.2">
      <c r="A160">
        <v>-0.62201100206891491</v>
      </c>
      <c r="B160">
        <v>-1.532389891344476</v>
      </c>
      <c r="C160">
        <v>-0.65836719906623231</v>
      </c>
      <c r="D160">
        <v>-0.61986881875527877</v>
      </c>
      <c r="E160">
        <v>-0.9773277398818353</v>
      </c>
      <c r="F160">
        <v>-0.88843285664499883</v>
      </c>
      <c r="G160">
        <v>-0.78522445101505323</v>
      </c>
      <c r="H160">
        <v>-0.68532231542955346</v>
      </c>
      <c r="I160">
        <v>-0.64831901992677266</v>
      </c>
      <c r="J160">
        <v>-0.70330169502366169</v>
      </c>
      <c r="M160" s="13">
        <v>0</v>
      </c>
      <c r="O160" s="10">
        <f t="shared" si="6"/>
        <v>1</v>
      </c>
      <c r="P160" s="10">
        <f t="shared" si="7"/>
        <v>0</v>
      </c>
      <c r="R160" s="14">
        <v>-1.2401932479011959</v>
      </c>
      <c r="S160" s="14">
        <v>-0.75916337058913885</v>
      </c>
      <c r="T160" s="14">
        <v>4.3988212104726365E-3</v>
      </c>
      <c r="U160" s="14">
        <v>0.35090150103996176</v>
      </c>
      <c r="V160" s="14">
        <v>0.12383835503300139</v>
      </c>
      <c r="W160" s="14">
        <v>0.49112537699396458</v>
      </c>
      <c r="X160" s="14">
        <v>0.1223415882858318</v>
      </c>
      <c r="Y160" s="14">
        <v>-0.12188268033885936</v>
      </c>
      <c r="Z160" s="14">
        <v>4.9457524746912118E-2</v>
      </c>
      <c r="AA160" s="14">
        <v>0.4297555384229676</v>
      </c>
      <c r="AB160" s="14">
        <v>-0.22448639846561402</v>
      </c>
      <c r="AC160" s="14">
        <v>-0.79409188458749502</v>
      </c>
      <c r="AD160" s="14">
        <v>-0.28399204859417815</v>
      </c>
      <c r="AE160" s="14">
        <v>-0.29447017089383842</v>
      </c>
      <c r="AF160" s="14">
        <v>-0.55488520834307753</v>
      </c>
      <c r="AG160" s="14">
        <v>7.3308207040785223E-2</v>
      </c>
      <c r="AH160" s="14">
        <v>-0.2378438532935673</v>
      </c>
      <c r="AI160" s="14">
        <v>-0.51555627781768143</v>
      </c>
      <c r="AJ160" s="14">
        <v>-0.31606740687472529</v>
      </c>
      <c r="AK160" s="14">
        <v>-0.24538741876418518</v>
      </c>
      <c r="AM160" s="14">
        <v>0.58813741609745895</v>
      </c>
      <c r="AN160" s="14">
        <v>-0.59007902075134622</v>
      </c>
      <c r="AO160" s="14">
        <v>-0.38432457161930528</v>
      </c>
      <c r="AP160" s="14">
        <v>-0.29714877342951562</v>
      </c>
      <c r="AQ160" s="14">
        <v>-0.56266225358923472</v>
      </c>
      <c r="AR160" s="14">
        <v>-0.4583214513819811</v>
      </c>
      <c r="AS160" s="14">
        <v>0.72894076830706245</v>
      </c>
      <c r="AT160" s="14">
        <v>0.45803327126961674</v>
      </c>
      <c r="AU160" s="14">
        <v>-0.27689906130273995</v>
      </c>
      <c r="AV160" s="14">
        <v>-0.3218456279106543</v>
      </c>
      <c r="AW160" s="14">
        <v>0.30691460319264807</v>
      </c>
      <c r="AX160" s="14">
        <v>-7.3354158162347019E-3</v>
      </c>
      <c r="AY160" s="14">
        <v>0.68430976512298414</v>
      </c>
      <c r="AZ160" s="14">
        <v>-0.49837256605268027</v>
      </c>
      <c r="BA160" s="14">
        <v>0.39985653882882582</v>
      </c>
      <c r="BB160" s="14">
        <v>-0.23821571074653519</v>
      </c>
      <c r="BC160" s="14">
        <v>0.3471460777361412</v>
      </c>
      <c r="BD160" s="14">
        <v>0.59411006586086523</v>
      </c>
      <c r="BE160" s="14">
        <v>0.67341818285806299</v>
      </c>
      <c r="BF160" s="14">
        <v>-0.5903437383266259</v>
      </c>
      <c r="BK160" s="16">
        <v>0.67290711442357809</v>
      </c>
      <c r="BL160" s="16">
        <v>-0.33261254812533098</v>
      </c>
      <c r="BN160" s="17">
        <f t="shared" si="8"/>
        <v>0</v>
      </c>
    </row>
    <row r="161" spans="1:66" x14ac:dyDescent="0.2">
      <c r="A161">
        <v>-0.95369724732870786</v>
      </c>
      <c r="B161">
        <v>-1.4784454041864521</v>
      </c>
      <c r="C161">
        <v>-0.99660591863859826</v>
      </c>
      <c r="D161">
        <v>-0.85532866778161021</v>
      </c>
      <c r="E161">
        <v>-1.2603704818123811</v>
      </c>
      <c r="F161">
        <v>-1.0946099979873209</v>
      </c>
      <c r="G161">
        <v>-1.1185779064971391</v>
      </c>
      <c r="H161">
        <v>-0.84681606389141051</v>
      </c>
      <c r="I161">
        <v>-0.75955149329795146</v>
      </c>
      <c r="J161">
        <v>-1.163344651171905</v>
      </c>
      <c r="M161" s="13">
        <v>0</v>
      </c>
      <c r="O161" s="10">
        <f t="shared" si="6"/>
        <v>1</v>
      </c>
      <c r="P161" s="10">
        <f t="shared" si="7"/>
        <v>0</v>
      </c>
      <c r="R161" s="14">
        <v>0.22280042130131672</v>
      </c>
      <c r="S161" s="14">
        <v>0.23572787159541431</v>
      </c>
      <c r="T161" s="14">
        <v>0.38309413037633822</v>
      </c>
      <c r="U161" s="14">
        <v>-3.8417093524835966E-2</v>
      </c>
      <c r="V161" s="14">
        <v>1.480355617273911</v>
      </c>
      <c r="W161" s="14">
        <v>-1.0227424328480399</v>
      </c>
      <c r="X161" s="14">
        <v>-1.4621039529912589</v>
      </c>
      <c r="Y161" s="14">
        <v>0.78853453203762824</v>
      </c>
      <c r="Z161" s="14">
        <v>1.7004667705339589</v>
      </c>
      <c r="AA161" s="14">
        <v>1.0400479867403383</v>
      </c>
      <c r="AB161" s="14">
        <v>-0.28767048986331911</v>
      </c>
      <c r="AC161" s="14">
        <v>1.0463101078996266</v>
      </c>
      <c r="AD161" s="14">
        <v>-0.5484980356605198</v>
      </c>
      <c r="AE161" s="14">
        <v>1.6706891641100343</v>
      </c>
      <c r="AF161" s="14">
        <v>0.14076071696316161</v>
      </c>
      <c r="AG161" s="14">
        <v>7.9657791427273583E-2</v>
      </c>
      <c r="AH161" s="14">
        <v>-0.51524485615176951</v>
      </c>
      <c r="AI161" s="14">
        <v>-0.76654991297733899</v>
      </c>
      <c r="AJ161" s="14">
        <v>-0.4847981072625685</v>
      </c>
      <c r="AK161" s="14">
        <v>-1.0958671889089302</v>
      </c>
      <c r="AM161" s="14">
        <v>-5.4686432423115987E-2</v>
      </c>
      <c r="AN161" s="14">
        <v>0.53703240403531927</v>
      </c>
      <c r="AO161" s="14">
        <v>0.28716334226480505</v>
      </c>
      <c r="AP161" s="14">
        <v>-0.17836949190724288</v>
      </c>
      <c r="AQ161" s="14">
        <v>0.458070072744241</v>
      </c>
      <c r="AR161" s="14">
        <v>-3.2355002884150982E-2</v>
      </c>
      <c r="AS161" s="14">
        <v>-0.71254169329443917</v>
      </c>
      <c r="AT161" s="14">
        <v>-0.38409483016573964</v>
      </c>
      <c r="AU161" s="14">
        <v>0.54840671305449851</v>
      </c>
      <c r="AV161" s="14">
        <v>0.1861409831876264</v>
      </c>
      <c r="AW161" s="14">
        <v>0.2350758557013162</v>
      </c>
      <c r="AX161" s="14">
        <v>0.41499155507442276</v>
      </c>
      <c r="AY161" s="14">
        <v>-0.55974593359353042</v>
      </c>
      <c r="AZ161" s="14">
        <v>0.59909575512751501</v>
      </c>
      <c r="BA161" s="14">
        <v>-0.13917845397797274</v>
      </c>
      <c r="BB161" s="14">
        <v>-0.27997445535543197</v>
      </c>
      <c r="BC161" s="14">
        <v>-0.30815788873007377</v>
      </c>
      <c r="BD161" s="14">
        <v>-0.50139433093165875</v>
      </c>
      <c r="BE161" s="14">
        <v>-0.48913734035707551</v>
      </c>
      <c r="BF161" s="14">
        <v>0.21280085893576869</v>
      </c>
      <c r="BK161" s="16">
        <v>0.75515675029555074</v>
      </c>
      <c r="BL161" s="16">
        <v>-0.14048680903800137</v>
      </c>
      <c r="BN161" s="17">
        <f t="shared" si="8"/>
        <v>0</v>
      </c>
    </row>
    <row r="162" spans="1:66" x14ac:dyDescent="0.2">
      <c r="A162">
        <v>-0.71065129175041142</v>
      </c>
      <c r="B162">
        <v>0.29191458345412458</v>
      </c>
      <c r="C162">
        <v>-0.68907844476973579</v>
      </c>
      <c r="D162">
        <v>-0.7027691078990238</v>
      </c>
      <c r="E162">
        <v>0.1691533336372292</v>
      </c>
      <c r="F162">
        <v>-0.28453095918351168</v>
      </c>
      <c r="G162">
        <v>-0.3315345388231335</v>
      </c>
      <c r="H162">
        <v>-0.6480545273229712</v>
      </c>
      <c r="I162">
        <v>-0.62865850313664384</v>
      </c>
      <c r="J162">
        <v>-0.57091954227787844</v>
      </c>
      <c r="M162" s="13">
        <v>0</v>
      </c>
      <c r="O162" s="10">
        <f t="shared" si="6"/>
        <v>1</v>
      </c>
      <c r="P162" s="10">
        <f t="shared" si="7"/>
        <v>0</v>
      </c>
      <c r="R162" s="14">
        <v>1.0595542458247367</v>
      </c>
      <c r="S162" s="14">
        <v>0.84665925706482403</v>
      </c>
      <c r="T162" s="14">
        <v>-0.4581650682175491</v>
      </c>
      <c r="U162" s="14">
        <v>-1.2717346129335627</v>
      </c>
      <c r="V162" s="14">
        <v>0.90431812745808937</v>
      </c>
      <c r="W162" s="14">
        <v>0.32814633791786929</v>
      </c>
      <c r="X162" s="14">
        <v>-0.70106212588112737</v>
      </c>
      <c r="Y162" s="14">
        <v>-0.5575099014765168</v>
      </c>
      <c r="Z162" s="14">
        <v>-0.28829320181101947</v>
      </c>
      <c r="AA162" s="14">
        <v>1.6313601108887354</v>
      </c>
      <c r="AB162" s="14">
        <v>0.76604726007025359</v>
      </c>
      <c r="AC162" s="14">
        <v>1.0073282472380676</v>
      </c>
      <c r="AD162" s="14">
        <v>0.23272484815260824</v>
      </c>
      <c r="AE162" s="14">
        <v>1.3307516499580383</v>
      </c>
      <c r="AF162" s="14">
        <v>0.5989996881080738</v>
      </c>
      <c r="AG162" s="14">
        <v>0.32792380273147553</v>
      </c>
      <c r="AH162" s="14">
        <v>-1.3242602209421781</v>
      </c>
      <c r="AI162" s="14">
        <v>-1.3538260241829509</v>
      </c>
      <c r="AJ162" s="14">
        <v>0.55466115400373661</v>
      </c>
      <c r="AK162" s="14">
        <v>-0.64598637535013803</v>
      </c>
      <c r="AM162" s="14">
        <v>-0.13757419716832253</v>
      </c>
      <c r="AN162" s="14">
        <v>0.32040969555329374</v>
      </c>
      <c r="AO162" s="14">
        <v>0.23551822484689999</v>
      </c>
      <c r="AP162" s="14">
        <v>0.26884211643521755</v>
      </c>
      <c r="AQ162" s="14">
        <v>0.5610712860259166</v>
      </c>
      <c r="AR162" s="14">
        <v>-0.12637961362796046</v>
      </c>
      <c r="AS162" s="14">
        <v>-0.51011242733770845</v>
      </c>
      <c r="AT162" s="14">
        <v>-0.14792357086435615</v>
      </c>
      <c r="AU162" s="14">
        <v>0.39862385318663313</v>
      </c>
      <c r="AV162" s="14">
        <v>0.3611717872081</v>
      </c>
      <c r="AW162" s="14">
        <v>-0.2971406062188966</v>
      </c>
      <c r="AX162" s="14">
        <v>0.16091161586478556</v>
      </c>
      <c r="AY162" s="14">
        <v>-0.34806586273738555</v>
      </c>
      <c r="AZ162" s="14">
        <v>0.4237914743549191</v>
      </c>
      <c r="BA162" s="14">
        <v>7.4299301756676817E-2</v>
      </c>
      <c r="BB162" s="14">
        <v>0.33723227305117615</v>
      </c>
      <c r="BC162" s="14">
        <v>-0.20297842985726819</v>
      </c>
      <c r="BD162" s="14">
        <v>-0.30063969702893295</v>
      </c>
      <c r="BE162" s="14">
        <v>-0.50606364520192537</v>
      </c>
      <c r="BF162" s="14">
        <v>0.22530935983722861</v>
      </c>
      <c r="BK162" s="16">
        <v>0.74616426381749246</v>
      </c>
      <c r="BL162" s="16">
        <v>-0.28900962812201841</v>
      </c>
      <c r="BN162" s="17">
        <f t="shared" si="8"/>
        <v>0</v>
      </c>
    </row>
    <row r="163" spans="1:66" x14ac:dyDescent="0.2">
      <c r="A163">
        <v>1.416715660605502</v>
      </c>
      <c r="B163">
        <v>-0.74774280540959392</v>
      </c>
      <c r="C163">
        <v>1.3943060610625051</v>
      </c>
      <c r="D163">
        <v>1.4192480155998941</v>
      </c>
      <c r="E163">
        <v>0.2509253667622719</v>
      </c>
      <c r="F163">
        <v>0.34615041063512603</v>
      </c>
      <c r="G163">
        <v>1.1839175678731451</v>
      </c>
      <c r="H163">
        <v>1.155292330501096</v>
      </c>
      <c r="I163">
        <v>1.055946678763487</v>
      </c>
      <c r="J163">
        <v>0.90580037653000645</v>
      </c>
      <c r="M163" s="13">
        <v>1</v>
      </c>
      <c r="O163" s="10">
        <f t="shared" si="6"/>
        <v>0</v>
      </c>
      <c r="P163" s="10">
        <f t="shared" si="7"/>
        <v>1</v>
      </c>
      <c r="R163" s="14">
        <v>-0.81669257217231306</v>
      </c>
      <c r="S163" s="14">
        <v>1.0356760161340672</v>
      </c>
      <c r="T163" s="14">
        <v>0.43086343906580582</v>
      </c>
      <c r="U163" s="14">
        <v>-1.218533354413196</v>
      </c>
      <c r="V163" s="14">
        <v>1.5025042128440282</v>
      </c>
      <c r="W163" s="14">
        <v>0.65828340185536782</v>
      </c>
      <c r="X163" s="14">
        <v>-1.4659118758155847</v>
      </c>
      <c r="Y163" s="14">
        <v>-0.95507722242961779</v>
      </c>
      <c r="Z163" s="14">
        <v>1.1510534904326661</v>
      </c>
      <c r="AA163" s="14">
        <v>1.2034179529165863</v>
      </c>
      <c r="AB163" s="14">
        <v>-0.23015110075720646</v>
      </c>
      <c r="AC163" s="14">
        <v>1.0443748031494335</v>
      </c>
      <c r="AD163" s="14">
        <v>-0.81528789855848705</v>
      </c>
      <c r="AE163" s="14">
        <v>1.6892950292340312</v>
      </c>
      <c r="AF163" s="14">
        <v>-0.92448485061438102</v>
      </c>
      <c r="AG163" s="14">
        <v>0.16023084019999667</v>
      </c>
      <c r="AH163" s="14">
        <v>-1.3601994383157094</v>
      </c>
      <c r="AI163" s="14">
        <v>-1.6027413812802016</v>
      </c>
      <c r="AJ163" s="14">
        <v>-0.55621733584825606</v>
      </c>
      <c r="AK163" s="14">
        <v>0.31946000223093296</v>
      </c>
      <c r="AM163" s="14">
        <v>0.78372321957054114</v>
      </c>
      <c r="AN163" s="14">
        <v>2.9909114598528633E-2</v>
      </c>
      <c r="AO163" s="14">
        <v>0.15839099413697397</v>
      </c>
      <c r="AP163" s="14">
        <v>1.3377083769340192E-2</v>
      </c>
      <c r="AQ163" s="14">
        <v>0.143041312260029</v>
      </c>
      <c r="AR163" s="14">
        <v>-0.63790739549842801</v>
      </c>
      <c r="AS163" s="14">
        <v>-0.14749197400083636</v>
      </c>
      <c r="AT163" s="14">
        <v>0.16330032169462699</v>
      </c>
      <c r="AU163" s="14">
        <v>0.53972833520040175</v>
      </c>
      <c r="AV163" s="14">
        <v>0.18772101000369776</v>
      </c>
      <c r="AW163" s="14">
        <v>-6.7611925977911963E-2</v>
      </c>
      <c r="AX163" s="14">
        <v>0.57238189171275522</v>
      </c>
      <c r="AY163" s="14">
        <v>0.10050725283362476</v>
      </c>
      <c r="AZ163" s="14">
        <v>0.36107830395741802</v>
      </c>
      <c r="BA163" s="14">
        <v>0.46076075077659129</v>
      </c>
      <c r="BB163" s="14">
        <v>-0.27482637916116509</v>
      </c>
      <c r="BC163" s="14">
        <v>4.1071759081464827E-2</v>
      </c>
      <c r="BD163" s="14">
        <v>9.3645927066573889E-2</v>
      </c>
      <c r="BE163" s="14">
        <v>7.449963151054706E-2</v>
      </c>
      <c r="BF163" s="14">
        <v>-0.69709408792970462</v>
      </c>
      <c r="BK163" s="16">
        <v>0.74054818929408495</v>
      </c>
      <c r="BL163" s="16">
        <v>-0.41023528870370951</v>
      </c>
      <c r="BN163" s="17">
        <f t="shared" si="8"/>
        <v>0</v>
      </c>
    </row>
    <row r="164" spans="1:66" x14ac:dyDescent="0.2">
      <c r="A164">
        <v>1.531090227936464</v>
      </c>
      <c r="B164">
        <v>-0.20584591168581631</v>
      </c>
      <c r="C164">
        <v>1.5769134679481991</v>
      </c>
      <c r="D164">
        <v>1.5833215045302229</v>
      </c>
      <c r="E164">
        <v>1.1448423652428521</v>
      </c>
      <c r="F164">
        <v>1.976474769415367</v>
      </c>
      <c r="G164">
        <v>2.000048209917539</v>
      </c>
      <c r="H164">
        <v>2.1283956866174121</v>
      </c>
      <c r="I164">
        <v>2.361334144918882</v>
      </c>
      <c r="J164">
        <v>1.609642138866185</v>
      </c>
      <c r="M164" s="13">
        <v>1</v>
      </c>
      <c r="O164" s="10">
        <f t="shared" si="6"/>
        <v>0</v>
      </c>
      <c r="P164" s="10">
        <f t="shared" si="7"/>
        <v>1</v>
      </c>
      <c r="R164" s="14">
        <v>0.82902550410647879</v>
      </c>
      <c r="S164" s="14">
        <v>-1.0516820551664652</v>
      </c>
      <c r="T164" s="14">
        <v>-0.74404960994852098</v>
      </c>
      <c r="U164" s="14">
        <v>-0.90465162247311159</v>
      </c>
      <c r="V164" s="14">
        <v>-0.52953622787093724</v>
      </c>
      <c r="W164" s="14">
        <v>-0.3900515131120334</v>
      </c>
      <c r="X164" s="14">
        <v>1.0623460850377044</v>
      </c>
      <c r="Y164" s="14">
        <v>0.84266843957474236</v>
      </c>
      <c r="Z164" s="14">
        <v>-1.6310717649325235E-2</v>
      </c>
      <c r="AA164" s="14">
        <v>-9.9265150707803729E-2</v>
      </c>
      <c r="AB164" s="14">
        <v>0.71470052934630668</v>
      </c>
      <c r="AC164" s="14">
        <v>0.12172615621905924</v>
      </c>
      <c r="AD164" s="14">
        <v>1.1237713629405452</v>
      </c>
      <c r="AE164" s="14">
        <v>-0.46160858912690356</v>
      </c>
      <c r="AF164" s="14">
        <v>0.53812861338064422</v>
      </c>
      <c r="AG164" s="14">
        <v>-0.45834957059939341</v>
      </c>
      <c r="AH164" s="14">
        <v>-0.14846137657670677</v>
      </c>
      <c r="AI164" s="14">
        <v>0.30219793312775234</v>
      </c>
      <c r="AJ164" s="14">
        <v>1.5536640646375091</v>
      </c>
      <c r="AK164" s="14">
        <v>-1.3700171477539089</v>
      </c>
      <c r="AM164" s="14">
        <v>-0.10048022122116017</v>
      </c>
      <c r="AN164" s="14">
        <v>0.43045884576057497</v>
      </c>
      <c r="AO164" s="14">
        <v>0.45794392209360874</v>
      </c>
      <c r="AP164" s="14">
        <v>0.42392849651823944</v>
      </c>
      <c r="AQ164" s="14">
        <v>0.74694678131426973</v>
      </c>
      <c r="AR164" s="14">
        <v>-0.33453983312230007</v>
      </c>
      <c r="AS164" s="14">
        <v>-0.72520593436847347</v>
      </c>
      <c r="AT164" s="14">
        <v>0.15796006970150139</v>
      </c>
      <c r="AU164" s="14">
        <v>0.81308086220846887</v>
      </c>
      <c r="AV164" s="14">
        <v>0.38370942474481212</v>
      </c>
      <c r="AW164" s="14">
        <v>-0.67184935644143629</v>
      </c>
      <c r="AX164" s="14">
        <v>0.49381835103765931</v>
      </c>
      <c r="AY164" s="14">
        <v>-0.55187049689787171</v>
      </c>
      <c r="AZ164" s="14">
        <v>0.59073068235832338</v>
      </c>
      <c r="BA164" s="14">
        <v>0.1295426820936518</v>
      </c>
      <c r="BB164" s="14">
        <v>0.30123264772014718</v>
      </c>
      <c r="BC164" s="14">
        <v>-0.18333128521507655</v>
      </c>
      <c r="BD164" s="14">
        <v>-0.40089531564417469</v>
      </c>
      <c r="BE164" s="14">
        <v>-0.62539866171442238</v>
      </c>
      <c r="BF164" s="14">
        <v>0.10318505225944252</v>
      </c>
      <c r="BK164" s="16">
        <v>-0.16806700439410771</v>
      </c>
      <c r="BL164" s="16">
        <v>-5.7076499957653237E-2</v>
      </c>
      <c r="BN164" s="17">
        <f t="shared" si="8"/>
        <v>1</v>
      </c>
    </row>
    <row r="165" spans="1:66" x14ac:dyDescent="0.2">
      <c r="A165">
        <v>-0.54194880493724096</v>
      </c>
      <c r="B165">
        <v>0.79212710073761161</v>
      </c>
      <c r="C165">
        <v>-0.53344713208306438</v>
      </c>
      <c r="D165">
        <v>-0.57410095079050294</v>
      </c>
      <c r="E165">
        <v>-6.5012033948120107E-2</v>
      </c>
      <c r="F165">
        <v>-0.46715208317463702</v>
      </c>
      <c r="G165">
        <v>-0.5656640935092172</v>
      </c>
      <c r="H165">
        <v>-0.59422327783568574</v>
      </c>
      <c r="I165">
        <v>-0.61254042180419599</v>
      </c>
      <c r="J165">
        <v>-0.52823977583834414</v>
      </c>
      <c r="M165" s="13">
        <v>0</v>
      </c>
      <c r="O165" s="10">
        <f t="shared" si="6"/>
        <v>1</v>
      </c>
      <c r="P165" s="10">
        <f t="shared" si="7"/>
        <v>0</v>
      </c>
      <c r="R165" s="14">
        <v>-0.19795569610992969</v>
      </c>
      <c r="S165" s="14">
        <v>0.92741663435924904</v>
      </c>
      <c r="T165" s="14">
        <v>0.12952369542759257</v>
      </c>
      <c r="U165" s="14">
        <v>-0.93993009182516674</v>
      </c>
      <c r="V165" s="14">
        <v>1.0345330388172718</v>
      </c>
      <c r="W165" s="14">
        <v>0.10971379447987067</v>
      </c>
      <c r="X165" s="14">
        <v>-1.4515186665340796</v>
      </c>
      <c r="Y165" s="14">
        <v>-0.44815894879243129</v>
      </c>
      <c r="Z165" s="14">
        <v>1.0537535075258435</v>
      </c>
      <c r="AA165" s="14">
        <v>0.6705186043603506</v>
      </c>
      <c r="AB165" s="14">
        <v>0.91699052535006542</v>
      </c>
      <c r="AC165" s="14">
        <v>0.87691061892516697</v>
      </c>
      <c r="AD165" s="14">
        <v>-0.72504077987002091</v>
      </c>
      <c r="AE165" s="14">
        <v>1.6301960311614747</v>
      </c>
      <c r="AF165" s="14">
        <v>-0.30498803409401831</v>
      </c>
      <c r="AG165" s="14">
        <v>-0.76713223308755107</v>
      </c>
      <c r="AH165" s="14">
        <v>-0.95995064171679956</v>
      </c>
      <c r="AI165" s="14">
        <v>-1.512803200377375</v>
      </c>
      <c r="AJ165" s="14">
        <v>-0.289796949766223</v>
      </c>
      <c r="AK165" s="14">
        <v>-0.29387245234548731</v>
      </c>
      <c r="AM165" s="14">
        <v>-0.52043400192882039</v>
      </c>
      <c r="AN165" s="14">
        <v>-0.3741731368154898</v>
      </c>
      <c r="AO165" s="14">
        <v>-8.7047725104795678E-3</v>
      </c>
      <c r="AP165" s="14">
        <v>0.43976527788468539</v>
      </c>
      <c r="AQ165" s="14">
        <v>-0.22910762939472057</v>
      </c>
      <c r="AR165" s="14">
        <v>0.43552088901454972</v>
      </c>
      <c r="AS165" s="14">
        <v>0.29679287018438594</v>
      </c>
      <c r="AT165" s="14">
        <v>0.22624006250700152</v>
      </c>
      <c r="AU165" s="14">
        <v>-0.3585539591200117</v>
      </c>
      <c r="AV165" s="14">
        <v>-0.22650003952355033</v>
      </c>
      <c r="AW165" s="14">
        <v>-0.37605858029363803</v>
      </c>
      <c r="AX165" s="14">
        <v>-0.38139404876271471</v>
      </c>
      <c r="AY165" s="14">
        <v>9.8356869255541671E-2</v>
      </c>
      <c r="AZ165" s="14">
        <v>-0.50428659513862095</v>
      </c>
      <c r="BA165" s="14">
        <v>-0.25328118830495161</v>
      </c>
      <c r="BB165" s="14">
        <v>0.11150200691576026</v>
      </c>
      <c r="BC165" s="14">
        <v>0.24698965315200536</v>
      </c>
      <c r="BD165" s="14">
        <v>0.27994159980784328</v>
      </c>
      <c r="BE165" s="14">
        <v>0.13405419778246389</v>
      </c>
      <c r="BF165" s="14">
        <v>0.1157859175251182</v>
      </c>
      <c r="BK165" s="16">
        <v>0.46033096562258891</v>
      </c>
      <c r="BL165" s="16">
        <v>-0.20760060882796194</v>
      </c>
      <c r="BN165" s="17">
        <f t="shared" si="8"/>
        <v>0</v>
      </c>
    </row>
    <row r="166" spans="1:66" x14ac:dyDescent="0.2">
      <c r="A166">
        <v>2.5833362473813239</v>
      </c>
      <c r="B166">
        <v>0.74799070215377461</v>
      </c>
      <c r="C166">
        <v>2.4650494923468038</v>
      </c>
      <c r="D166">
        <v>2.9419651321638218</v>
      </c>
      <c r="E166">
        <v>0.17658715483041509</v>
      </c>
      <c r="F166">
        <v>0.50856295131969742</v>
      </c>
      <c r="G166">
        <v>1.1928635661417171</v>
      </c>
      <c r="H166">
        <v>2.393411068708664</v>
      </c>
      <c r="I166">
        <v>2.6642123765505961</v>
      </c>
      <c r="J166">
        <v>1.757898169656146</v>
      </c>
      <c r="M166" s="13">
        <v>1</v>
      </c>
      <c r="O166" s="10">
        <f t="shared" si="6"/>
        <v>0</v>
      </c>
      <c r="P166" s="10">
        <f t="shared" si="7"/>
        <v>1</v>
      </c>
      <c r="R166" s="14">
        <v>-0.50574697418310177</v>
      </c>
      <c r="S166" s="14">
        <v>0.7223617039747291</v>
      </c>
      <c r="T166" s="14">
        <v>2.8964344384106222E-2</v>
      </c>
      <c r="U166" s="14">
        <v>-0.19377760774649727</v>
      </c>
      <c r="V166" s="14">
        <v>1.3293138896276837</v>
      </c>
      <c r="W166" s="14">
        <v>-0.15981644171776288</v>
      </c>
      <c r="X166" s="14">
        <v>-1.4092525548690071</v>
      </c>
      <c r="Y166" s="14">
        <v>-0.24349484915315689</v>
      </c>
      <c r="Z166" s="14">
        <v>0.98512809726802109</v>
      </c>
      <c r="AA166" s="14">
        <v>1.0462207295255193</v>
      </c>
      <c r="AB166" s="14">
        <v>-0.14095761039588062</v>
      </c>
      <c r="AC166" s="14">
        <v>0.31379208712746942</v>
      </c>
      <c r="AD166" s="14">
        <v>-0.56760041156392038</v>
      </c>
      <c r="AE166" s="14">
        <v>1.5106566435930726</v>
      </c>
      <c r="AF166" s="14">
        <v>-0.1590798140333074</v>
      </c>
      <c r="AG166" s="14">
        <v>0.12678563693746148</v>
      </c>
      <c r="AH166" s="14">
        <v>-0.79974321591865571</v>
      </c>
      <c r="AI166" s="14">
        <v>-1.3604189532240403</v>
      </c>
      <c r="AJ166" s="14">
        <v>-0.50587932161459515</v>
      </c>
      <c r="AK166" s="14">
        <v>-0.25264004956353225</v>
      </c>
      <c r="AM166" s="14">
        <v>-3.2480704607603925E-2</v>
      </c>
      <c r="AN166" s="14">
        <v>-0.57468140381119548</v>
      </c>
      <c r="AO166" s="14">
        <v>-0.29222060429919916</v>
      </c>
      <c r="AP166" s="14">
        <v>-0.14954531055460513</v>
      </c>
      <c r="AQ166" s="14">
        <v>-0.54348652441039891</v>
      </c>
      <c r="AR166" s="14">
        <v>-6.5798575189344607E-2</v>
      </c>
      <c r="AS166" s="14">
        <v>0.61409973699305909</v>
      </c>
      <c r="AT166" s="14">
        <v>0.49990434016109181</v>
      </c>
      <c r="AU166" s="14">
        <v>-0.21466429807819504</v>
      </c>
      <c r="AV166" s="14">
        <v>-0.48760245185212314</v>
      </c>
      <c r="AW166" s="14">
        <v>6.5120709893898454E-2</v>
      </c>
      <c r="AX166" s="14">
        <v>-0.18844463521344848</v>
      </c>
      <c r="AY166" s="14">
        <v>0.49426370555008847</v>
      </c>
      <c r="AZ166" s="14">
        <v>-0.59655348396753183</v>
      </c>
      <c r="BA166" s="14">
        <v>4.1749930699654082E-2</v>
      </c>
      <c r="BB166" s="14">
        <v>-0.30143460578344206</v>
      </c>
      <c r="BC166" s="14">
        <v>0.35478997782847516</v>
      </c>
      <c r="BD166" s="14">
        <v>0.51848577071406576</v>
      </c>
      <c r="BE166" s="14">
        <v>0.58476864012406415</v>
      </c>
      <c r="BF166" s="14">
        <v>-0.28059978760780468</v>
      </c>
      <c r="BK166" s="16">
        <v>0.47612100393314633</v>
      </c>
      <c r="BL166" s="16">
        <v>0.13044070148901696</v>
      </c>
      <c r="BN166" s="17">
        <f t="shared" si="8"/>
        <v>0</v>
      </c>
    </row>
    <row r="167" spans="1:66" x14ac:dyDescent="0.2">
      <c r="A167">
        <v>0.21006397526384141</v>
      </c>
      <c r="B167">
        <v>0.18892965342517179</v>
      </c>
      <c r="C167">
        <v>0.1160542128626444</v>
      </c>
      <c r="D167">
        <v>7.5572495728360181E-2</v>
      </c>
      <c r="E167">
        <v>-0.95669888607074494</v>
      </c>
      <c r="F167">
        <v>-0.89153233261226172</v>
      </c>
      <c r="G167">
        <v>-0.79135884982778915</v>
      </c>
      <c r="H167">
        <v>-9.7319436414587956E-2</v>
      </c>
      <c r="I167">
        <v>-0.2067544401268539</v>
      </c>
      <c r="J167">
        <v>-0.89363847798733909</v>
      </c>
      <c r="M167" s="13">
        <v>0</v>
      </c>
      <c r="O167" s="10">
        <f t="shared" si="6"/>
        <v>1</v>
      </c>
      <c r="P167" s="10">
        <f t="shared" si="7"/>
        <v>0</v>
      </c>
      <c r="R167" s="14">
        <v>1.0945906228795503</v>
      </c>
      <c r="S167" s="14">
        <v>-0.21635894764906569</v>
      </c>
      <c r="T167" s="14">
        <v>0.44986242482569572</v>
      </c>
      <c r="U167" s="14">
        <v>-0.63116770144631507</v>
      </c>
      <c r="V167" s="14">
        <v>0.45111591427605136</v>
      </c>
      <c r="W167" s="14">
        <v>-0.36199644413273241</v>
      </c>
      <c r="X167" s="14">
        <v>-0.2039272874086635</v>
      </c>
      <c r="Y167" s="14">
        <v>0.78800452180366354</v>
      </c>
      <c r="Z167" s="14">
        <v>0.45268507083313958</v>
      </c>
      <c r="AA167" s="14">
        <v>1.1275605366869981</v>
      </c>
      <c r="AB167" s="14">
        <v>-0.47237718733031253</v>
      </c>
      <c r="AC167" s="14">
        <v>1.4943784984952051</v>
      </c>
      <c r="AD167" s="14">
        <v>0.77903760664266664</v>
      </c>
      <c r="AE167" s="14">
        <v>1.2477140053953935</v>
      </c>
      <c r="AF167" s="14">
        <v>1.2751825627016351</v>
      </c>
      <c r="AG167" s="14">
        <v>-0.23640963648638424</v>
      </c>
      <c r="AH167" s="14">
        <v>-0.58274422127877423</v>
      </c>
      <c r="AI167" s="14">
        <v>-3.5234155144377777E-2</v>
      </c>
      <c r="AJ167" s="14">
        <v>1.3211320354544087</v>
      </c>
      <c r="AK167" s="14">
        <v>-1.4783423088162042</v>
      </c>
      <c r="AM167" s="14">
        <v>0.27948659594969233</v>
      </c>
      <c r="AN167" s="14">
        <v>-0.57966059668531922</v>
      </c>
      <c r="AO167" s="14">
        <v>-0.34362265532514319</v>
      </c>
      <c r="AP167" s="14">
        <v>-0.17107488560899337</v>
      </c>
      <c r="AQ167" s="14">
        <v>-0.66436482402923547</v>
      </c>
      <c r="AR167" s="14">
        <v>-3.3601959802373821E-2</v>
      </c>
      <c r="AS167" s="14">
        <v>0.72089854467574177</v>
      </c>
      <c r="AT167" s="14">
        <v>0.39340118521247258</v>
      </c>
      <c r="AU167" s="14">
        <v>-0.47384154310904381</v>
      </c>
      <c r="AV167" s="14">
        <v>-0.43938013010357158</v>
      </c>
      <c r="AW167" s="14">
        <v>0.24548351702587082</v>
      </c>
      <c r="AX167" s="14">
        <v>-0.20117546650350382</v>
      </c>
      <c r="AY167" s="14">
        <v>0.59251534963109176</v>
      </c>
      <c r="AZ167" s="14">
        <v>-0.61341034508553316</v>
      </c>
      <c r="BA167" s="14">
        <v>0.10133904256582435</v>
      </c>
      <c r="BB167" s="14">
        <v>-0.32699304897716974</v>
      </c>
      <c r="BC167" s="14">
        <v>0.37346114406819059</v>
      </c>
      <c r="BD167" s="14">
        <v>0.55713385226720324</v>
      </c>
      <c r="BE167" s="14">
        <v>0.67401910660324882</v>
      </c>
      <c r="BF167" s="14">
        <v>-0.45256223195244866</v>
      </c>
      <c r="BK167" s="16">
        <v>0.68367391603036265</v>
      </c>
      <c r="BL167" s="16">
        <v>-0.20981056779939372</v>
      </c>
      <c r="BN167" s="17">
        <f t="shared" si="8"/>
        <v>0</v>
      </c>
    </row>
    <row r="168" spans="1:66" x14ac:dyDescent="0.2">
      <c r="A168">
        <v>-0.98229088916144847</v>
      </c>
      <c r="B168">
        <v>-2.2753526008390672</v>
      </c>
      <c r="C168">
        <v>-0.99328578396794942</v>
      </c>
      <c r="D168">
        <v>-0.88181070459141764</v>
      </c>
      <c r="E168">
        <v>-0.88533420261616214</v>
      </c>
      <c r="F168">
        <v>-0.81912857401700234</v>
      </c>
      <c r="G168">
        <v>-0.85295843790567805</v>
      </c>
      <c r="H168">
        <v>-1.004168947008091</v>
      </c>
      <c r="I168">
        <v>-0.85873968611301543</v>
      </c>
      <c r="J168">
        <v>-1.066004832976476</v>
      </c>
      <c r="M168" s="13">
        <v>0</v>
      </c>
      <c r="O168" s="10">
        <f t="shared" si="6"/>
        <v>1</v>
      </c>
      <c r="P168" s="10">
        <f t="shared" si="7"/>
        <v>0</v>
      </c>
      <c r="R168" s="14">
        <v>-0.29635247507809787</v>
      </c>
      <c r="S168" s="14">
        <v>0.75700780440933335</v>
      </c>
      <c r="T168" s="14">
        <v>0.39402502895552849</v>
      </c>
      <c r="U168" s="14">
        <v>-3.1392015453386823E-2</v>
      </c>
      <c r="V168" s="14">
        <v>1.4813236655421331</v>
      </c>
      <c r="W168" s="14">
        <v>-0.35613551009572131</v>
      </c>
      <c r="X168" s="14">
        <v>-1.4649589938990404</v>
      </c>
      <c r="Y168" s="14">
        <v>0.5836432188883518</v>
      </c>
      <c r="Z168" s="14">
        <v>1.6107913944033005</v>
      </c>
      <c r="AA168" s="14">
        <v>1.1035915953155222</v>
      </c>
      <c r="AB168" s="14">
        <v>-0.28664425613568412</v>
      </c>
      <c r="AC168" s="14">
        <v>1.0198505909791091</v>
      </c>
      <c r="AD168" s="14">
        <v>-0.77902377555821423</v>
      </c>
      <c r="AE168" s="14">
        <v>1.665897687675663</v>
      </c>
      <c r="AF168" s="14">
        <v>0.11814066918684063</v>
      </c>
      <c r="AG168" s="14">
        <v>0.18941105650339118</v>
      </c>
      <c r="AH168" s="14">
        <v>-0.77490686794196795</v>
      </c>
      <c r="AI168" s="14">
        <v>-1.430653381859035</v>
      </c>
      <c r="AJ168" s="14">
        <v>-0.5422079016625958</v>
      </c>
      <c r="AK168" s="14">
        <v>-0.46112770873050224</v>
      </c>
      <c r="AM168" s="14">
        <v>0.2087352468579238</v>
      </c>
      <c r="AN168" s="14">
        <v>0.75171879082600801</v>
      </c>
      <c r="AO168" s="14">
        <v>0.28082903185406038</v>
      </c>
      <c r="AP168" s="14">
        <v>-0.29630980228083625</v>
      </c>
      <c r="AQ168" s="14">
        <v>0.44675940401066483</v>
      </c>
      <c r="AR168" s="14">
        <v>-0.15886675356336888</v>
      </c>
      <c r="AS168" s="14">
        <v>-0.85217457123018359</v>
      </c>
      <c r="AT168" s="14">
        <v>-0.62666417822912357</v>
      </c>
      <c r="AU168" s="14">
        <v>0.63835418993141457</v>
      </c>
      <c r="AV168" s="14">
        <v>0.31441467178940913</v>
      </c>
      <c r="AW168" s="14">
        <v>0.49666545044416821</v>
      </c>
      <c r="AX168" s="14">
        <v>0.46255297021979203</v>
      </c>
      <c r="AY168" s="14">
        <v>-0.70217869887441553</v>
      </c>
      <c r="AZ168" s="14">
        <v>0.79590007599502099</v>
      </c>
      <c r="BA168" s="14">
        <v>-8.6056872558620753E-2</v>
      </c>
      <c r="BB168" s="14">
        <v>-0.48707421919630528</v>
      </c>
      <c r="BC168" s="14">
        <v>-0.49912089758748973</v>
      </c>
      <c r="BD168" s="14">
        <v>-0.69758225328581414</v>
      </c>
      <c r="BE168" s="14">
        <v>-0.60640034426837475</v>
      </c>
      <c r="BF168" s="14">
        <v>0.14594280559320572</v>
      </c>
      <c r="BK168" s="16">
        <v>0.62040899367122793</v>
      </c>
      <c r="BL168" s="16">
        <v>-0.1883759972107725</v>
      </c>
      <c r="BN168" s="17">
        <f t="shared" si="8"/>
        <v>0</v>
      </c>
    </row>
    <row r="169" spans="1:66" x14ac:dyDescent="0.2">
      <c r="A169">
        <v>0.72760889243644933</v>
      </c>
      <c r="B169">
        <v>-4.6464472355292941E-2</v>
      </c>
      <c r="C169">
        <v>0.68877744354959503</v>
      </c>
      <c r="D169">
        <v>0.64004286729392945</v>
      </c>
      <c r="E169">
        <v>-0.24491050682321419</v>
      </c>
      <c r="F169">
        <v>-8.8768057091192315E-2</v>
      </c>
      <c r="G169">
        <v>0.39385812078287707</v>
      </c>
      <c r="H169">
        <v>0.74534666132869021</v>
      </c>
      <c r="I169">
        <v>0.63971051248598654</v>
      </c>
      <c r="J169">
        <v>0.452047070172853</v>
      </c>
      <c r="M169" s="13">
        <v>1</v>
      </c>
      <c r="O169" s="10">
        <f t="shared" si="6"/>
        <v>0</v>
      </c>
      <c r="P169" s="10">
        <f t="shared" si="7"/>
        <v>1</v>
      </c>
      <c r="R169" s="14">
        <v>-1.2765099185730355</v>
      </c>
      <c r="S169" s="14">
        <v>-0.90693579144649417</v>
      </c>
      <c r="T169" s="14">
        <v>-0.73621518659754648</v>
      </c>
      <c r="U169" s="14">
        <v>8.2316366076298886E-2</v>
      </c>
      <c r="V169" s="14">
        <v>-0.1390563340039932</v>
      </c>
      <c r="W169" s="14">
        <v>0.35487793836149367</v>
      </c>
      <c r="X169" s="14">
        <v>0.49719191345822639</v>
      </c>
      <c r="Y169" s="14">
        <v>0.34135129606790104</v>
      </c>
      <c r="Z169" s="14">
        <v>0.26035383399574652</v>
      </c>
      <c r="AA169" s="14">
        <v>-0.46599622013098652</v>
      </c>
      <c r="AB169" s="14">
        <v>-8.7128830756026954E-3</v>
      </c>
      <c r="AC169" s="14">
        <v>-0.80250174392771489</v>
      </c>
      <c r="AD169" s="14">
        <v>0.67721575515275689</v>
      </c>
      <c r="AE169" s="14">
        <v>-0.30666983059668829</v>
      </c>
      <c r="AF169" s="14">
        <v>-1.3773578892718203</v>
      </c>
      <c r="AG169" s="14">
        <v>-0.7012132043863043</v>
      </c>
      <c r="AH169" s="14">
        <v>-2.0799909989899334E-2</v>
      </c>
      <c r="AI169" s="14">
        <v>0.25482992648161407</v>
      </c>
      <c r="AJ169" s="14">
        <v>1.1032411575706547</v>
      </c>
      <c r="AK169" s="14">
        <v>-0.42590623793892235</v>
      </c>
      <c r="AM169" s="14">
        <v>0.58616688473262601</v>
      </c>
      <c r="AN169" s="14">
        <v>-0.43987308246205226</v>
      </c>
      <c r="AO169" s="14">
        <v>-0.57007312705001578</v>
      </c>
      <c r="AP169" s="14">
        <v>-0.59135243531629711</v>
      </c>
      <c r="AQ169" s="14">
        <v>-0.65230499238458972</v>
      </c>
      <c r="AR169" s="14">
        <v>-7.3258502804775472E-2</v>
      </c>
      <c r="AS169" s="14">
        <v>0.73426161084929598</v>
      </c>
      <c r="AT169" s="14">
        <v>0.10728773832096808</v>
      </c>
      <c r="AU169" s="14">
        <v>-0.48256915439936804</v>
      </c>
      <c r="AV169" s="14">
        <v>-0.3184785698719107</v>
      </c>
      <c r="AW169" s="14">
        <v>0.68508680308613101</v>
      </c>
      <c r="AX169" s="14">
        <v>-9.5177998666585772E-2</v>
      </c>
      <c r="AY169" s="14">
        <v>0.67483698857508545</v>
      </c>
      <c r="AZ169" s="14">
        <v>-0.45515268611486825</v>
      </c>
      <c r="BA169" s="14">
        <v>0.12698876436657835</v>
      </c>
      <c r="BB169" s="14">
        <v>-0.38324573572516096</v>
      </c>
      <c r="BC169" s="14">
        <v>0.16452025272776771</v>
      </c>
      <c r="BD169" s="14">
        <v>0.5326710166514822</v>
      </c>
      <c r="BE169" s="14">
        <v>0.73907220904919968</v>
      </c>
      <c r="BF169" s="14">
        <v>-0.36842808614856948</v>
      </c>
      <c r="BK169" s="16">
        <v>5.8998932263333498E-2</v>
      </c>
      <c r="BL169" s="16">
        <v>-0.90702493107454241</v>
      </c>
      <c r="BN169" s="17">
        <f t="shared" si="8"/>
        <v>0</v>
      </c>
    </row>
    <row r="170" spans="1:66" x14ac:dyDescent="0.2">
      <c r="A170">
        <v>0.92490502108235995</v>
      </c>
      <c r="B170">
        <v>1.395324548050052</v>
      </c>
      <c r="C170">
        <v>0.97098889055475901</v>
      </c>
      <c r="D170">
        <v>0.9229976736421982</v>
      </c>
      <c r="E170">
        <v>1.0277596814501779</v>
      </c>
      <c r="F170">
        <v>1.543787924385478</v>
      </c>
      <c r="G170">
        <v>1.378940330128037</v>
      </c>
      <c r="H170">
        <v>1.385110357158353</v>
      </c>
      <c r="I170">
        <v>1.3481976040221579</v>
      </c>
      <c r="J170">
        <v>0.82193837931548308</v>
      </c>
      <c r="M170" s="13">
        <v>1</v>
      </c>
      <c r="O170" s="10">
        <f t="shared" si="6"/>
        <v>0</v>
      </c>
      <c r="P170" s="10">
        <f t="shared" si="7"/>
        <v>1</v>
      </c>
      <c r="R170" s="14">
        <v>-0.14518307461498567</v>
      </c>
      <c r="S170" s="14">
        <v>-1.109842780508139</v>
      </c>
      <c r="T170" s="14">
        <v>-0.64767239977585223</v>
      </c>
      <c r="U170" s="14">
        <v>-0.81694715629386194</v>
      </c>
      <c r="V170" s="14">
        <v>-0.57379307689126069</v>
      </c>
      <c r="W170" s="14">
        <v>8.5390427798594515E-2</v>
      </c>
      <c r="X170" s="14">
        <v>1.0624847460418432</v>
      </c>
      <c r="Y170" s="14">
        <v>1.0986311275160712</v>
      </c>
      <c r="Z170" s="14">
        <v>-0.16232667269849305</v>
      </c>
      <c r="AA170" s="14">
        <v>-0.2530256805553901</v>
      </c>
      <c r="AB170" s="14">
        <v>0.48190978920860406</v>
      </c>
      <c r="AC170" s="14">
        <v>-0.10461876953123361</v>
      </c>
      <c r="AD170" s="14">
        <v>1.0866884907146537</v>
      </c>
      <c r="AE170" s="14">
        <v>-0.65369996201497393</v>
      </c>
      <c r="AF170" s="14">
        <v>3.9901461360458024E-2</v>
      </c>
      <c r="AG170" s="14">
        <v>-0.4878734954342987</v>
      </c>
      <c r="AH170" s="14">
        <v>-0.11045696932236804</v>
      </c>
      <c r="AI170" s="14">
        <v>0.30890387208785663</v>
      </c>
      <c r="AJ170" s="14">
        <v>1.5548848014452563</v>
      </c>
      <c r="AK170" s="14">
        <v>-1.0300894454116423</v>
      </c>
      <c r="AM170" s="14">
        <v>9.4717581825730618E-2</v>
      </c>
      <c r="AN170" s="14">
        <v>-0.89529056545346686</v>
      </c>
      <c r="AO170" s="14">
        <v>-0.6550725105194426</v>
      </c>
      <c r="AP170" s="14">
        <v>-0.64686740912186769</v>
      </c>
      <c r="AQ170" s="14">
        <v>-0.85405245194776402</v>
      </c>
      <c r="AR170" s="14">
        <v>-0.40499431125987867</v>
      </c>
      <c r="AS170" s="14">
        <v>0.94532936572849169</v>
      </c>
      <c r="AT170" s="14">
        <v>0.87884022476436952</v>
      </c>
      <c r="AU170" s="14">
        <v>-0.37780371059718465</v>
      </c>
      <c r="AV170" s="14">
        <v>-0.82363769186683955</v>
      </c>
      <c r="AW170" s="14">
        <v>0.173912330156373</v>
      </c>
      <c r="AX170" s="14">
        <v>-0.32721712803223396</v>
      </c>
      <c r="AY170" s="14">
        <v>0.88550962963960933</v>
      </c>
      <c r="AZ170" s="14">
        <v>-0.90131282859367323</v>
      </c>
      <c r="BA170" s="14">
        <v>0.25189880881977061</v>
      </c>
      <c r="BB170" s="14">
        <v>-0.48169784071924815</v>
      </c>
      <c r="BC170" s="14">
        <v>0.63481871176190774</v>
      </c>
      <c r="BD170" s="14">
        <v>0.85997737655953299</v>
      </c>
      <c r="BE170" s="14">
        <v>0.92315293879979465</v>
      </c>
      <c r="BF170" s="14">
        <v>-0.51725210720163128</v>
      </c>
      <c r="BK170" s="16">
        <v>-0.34468869846304273</v>
      </c>
      <c r="BL170" s="16">
        <v>-0.55824733656413328</v>
      </c>
      <c r="BN170" s="17">
        <f t="shared" si="8"/>
        <v>0</v>
      </c>
    </row>
    <row r="171" spans="1:66" x14ac:dyDescent="0.2">
      <c r="A171">
        <v>0.21006397526384141</v>
      </c>
      <c r="B171">
        <v>-0.50008856891139686</v>
      </c>
      <c r="C171">
        <v>0.14593542489848529</v>
      </c>
      <c r="D171">
        <v>6.3195022002036944E-2</v>
      </c>
      <c r="E171">
        <v>-0.48595215901226041</v>
      </c>
      <c r="F171">
        <v>-0.81032606226997594</v>
      </c>
      <c r="G171">
        <v>-0.32054374095031501</v>
      </c>
      <c r="H171">
        <v>-7.0403811670945365E-2</v>
      </c>
      <c r="I171">
        <v>-0.1862083144723049</v>
      </c>
      <c r="J171">
        <v>-0.48466148800008302</v>
      </c>
      <c r="M171" s="13">
        <v>0</v>
      </c>
      <c r="O171" s="10">
        <f t="shared" si="6"/>
        <v>1</v>
      </c>
      <c r="P171" s="10">
        <f t="shared" si="7"/>
        <v>0</v>
      </c>
      <c r="R171" s="14">
        <v>0.2942761033580843</v>
      </c>
      <c r="S171" s="14">
        <v>-1.0946627151606234</v>
      </c>
      <c r="T171" s="14">
        <v>-0.6896203619373964</v>
      </c>
      <c r="U171" s="14">
        <v>-0.77653562205768989</v>
      </c>
      <c r="V171" s="14">
        <v>-0.61369864457698164</v>
      </c>
      <c r="W171" s="14">
        <v>1.6010987717824943E-3</v>
      </c>
      <c r="X171" s="14">
        <v>1.0635858916231853</v>
      </c>
      <c r="Y171" s="14">
        <v>0.84344767562536749</v>
      </c>
      <c r="Z171" s="14">
        <v>-0.4584393669575354</v>
      </c>
      <c r="AA171" s="14">
        <v>-0.22391007307804578</v>
      </c>
      <c r="AB171" s="14">
        <v>0.67576961421703097</v>
      </c>
      <c r="AC171" s="14">
        <v>-9.0641811606047451E-2</v>
      </c>
      <c r="AD171" s="14">
        <v>1.1063231685296606</v>
      </c>
      <c r="AE171" s="14">
        <v>-0.64337128013588152</v>
      </c>
      <c r="AF171" s="14">
        <v>3.9447970188571269E-2</v>
      </c>
      <c r="AG171" s="14">
        <v>-0.53511440096140128</v>
      </c>
      <c r="AH171" s="14">
        <v>-7.1358745744169894E-2</v>
      </c>
      <c r="AI171" s="14">
        <v>0.31029433977390442</v>
      </c>
      <c r="AJ171" s="14">
        <v>1.5602191385390505</v>
      </c>
      <c r="AK171" s="14">
        <v>-1.2377099054175458</v>
      </c>
      <c r="AM171" s="14">
        <v>0.21179739858019805</v>
      </c>
      <c r="AN171" s="14">
        <v>0.25543477388515801</v>
      </c>
      <c r="AO171" s="14">
        <v>0.18086533677858374</v>
      </c>
      <c r="AP171" s="14">
        <v>1.6304845085630289E-2</v>
      </c>
      <c r="AQ171" s="14">
        <v>0.49877212745420901</v>
      </c>
      <c r="AR171" s="14">
        <v>-0.51273877940536261</v>
      </c>
      <c r="AS171" s="14">
        <v>-0.5003598538933296</v>
      </c>
      <c r="AT171" s="14">
        <v>0.14249366180123935</v>
      </c>
      <c r="AU171" s="14">
        <v>0.69865357252383598</v>
      </c>
      <c r="AV171" s="14">
        <v>0.20853119656787469</v>
      </c>
      <c r="AW171" s="14">
        <v>-0.18166465304988585</v>
      </c>
      <c r="AX171" s="14">
        <v>0.44023674728094037</v>
      </c>
      <c r="AY171" s="14">
        <v>-0.24828087438432028</v>
      </c>
      <c r="AZ171" s="14">
        <v>0.47763818146217529</v>
      </c>
      <c r="BA171" s="14">
        <v>0.28932221498909522</v>
      </c>
      <c r="BB171" s="14">
        <v>3.1041904056667963E-3</v>
      </c>
      <c r="BC171" s="14">
        <v>-0.13131040398243743</v>
      </c>
      <c r="BD171" s="14">
        <v>-0.21397927617195719</v>
      </c>
      <c r="BE171" s="14">
        <v>-0.33151401942391362</v>
      </c>
      <c r="BF171" s="14">
        <v>-0.10257500094277444</v>
      </c>
      <c r="BK171" s="16">
        <v>0.68950007331391172</v>
      </c>
      <c r="BL171" s="16">
        <v>-0.32837066817856575</v>
      </c>
      <c r="BN171" s="17">
        <f t="shared" si="8"/>
        <v>0</v>
      </c>
    </row>
    <row r="172" spans="1:66" x14ac:dyDescent="0.2">
      <c r="A172">
        <v>-0.54766753330378903</v>
      </c>
      <c r="B172">
        <v>-1.6182106663686029</v>
      </c>
      <c r="C172">
        <v>-0.57494881546617682</v>
      </c>
      <c r="D172">
        <v>-0.57525234369527711</v>
      </c>
      <c r="E172">
        <v>-0.65395651797825738</v>
      </c>
      <c r="F172">
        <v>-0.63861509368361591</v>
      </c>
      <c r="G172">
        <v>-0.34124733694329851</v>
      </c>
      <c r="H172">
        <v>-0.61078673921638893</v>
      </c>
      <c r="I172">
        <v>-0.61944817094667359</v>
      </c>
      <c r="J172">
        <v>-0.3489847567923004</v>
      </c>
      <c r="M172" s="13">
        <v>0</v>
      </c>
      <c r="O172" s="10">
        <f t="shared" si="6"/>
        <v>1</v>
      </c>
      <c r="P172" s="10">
        <f t="shared" si="7"/>
        <v>0</v>
      </c>
      <c r="R172" s="14">
        <v>0.24169151306399395</v>
      </c>
      <c r="S172" s="14">
        <v>0.96596684902690821</v>
      </c>
      <c r="T172" s="14">
        <v>8.5305151650003741E-2</v>
      </c>
      <c r="U172" s="14">
        <v>-1.136297100835149</v>
      </c>
      <c r="V172" s="14">
        <v>0.49028552253805552</v>
      </c>
      <c r="W172" s="14">
        <v>7.7562984141961278E-2</v>
      </c>
      <c r="X172" s="14">
        <v>-1.4351261447974863</v>
      </c>
      <c r="Y172" s="14">
        <v>-0.76388717000056361</v>
      </c>
      <c r="Z172" s="14">
        <v>0.7831436123839125</v>
      </c>
      <c r="AA172" s="14">
        <v>0.57673495279720954</v>
      </c>
      <c r="AB172" s="14">
        <v>1.5914836994179276</v>
      </c>
      <c r="AC172" s="14">
        <v>0.88514378545221872</v>
      </c>
      <c r="AD172" s="14">
        <v>-0.65355113747293236</v>
      </c>
      <c r="AE172" s="14">
        <v>1.6476686499813931</v>
      </c>
      <c r="AF172" s="14">
        <v>-0.42310986506423409</v>
      </c>
      <c r="AG172" s="14">
        <v>-1.3377832902431828</v>
      </c>
      <c r="AH172" s="14">
        <v>-1.0690302301439898</v>
      </c>
      <c r="AI172" s="14">
        <v>-1.5253557043985588</v>
      </c>
      <c r="AJ172" s="14">
        <v>0.15435123046032329</v>
      </c>
      <c r="AK172" s="14">
        <v>-0.46483108038741305</v>
      </c>
      <c r="AM172" s="14">
        <v>-9.1579461607151132E-3</v>
      </c>
      <c r="AN172" s="14">
        <v>-0.60988092256453497</v>
      </c>
      <c r="AO172" s="14">
        <v>-0.46775437934249275</v>
      </c>
      <c r="AP172" s="14">
        <v>-0.11786428813658018</v>
      </c>
      <c r="AQ172" s="14">
        <v>-0.56161340829870421</v>
      </c>
      <c r="AR172" s="14">
        <v>-3.4965338663334962E-2</v>
      </c>
      <c r="AS172" s="14">
        <v>0.74715758144628996</v>
      </c>
      <c r="AT172" s="14">
        <v>0.40122158762781002</v>
      </c>
      <c r="AU172" s="14">
        <v>-0.52088950272840007</v>
      </c>
      <c r="AV172" s="14">
        <v>-0.35773978592552874</v>
      </c>
      <c r="AW172" s="14">
        <v>0.19224460754780462</v>
      </c>
      <c r="AX172" s="14">
        <v>-0.4258996049188945</v>
      </c>
      <c r="AY172" s="14">
        <v>0.63933280137295012</v>
      </c>
      <c r="AZ172" s="14">
        <v>-0.64907799551796164</v>
      </c>
      <c r="BA172" s="14">
        <v>0.14076196249988579</v>
      </c>
      <c r="BB172" s="14">
        <v>4.887480272135681E-2</v>
      </c>
      <c r="BC172" s="14">
        <v>0.3224627812597059</v>
      </c>
      <c r="BD172" s="14">
        <v>0.57236389394001952</v>
      </c>
      <c r="BE172" s="14">
        <v>0.60401550465822063</v>
      </c>
      <c r="BF172" s="14">
        <v>-0.13495720492040597</v>
      </c>
      <c r="BK172" s="16">
        <v>0.62343542768794746</v>
      </c>
      <c r="BL172" s="16">
        <v>-0.10908001018314553</v>
      </c>
      <c r="BN172" s="17">
        <f t="shared" si="8"/>
        <v>0</v>
      </c>
    </row>
    <row r="173" spans="1:66" x14ac:dyDescent="0.2">
      <c r="A173">
        <v>-0.23027810896036671</v>
      </c>
      <c r="B173">
        <v>0.1570533655590666</v>
      </c>
      <c r="C173">
        <v>-0.28485204861822089</v>
      </c>
      <c r="D173">
        <v>-0.28366209056120179</v>
      </c>
      <c r="E173">
        <v>-0.78274747015019941</v>
      </c>
      <c r="F173">
        <v>-0.40665031229366683</v>
      </c>
      <c r="G173">
        <v>-0.4082145239823311</v>
      </c>
      <c r="H173">
        <v>0.31676709810299342</v>
      </c>
      <c r="I173">
        <v>0.16785810952289659</v>
      </c>
      <c r="J173">
        <v>-1.81791284942962E-2</v>
      </c>
      <c r="M173" s="13">
        <v>1</v>
      </c>
      <c r="O173" s="10">
        <f t="shared" si="6"/>
        <v>0</v>
      </c>
      <c r="P173" s="10">
        <f t="shared" si="7"/>
        <v>1</v>
      </c>
      <c r="R173" s="14">
        <v>0.81671346189297889</v>
      </c>
      <c r="S173" s="14">
        <v>-0.77929333694750758</v>
      </c>
      <c r="T173" s="14">
        <v>-0.80906817839918799</v>
      </c>
      <c r="U173" s="14">
        <v>-1.2879582883419172</v>
      </c>
      <c r="V173" s="14">
        <v>-0.57777623527982236</v>
      </c>
      <c r="W173" s="14">
        <v>-0.12898043808526699</v>
      </c>
      <c r="X173" s="14">
        <v>1.0616765869785747</v>
      </c>
      <c r="Y173" s="14">
        <v>0.15339954953111096</v>
      </c>
      <c r="Z173" s="14">
        <v>-0.33352544810435181</v>
      </c>
      <c r="AA173" s="14">
        <v>-0.10336354353910071</v>
      </c>
      <c r="AB173" s="14">
        <v>0.78434188699191487</v>
      </c>
      <c r="AC173" s="14">
        <v>4.9346416293797102E-2</v>
      </c>
      <c r="AD173" s="14">
        <v>1.1107083247209653</v>
      </c>
      <c r="AE173" s="14">
        <v>-0.34652223773715302</v>
      </c>
      <c r="AF173" s="14">
        <v>6.4900298019566649E-2</v>
      </c>
      <c r="AG173" s="14">
        <v>-0.55608610095161393</v>
      </c>
      <c r="AH173" s="14">
        <v>-0.35662500703196481</v>
      </c>
      <c r="AI173" s="14">
        <v>0.25351125228090121</v>
      </c>
      <c r="AJ173" s="14">
        <v>1.5620859841449706</v>
      </c>
      <c r="AK173" s="14">
        <v>-1.150620324475403</v>
      </c>
      <c r="AM173" s="14">
        <v>0.35734422565940527</v>
      </c>
      <c r="AN173" s="14">
        <v>-0.39483044844842152</v>
      </c>
      <c r="AO173" s="14">
        <v>-0.1615472962957793</v>
      </c>
      <c r="AP173" s="14">
        <v>-1.8684058287157673E-2</v>
      </c>
      <c r="AQ173" s="14">
        <v>-0.36706933817593962</v>
      </c>
      <c r="AR173" s="14">
        <v>-0.29969880809754862</v>
      </c>
      <c r="AS173" s="14">
        <v>0.48563069703556555</v>
      </c>
      <c r="AT173" s="14">
        <v>0.28072949190424706</v>
      </c>
      <c r="AU173" s="14">
        <v>-0.24001901233449113</v>
      </c>
      <c r="AV173" s="14">
        <v>-0.1669279351344129</v>
      </c>
      <c r="AW173" s="14">
        <v>9.8390865805088296E-2</v>
      </c>
      <c r="AX173" s="14">
        <v>-5.0891648075885497E-2</v>
      </c>
      <c r="AY173" s="14">
        <v>0.43315445793682211</v>
      </c>
      <c r="AZ173" s="14">
        <v>-0.32278300958707223</v>
      </c>
      <c r="BA173" s="14">
        <v>0.28369984857655561</v>
      </c>
      <c r="BB173" s="14">
        <v>-0.10058680606266704</v>
      </c>
      <c r="BC173" s="14">
        <v>0.24605673087921176</v>
      </c>
      <c r="BD173" s="14">
        <v>0.36953587588693804</v>
      </c>
      <c r="BE173" s="14">
        <v>0.39327042122055189</v>
      </c>
      <c r="BF173" s="14">
        <v>-0.43423501114647722</v>
      </c>
      <c r="BK173" s="16">
        <v>0.76047309936370899</v>
      </c>
      <c r="BL173" s="16">
        <v>-0.12014127630163428</v>
      </c>
      <c r="BN173" s="17">
        <f t="shared" si="8"/>
        <v>0</v>
      </c>
    </row>
    <row r="174" spans="1:66" x14ac:dyDescent="0.2">
      <c r="A174">
        <v>0.35017282024427121</v>
      </c>
      <c r="B174">
        <v>-1.740811773545929</v>
      </c>
      <c r="C174">
        <v>0.40656599654443099</v>
      </c>
      <c r="D174">
        <v>0.20999761736075209</v>
      </c>
      <c r="E174">
        <v>0.93855382713194924</v>
      </c>
      <c r="F174">
        <v>1.386334545248527</v>
      </c>
      <c r="G174">
        <v>1.516964303414593</v>
      </c>
      <c r="H174">
        <v>0.48447214458261362</v>
      </c>
      <c r="I174">
        <v>0.35985811132919898</v>
      </c>
      <c r="J174">
        <v>0.98067715975725955</v>
      </c>
      <c r="M174" s="13">
        <v>1</v>
      </c>
      <c r="O174" s="10">
        <f t="shared" si="6"/>
        <v>0</v>
      </c>
      <c r="P174" s="10">
        <f t="shared" si="7"/>
        <v>1</v>
      </c>
      <c r="R174" s="14">
        <v>-0.29149455859635054</v>
      </c>
      <c r="S174" s="14">
        <v>-1.1332309128026883</v>
      </c>
      <c r="T174" s="14">
        <v>-0.83858760737615745</v>
      </c>
      <c r="U174" s="14">
        <v>-1.4083299916536731</v>
      </c>
      <c r="V174" s="14">
        <v>-0.6605404696063264</v>
      </c>
      <c r="W174" s="14">
        <v>-0.45295696242624922</v>
      </c>
      <c r="X174" s="14">
        <v>1.0655238764459607</v>
      </c>
      <c r="Y174" s="14">
        <v>1.3302049489711374</v>
      </c>
      <c r="Z174" s="14">
        <v>0.34729334906146592</v>
      </c>
      <c r="AA174" s="14">
        <v>-0.30055960583358299</v>
      </c>
      <c r="AB174" s="14">
        <v>0.76170236115084622</v>
      </c>
      <c r="AC174" s="14">
        <v>-0.27421435238963698</v>
      </c>
      <c r="AD174" s="14">
        <v>1.1396715571253977</v>
      </c>
      <c r="AE174" s="14">
        <v>-0.66195134664241584</v>
      </c>
      <c r="AF174" s="14">
        <v>-0.22350235950612807</v>
      </c>
      <c r="AG174" s="14">
        <v>-0.63453424952217008</v>
      </c>
      <c r="AH174" s="14">
        <v>0.16752231360088721</v>
      </c>
      <c r="AI174" s="14">
        <v>0.34171464484128034</v>
      </c>
      <c r="AJ174" s="14">
        <v>1.5682502021115714</v>
      </c>
      <c r="AK174" s="14">
        <v>-1.2962205005745493</v>
      </c>
      <c r="AM174" s="14">
        <v>-8.6177875496596834E-2</v>
      </c>
      <c r="AN174" s="14">
        <v>-0.78825941028827051</v>
      </c>
      <c r="AO174" s="14">
        <v>-0.46001884765062173</v>
      </c>
      <c r="AP174" s="14">
        <v>-0.3770465768665292</v>
      </c>
      <c r="AQ174" s="14">
        <v>-0.72750660187076499</v>
      </c>
      <c r="AR174" s="14">
        <v>-0.19383361673617089</v>
      </c>
      <c r="AS174" s="14">
        <v>0.85501111040814004</v>
      </c>
      <c r="AT174" s="14">
        <v>0.75082502799685436</v>
      </c>
      <c r="AU174" s="14">
        <v>-0.37966381959318557</v>
      </c>
      <c r="AV174" s="14">
        <v>-0.68773171912634445</v>
      </c>
      <c r="AW174" s="14">
        <v>1.2399073478551865E-2</v>
      </c>
      <c r="AX174" s="14">
        <v>-0.32578108325437649</v>
      </c>
      <c r="AY174" s="14">
        <v>0.74254610054757231</v>
      </c>
      <c r="AZ174" s="14">
        <v>-0.80970581795184116</v>
      </c>
      <c r="BA174" s="14">
        <v>0.1275642894422595</v>
      </c>
      <c r="BB174" s="14">
        <v>-0.31690651205431841</v>
      </c>
      <c r="BC174" s="14">
        <v>0.51481127613192657</v>
      </c>
      <c r="BD174" s="14">
        <v>0.72573506026444179</v>
      </c>
      <c r="BE174" s="14">
        <v>0.79963411435529197</v>
      </c>
      <c r="BF174" s="14">
        <v>-0.36030291940906528</v>
      </c>
      <c r="BK174" s="16">
        <v>-0.83435122982135135</v>
      </c>
      <c r="BL174" s="16">
        <v>0.32055413773209152</v>
      </c>
      <c r="BN174" s="17">
        <f t="shared" si="8"/>
        <v>1</v>
      </c>
    </row>
    <row r="175" spans="1:66" x14ac:dyDescent="0.2">
      <c r="A175">
        <v>-0.90222869202977451</v>
      </c>
      <c r="B175">
        <v>-1.0493415290658139</v>
      </c>
      <c r="C175">
        <v>-0.93352335989626767</v>
      </c>
      <c r="D175">
        <v>-0.83834562243619026</v>
      </c>
      <c r="E175">
        <v>-0.88403328390735469</v>
      </c>
      <c r="F175">
        <v>-0.83995705251700847</v>
      </c>
      <c r="G175">
        <v>-0.62675248168604469</v>
      </c>
      <c r="H175">
        <v>-1.0559297638227889</v>
      </c>
      <c r="I175">
        <v>-0.88973599636772294</v>
      </c>
      <c r="J175">
        <v>-1.110481642213464</v>
      </c>
      <c r="M175" s="13">
        <v>0</v>
      </c>
      <c r="O175" s="10">
        <f t="shared" si="6"/>
        <v>1</v>
      </c>
      <c r="P175" s="10">
        <f t="shared" si="7"/>
        <v>0</v>
      </c>
      <c r="R175" s="14">
        <v>7.4093961698082356E-2</v>
      </c>
      <c r="S175" s="14">
        <v>0.38069236833792619</v>
      </c>
      <c r="T175" s="14">
        <v>-6.9047984768442983E-2</v>
      </c>
      <c r="U175" s="14">
        <v>-0.54417829852973543</v>
      </c>
      <c r="V175" s="14">
        <v>1.2291945205338366</v>
      </c>
      <c r="W175" s="14">
        <v>-0.81715032338847693</v>
      </c>
      <c r="X175" s="14">
        <v>-1.3706059060167428</v>
      </c>
      <c r="Y175" s="14">
        <v>0.41289566049014276</v>
      </c>
      <c r="Z175" s="14">
        <v>1.5119847985289798</v>
      </c>
      <c r="AA175" s="14">
        <v>0.69256615701029522</v>
      </c>
      <c r="AB175" s="14">
        <v>-2.3183974671155738E-2</v>
      </c>
      <c r="AC175" s="14">
        <v>0.85487805709510312</v>
      </c>
      <c r="AD175" s="14">
        <v>-0.29318607600118529</v>
      </c>
      <c r="AE175" s="14">
        <v>1.5915261447028126</v>
      </c>
      <c r="AF175" s="14">
        <v>3.6831402353605047E-2</v>
      </c>
      <c r="AG175" s="14">
        <v>-0.29854590302744594</v>
      </c>
      <c r="AH175" s="14">
        <v>-0.66716152263291006</v>
      </c>
      <c r="AI175" s="14">
        <v>-1.0558925174797382</v>
      </c>
      <c r="AJ175" s="14">
        <v>-0.2197916943771801</v>
      </c>
      <c r="AK175" s="14">
        <v>-0.74427316128088516</v>
      </c>
      <c r="AM175" s="14">
        <v>0.36342822431170535</v>
      </c>
      <c r="AN175" s="14">
        <v>-0.55562365112316037</v>
      </c>
      <c r="AO175" s="14">
        <v>-0.55142736498754963</v>
      </c>
      <c r="AP175" s="14">
        <v>-0.52275286287480316</v>
      </c>
      <c r="AQ175" s="14">
        <v>-0.47315400310779893</v>
      </c>
      <c r="AR175" s="14">
        <v>-0.33679973735422442</v>
      </c>
      <c r="AS175" s="14">
        <v>0.73403301769796847</v>
      </c>
      <c r="AT175" s="14">
        <v>0.32189821055978857</v>
      </c>
      <c r="AU175" s="14">
        <v>-0.35295155537245249</v>
      </c>
      <c r="AV175" s="14">
        <v>-0.28725980466623807</v>
      </c>
      <c r="AW175" s="14">
        <v>0.47539544578438514</v>
      </c>
      <c r="AX175" s="14">
        <v>-0.21574675821354794</v>
      </c>
      <c r="AY175" s="14">
        <v>0.70379721121928684</v>
      </c>
      <c r="AZ175" s="14">
        <v>-0.50367848099029044</v>
      </c>
      <c r="BA175" s="14">
        <v>0.28248784285775141</v>
      </c>
      <c r="BB175" s="14">
        <v>-3.4864463887539117E-2</v>
      </c>
      <c r="BC175" s="14">
        <v>0.18763814129604528</v>
      </c>
      <c r="BD175" s="14">
        <v>0.57120771518592106</v>
      </c>
      <c r="BE175" s="14">
        <v>0.64035706656947955</v>
      </c>
      <c r="BF175" s="14">
        <v>-0.19724258909757122</v>
      </c>
      <c r="BK175" s="16">
        <v>0.49719313992810066</v>
      </c>
      <c r="BL175" s="16">
        <v>0.14049445717850478</v>
      </c>
      <c r="BN175" s="17">
        <f t="shared" si="8"/>
        <v>0</v>
      </c>
    </row>
    <row r="176" spans="1:66" x14ac:dyDescent="0.2">
      <c r="A176">
        <v>-1.022321987727286</v>
      </c>
      <c r="B176">
        <v>-0.94145255474976763</v>
      </c>
      <c r="C176">
        <v>-1.0464079386983329</v>
      </c>
      <c r="D176">
        <v>-0.90483856268690233</v>
      </c>
      <c r="E176">
        <v>-1.151836692391869</v>
      </c>
      <c r="F176">
        <v>-1.1329195209426901</v>
      </c>
      <c r="G176">
        <v>-1.2869671539067371</v>
      </c>
      <c r="H176">
        <v>-1.016591543043619</v>
      </c>
      <c r="I176">
        <v>-0.86883562716740581</v>
      </c>
      <c r="J176">
        <v>-1.755320499366567</v>
      </c>
      <c r="M176" s="13">
        <v>0</v>
      </c>
      <c r="O176" s="10">
        <f t="shared" si="6"/>
        <v>1</v>
      </c>
      <c r="P176" s="10">
        <f t="shared" si="7"/>
        <v>0</v>
      </c>
      <c r="R176" s="14">
        <v>-0.20354867372495786</v>
      </c>
      <c r="S176" s="14">
        <v>-1.0879097970900513</v>
      </c>
      <c r="T176" s="14">
        <v>-0.77783434254492234</v>
      </c>
      <c r="U176" s="14">
        <v>-0.62889674974699239</v>
      </c>
      <c r="V176" s="14">
        <v>-0.52951761034915157</v>
      </c>
      <c r="W176" s="14">
        <v>8.3980883374139559E-3</v>
      </c>
      <c r="X176" s="14">
        <v>1.0643261003983164</v>
      </c>
      <c r="Y176" s="14">
        <v>0.73767246759770522</v>
      </c>
      <c r="Z176" s="14">
        <v>-0.51878756594796371</v>
      </c>
      <c r="AA176" s="14">
        <v>-0.14348917641998171</v>
      </c>
      <c r="AB176" s="14">
        <v>0.63478569594536915</v>
      </c>
      <c r="AC176" s="14">
        <v>-0.33747408520682609</v>
      </c>
      <c r="AD176" s="14">
        <v>1.1096421320187921</v>
      </c>
      <c r="AE176" s="14">
        <v>-0.64988063553108311</v>
      </c>
      <c r="AF176" s="14">
        <v>0.11145409502634301</v>
      </c>
      <c r="AG176" s="14">
        <v>-6.7043375263464877E-2</v>
      </c>
      <c r="AH176" s="14">
        <v>-0.15376744159270883</v>
      </c>
      <c r="AI176" s="14">
        <v>0.29277691790436</v>
      </c>
      <c r="AJ176" s="14">
        <v>1.5200022954446499</v>
      </c>
      <c r="AK176" s="14">
        <v>-0.81791924429756846</v>
      </c>
      <c r="AM176" s="14">
        <v>0.22894788729343291</v>
      </c>
      <c r="AN176" s="14">
        <v>0.51044214133910426</v>
      </c>
      <c r="AO176" s="14">
        <v>-6.2027341788642699E-2</v>
      </c>
      <c r="AP176" s="14">
        <v>-0.46821457232626534</v>
      </c>
      <c r="AQ176" s="14">
        <v>-0.48897707704231319</v>
      </c>
      <c r="AR176" s="14">
        <v>0.37308904776981583</v>
      </c>
      <c r="AS176" s="14">
        <v>-0.19413598124412293</v>
      </c>
      <c r="AT176" s="14">
        <v>-0.81380617430719759</v>
      </c>
      <c r="AU176" s="14">
        <v>-0.74436557857433483</v>
      </c>
      <c r="AV176" s="14">
        <v>8.3074184019764546E-2</v>
      </c>
      <c r="AW176" s="14">
        <v>0.88040878383338161</v>
      </c>
      <c r="AX176" s="14">
        <v>-0.2241252345378385</v>
      </c>
      <c r="AY176" s="14">
        <v>-0.26620940679763749</v>
      </c>
      <c r="AZ176" s="14">
        <v>0.33270321254717966</v>
      </c>
      <c r="BA176" s="14">
        <v>-0.20634390290178703</v>
      </c>
      <c r="BB176" s="14">
        <v>-0.43295219389025447</v>
      </c>
      <c r="BC176" s="14">
        <v>-0.27815831650336365</v>
      </c>
      <c r="BD176" s="14">
        <v>-0.507501709305056</v>
      </c>
      <c r="BE176" s="14">
        <v>-0.12995947899184632</v>
      </c>
      <c r="BF176" s="14">
        <v>0.14414812296314</v>
      </c>
      <c r="BK176" s="16">
        <v>0.80168135615285951</v>
      </c>
      <c r="BL176" s="16">
        <v>-0.28762404822573212</v>
      </c>
      <c r="BN176" s="17">
        <f t="shared" si="8"/>
        <v>0</v>
      </c>
    </row>
    <row r="177" spans="1:66" x14ac:dyDescent="0.2">
      <c r="A177">
        <v>-1.5910495237805</v>
      </c>
      <c r="B177">
        <v>-1.113094104798023</v>
      </c>
      <c r="C177">
        <v>-1.5888349405156119</v>
      </c>
      <c r="D177">
        <v>-1.257164791547819</v>
      </c>
      <c r="E177">
        <v>-1.1566686761674401</v>
      </c>
      <c r="F177">
        <v>-1.1329195209426901</v>
      </c>
      <c r="G177">
        <v>-1.2869671539067371</v>
      </c>
      <c r="H177">
        <v>-1.488236105859144</v>
      </c>
      <c r="I177">
        <v>-1.132924190537514</v>
      </c>
      <c r="J177">
        <v>-1.755320499366567</v>
      </c>
      <c r="M177" s="13">
        <v>0</v>
      </c>
      <c r="O177" s="10">
        <f t="shared" si="6"/>
        <v>1</v>
      </c>
      <c r="P177" s="10">
        <f t="shared" si="7"/>
        <v>0</v>
      </c>
      <c r="R177" s="14">
        <v>0.56124771266607698</v>
      </c>
      <c r="S177" s="14">
        <v>-0.96088191632608433</v>
      </c>
      <c r="T177" s="14">
        <v>-0.48343873858646313</v>
      </c>
      <c r="U177" s="14">
        <v>-0.61129089827645888</v>
      </c>
      <c r="V177" s="14">
        <v>-0.40931480566050626</v>
      </c>
      <c r="W177" s="14">
        <v>-0.16532626731036099</v>
      </c>
      <c r="X177" s="14">
        <v>1.0415396735382865</v>
      </c>
      <c r="Y177" s="14">
        <v>0.64532396125427838</v>
      </c>
      <c r="Z177" s="14">
        <v>-0.33322781796700807</v>
      </c>
      <c r="AA177" s="14">
        <v>0.13558369557814576</v>
      </c>
      <c r="AB177" s="14">
        <v>0.46185407454439964</v>
      </c>
      <c r="AC177" s="14">
        <v>8.5146561635993989E-2</v>
      </c>
      <c r="AD177" s="14">
        <v>1.0512485850891637</v>
      </c>
      <c r="AE177" s="14">
        <v>-0.42670443230470706</v>
      </c>
      <c r="AF177" s="14">
        <v>0.59821788544089027</v>
      </c>
      <c r="AG177" s="14">
        <v>-0.19072432555427365</v>
      </c>
      <c r="AH177" s="14">
        <v>-0.27552068103384164</v>
      </c>
      <c r="AI177" s="14">
        <v>0.18846197638899853</v>
      </c>
      <c r="AJ177" s="14">
        <v>1.4515299030355537</v>
      </c>
      <c r="AK177" s="14">
        <v>-1.1968382361758587</v>
      </c>
      <c r="AM177" s="14">
        <v>2.8955900234752873E-2</v>
      </c>
      <c r="AN177" s="14">
        <v>-0.18602273939564071</v>
      </c>
      <c r="AO177" s="14">
        <v>-2.9336446344102301E-2</v>
      </c>
      <c r="AP177" s="14">
        <v>-0.15446371760278146</v>
      </c>
      <c r="AQ177" s="14">
        <v>0.23922736725364885</v>
      </c>
      <c r="AR177" s="14">
        <v>-0.15706857393272231</v>
      </c>
      <c r="AS177" s="14">
        <v>0.23531434776046065</v>
      </c>
      <c r="AT177" s="14">
        <v>0.26959840496728354</v>
      </c>
      <c r="AU177" s="14">
        <v>7.0931003109141286E-2</v>
      </c>
      <c r="AV177" s="14">
        <v>6.799408053153283E-2</v>
      </c>
      <c r="AW177" s="14">
        <v>-0.38633787582665297</v>
      </c>
      <c r="AX177" s="14">
        <v>3.3115495779306295E-2</v>
      </c>
      <c r="AY177" s="14">
        <v>0.25136741997906065</v>
      </c>
      <c r="AZ177" s="14">
        <v>-9.7710362181654617E-2</v>
      </c>
      <c r="BA177" s="14">
        <v>8.8482604067681381E-2</v>
      </c>
      <c r="BB177" s="14">
        <v>0.29239225322106682</v>
      </c>
      <c r="BC177" s="14">
        <v>-4.1632099306136199E-2</v>
      </c>
      <c r="BD177" s="14">
        <v>0.21559371114404208</v>
      </c>
      <c r="BE177" s="14">
        <v>0.10551639531227427</v>
      </c>
      <c r="BF177" s="14">
        <v>9.5571216219138121E-3</v>
      </c>
      <c r="BK177" s="16">
        <v>0.67658076835883085</v>
      </c>
      <c r="BL177" s="16">
        <v>-0.32504922785278323</v>
      </c>
      <c r="BN177" s="17">
        <f t="shared" si="8"/>
        <v>0</v>
      </c>
    </row>
    <row r="178" spans="1:66" x14ac:dyDescent="0.2">
      <c r="A178">
        <v>-1.2384899199828061</v>
      </c>
      <c r="B178">
        <v>-0.2279141109777349</v>
      </c>
      <c r="C178">
        <v>-1.1663478036755279</v>
      </c>
      <c r="D178">
        <v>-1.040702925450262</v>
      </c>
      <c r="E178">
        <v>0.45349699427658208</v>
      </c>
      <c r="F178">
        <v>0.48748651474231047</v>
      </c>
      <c r="G178">
        <v>-0.33715773773480789</v>
      </c>
      <c r="H178">
        <v>-1.07456365787608</v>
      </c>
      <c r="I178">
        <v>-0.90089466805941765</v>
      </c>
      <c r="J178">
        <v>-0.27126265580241171</v>
      </c>
      <c r="M178" s="13">
        <v>0</v>
      </c>
      <c r="O178" s="10">
        <f t="shared" si="6"/>
        <v>1</v>
      </c>
      <c r="P178" s="10">
        <f t="shared" si="7"/>
        <v>0</v>
      </c>
      <c r="R178" s="14">
        <v>-0.41076666801577211</v>
      </c>
      <c r="S178" s="14">
        <v>-1.1298440918852175</v>
      </c>
      <c r="T178" s="14">
        <v>-0.79130932530019238</v>
      </c>
      <c r="U178" s="14">
        <v>-1.1191318128123271</v>
      </c>
      <c r="V178" s="14">
        <v>-0.63311428907892309</v>
      </c>
      <c r="W178" s="14">
        <v>-0.25593028762398701</v>
      </c>
      <c r="X178" s="14">
        <v>1.065358531621351</v>
      </c>
      <c r="Y178" s="14">
        <v>1.2611153548263652</v>
      </c>
      <c r="Z178" s="14">
        <v>-3.1032321729140416E-2</v>
      </c>
      <c r="AA178" s="14">
        <v>-0.29426950126792317</v>
      </c>
      <c r="AB178" s="14">
        <v>0.66225220395510109</v>
      </c>
      <c r="AC178" s="14">
        <v>-0.27496231480612943</v>
      </c>
      <c r="AD178" s="14">
        <v>1.1327665216043761</v>
      </c>
      <c r="AE178" s="14">
        <v>-0.66090052081523676</v>
      </c>
      <c r="AF178" s="14">
        <v>-0.15557532737661928</v>
      </c>
      <c r="AG178" s="14">
        <v>-0.58004016283076942</v>
      </c>
      <c r="AH178" s="14">
        <v>6.3330259899419317E-2</v>
      </c>
      <c r="AI178" s="14">
        <v>0.33575029328216932</v>
      </c>
      <c r="AJ178" s="14">
        <v>1.5659403127683746</v>
      </c>
      <c r="AK178" s="14">
        <v>-1.1065343504749114</v>
      </c>
      <c r="AM178" s="14">
        <v>0.69588242744251061</v>
      </c>
      <c r="AN178" s="14">
        <v>9.3348794112734904E-2</v>
      </c>
      <c r="AO178" s="14">
        <v>0.17098892958732873</v>
      </c>
      <c r="AP178" s="14">
        <v>0.14323296980965405</v>
      </c>
      <c r="AQ178" s="14">
        <v>-0.14454997792160384</v>
      </c>
      <c r="AR178" s="14">
        <v>-0.32991364947582352</v>
      </c>
      <c r="AS178" s="14">
        <v>-3.3395433316527716E-2</v>
      </c>
      <c r="AT178" s="14">
        <v>-0.16648847030295469</v>
      </c>
      <c r="AU178" s="14">
        <v>-6.2323178487238368E-2</v>
      </c>
      <c r="AV178" s="14">
        <v>0.18955159201485508</v>
      </c>
      <c r="AW178" s="14">
        <v>0.16362830466160358</v>
      </c>
      <c r="AX178" s="14">
        <v>0.3152339503474702</v>
      </c>
      <c r="AY178" s="14">
        <v>4.184529122596907E-2</v>
      </c>
      <c r="AZ178" s="14">
        <v>0.24747114865376454</v>
      </c>
      <c r="BA178" s="14">
        <v>0.31284075281111706</v>
      </c>
      <c r="BB178" s="14">
        <v>-0.25145688380346526</v>
      </c>
      <c r="BC178" s="14">
        <v>5.2367099999105195E-2</v>
      </c>
      <c r="BD178" s="14">
        <v>-2.0680561889148099E-2</v>
      </c>
      <c r="BE178" s="14">
        <v>5.0856469034366615E-2</v>
      </c>
      <c r="BF178" s="14">
        <v>-0.62813028633158297</v>
      </c>
      <c r="BK178" s="16">
        <v>0.42875705176438733</v>
      </c>
      <c r="BL178" s="16">
        <v>-0.2447262931229123</v>
      </c>
      <c r="BN178" s="17">
        <f t="shared" si="8"/>
        <v>0</v>
      </c>
    </row>
    <row r="179" spans="1:66" x14ac:dyDescent="0.2">
      <c r="A179">
        <v>0.63610923857167878</v>
      </c>
      <c r="B179">
        <v>0.27475042844929898</v>
      </c>
      <c r="C179">
        <v>0.68877744354959503</v>
      </c>
      <c r="D179">
        <v>0.48633191450656887</v>
      </c>
      <c r="E179">
        <v>0.94041228243024544</v>
      </c>
      <c r="F179">
        <v>1.0900246427782021</v>
      </c>
      <c r="G179">
        <v>0.97918200749808659</v>
      </c>
      <c r="H179">
        <v>0.27742887732382288</v>
      </c>
      <c r="I179">
        <v>0.14589500968527541</v>
      </c>
      <c r="J179">
        <v>1.2921645779826321</v>
      </c>
      <c r="M179" s="13">
        <v>1</v>
      </c>
      <c r="O179" s="10">
        <f t="shared" si="6"/>
        <v>0</v>
      </c>
      <c r="P179" s="10">
        <f t="shared" si="7"/>
        <v>1</v>
      </c>
      <c r="R179" s="14">
        <v>0.4951505206108342</v>
      </c>
      <c r="S179" s="14">
        <v>-0.87464865619716115</v>
      </c>
      <c r="T179" s="14">
        <v>-0.81804763846559037</v>
      </c>
      <c r="U179" s="14">
        <v>-1.2194972706897342</v>
      </c>
      <c r="V179" s="14">
        <v>-0.39559806973141687</v>
      </c>
      <c r="W179" s="14">
        <v>-0.31025554749318857</v>
      </c>
      <c r="X179" s="14">
        <v>1.0623523585559962</v>
      </c>
      <c r="Y179" s="14">
        <v>0.41430335745703606</v>
      </c>
      <c r="Z179" s="14">
        <v>-0.12327094917138859</v>
      </c>
      <c r="AA179" s="14">
        <v>-7.729931768962528E-3</v>
      </c>
      <c r="AB179" s="14">
        <v>0.77217970807326131</v>
      </c>
      <c r="AC179" s="14">
        <v>-0.23228341279275388</v>
      </c>
      <c r="AD179" s="14">
        <v>1.1222914516935905</v>
      </c>
      <c r="AE179" s="14">
        <v>-0.40418333301688153</v>
      </c>
      <c r="AF179" s="14">
        <v>0.2093622880965828</v>
      </c>
      <c r="AG179" s="14">
        <v>-0.22284923460283546</v>
      </c>
      <c r="AH179" s="14">
        <v>-0.4188083817791155</v>
      </c>
      <c r="AI179" s="14">
        <v>0.24546750247608451</v>
      </c>
      <c r="AJ179" s="14">
        <v>1.5267656587139711</v>
      </c>
      <c r="AK179" s="14">
        <v>-0.88310110096148287</v>
      </c>
      <c r="AM179" s="14">
        <v>-8.6651357767211362E-3</v>
      </c>
      <c r="AN179" s="14">
        <v>-0.58866496607697827</v>
      </c>
      <c r="AO179" s="14">
        <v>-9.9239041808095355E-2</v>
      </c>
      <c r="AP179" s="14">
        <v>0.15950133310580858</v>
      </c>
      <c r="AQ179" s="14">
        <v>-0.12519820445295712</v>
      </c>
      <c r="AR179" s="14">
        <v>-0.33905218558320444</v>
      </c>
      <c r="AS179" s="14">
        <v>0.55328998267387519</v>
      </c>
      <c r="AT179" s="14">
        <v>0.68065222221099553</v>
      </c>
      <c r="AU179" s="14">
        <v>0.10480802026976238</v>
      </c>
      <c r="AV179" s="14">
        <v>-0.26281874689876106</v>
      </c>
      <c r="AW179" s="14">
        <v>-0.56614230215023165</v>
      </c>
      <c r="AX179" s="14">
        <v>-6.0861547966128901E-2</v>
      </c>
      <c r="AY179" s="14">
        <v>0.48965076921789286</v>
      </c>
      <c r="AZ179" s="14">
        <v>-0.50820532272074515</v>
      </c>
      <c r="BA179" s="14">
        <v>0.25893554682617143</v>
      </c>
      <c r="BB179" s="14">
        <v>0.15198929673303638</v>
      </c>
      <c r="BC179" s="14">
        <v>0.33612636020972181</v>
      </c>
      <c r="BD179" s="14">
        <v>0.53828312417625401</v>
      </c>
      <c r="BE179" s="14">
        <v>0.41342360843810921</v>
      </c>
      <c r="BF179" s="14">
        <v>-0.34124931502628791</v>
      </c>
      <c r="BK179" s="16">
        <v>-0.60326642602407865</v>
      </c>
      <c r="BL179" s="16">
        <v>0.42779274130271977</v>
      </c>
      <c r="BN179" s="17">
        <f t="shared" si="8"/>
        <v>1</v>
      </c>
    </row>
    <row r="180" spans="1:66" x14ac:dyDescent="0.2">
      <c r="A180">
        <v>-0.35037140465787792</v>
      </c>
      <c r="B180">
        <v>0.79212710073761161</v>
      </c>
      <c r="C180">
        <v>-0.44380349597554131</v>
      </c>
      <c r="D180">
        <v>-0.3959228987766899</v>
      </c>
      <c r="E180">
        <v>-1.591175524909145</v>
      </c>
      <c r="F180">
        <v>-1.1131448642715529</v>
      </c>
      <c r="G180">
        <v>-1.239630043068459</v>
      </c>
      <c r="H180">
        <v>-0.50726510558699367</v>
      </c>
      <c r="I180">
        <v>-0.51370647253490009</v>
      </c>
      <c r="J180">
        <v>-1.6166636721863401</v>
      </c>
      <c r="M180" s="13">
        <v>0</v>
      </c>
      <c r="O180" s="10">
        <f t="shared" si="6"/>
        <v>1</v>
      </c>
      <c r="P180" s="10">
        <f t="shared" si="7"/>
        <v>0</v>
      </c>
      <c r="R180" s="14">
        <v>1.8651132647837798E-3</v>
      </c>
      <c r="S180" s="14">
        <v>1.0088406724921686</v>
      </c>
      <c r="T180" s="14">
        <v>-0.83347008234360587</v>
      </c>
      <c r="U180" s="14">
        <v>-1.2024928789065137</v>
      </c>
      <c r="V180" s="14">
        <v>-0.38592031920722669</v>
      </c>
      <c r="W180" s="14">
        <v>0.32480032738229175</v>
      </c>
      <c r="X180" s="14">
        <v>-0.71827665730380086</v>
      </c>
      <c r="Y180" s="14">
        <v>-1.1086005944207205</v>
      </c>
      <c r="Z180" s="14">
        <v>-0.20314421450044107</v>
      </c>
      <c r="AA180" s="14">
        <v>0.44722302707815731</v>
      </c>
      <c r="AB180" s="14">
        <v>1.7110864210993739</v>
      </c>
      <c r="AC180" s="14">
        <v>-0.36879348265292156</v>
      </c>
      <c r="AD180" s="14">
        <v>-0.3135764380982673</v>
      </c>
      <c r="AE180" s="14">
        <v>1.5834704417046068</v>
      </c>
      <c r="AF180" s="14">
        <v>-1.1008677344220628</v>
      </c>
      <c r="AG180" s="14">
        <v>-1.4566941157297408</v>
      </c>
      <c r="AH180" s="14">
        <v>-0.8775326542761791</v>
      </c>
      <c r="AI180" s="14">
        <v>-1.5670181859152059</v>
      </c>
      <c r="AJ180" s="14">
        <v>0.32793631963454128</v>
      </c>
      <c r="AK180" s="14">
        <v>-0.36744457068737146</v>
      </c>
      <c r="AM180" s="14">
        <v>-0.29161768666037241</v>
      </c>
      <c r="AN180" s="14">
        <v>-0.50722956008076359</v>
      </c>
      <c r="AO180" s="14">
        <v>-0.26315077741971832</v>
      </c>
      <c r="AP180" s="14">
        <v>0.12752746197096601</v>
      </c>
      <c r="AQ180" s="14">
        <v>-0.15883252739848699</v>
      </c>
      <c r="AR180" s="14">
        <v>0.25286374669859368</v>
      </c>
      <c r="AS180" s="14">
        <v>0.54196009877654749</v>
      </c>
      <c r="AT180" s="14">
        <v>0.40281205325502051</v>
      </c>
      <c r="AU180" s="14">
        <v>-0.23631675285443215</v>
      </c>
      <c r="AV180" s="14">
        <v>-0.20760432478857346</v>
      </c>
      <c r="AW180" s="14">
        <v>-0.34350317904563621</v>
      </c>
      <c r="AX180" s="14">
        <v>-0.29712822262270228</v>
      </c>
      <c r="AY180" s="14">
        <v>0.430527351781617</v>
      </c>
      <c r="AZ180" s="14">
        <v>-0.55418162077871513</v>
      </c>
      <c r="BA180" s="14">
        <v>-0.12453272251510726</v>
      </c>
      <c r="BB180" s="14">
        <v>0.21798576774726133</v>
      </c>
      <c r="BC180" s="14">
        <v>0.20808757757873148</v>
      </c>
      <c r="BD180" s="14">
        <v>0.50414766946951084</v>
      </c>
      <c r="BE180" s="14">
        <v>0.3962436749770612</v>
      </c>
      <c r="BF180" s="14">
        <v>8.1566188099252632E-2</v>
      </c>
      <c r="BK180" s="16">
        <v>3.8498747597366434E-2</v>
      </c>
      <c r="BL180" s="16">
        <v>0.87911492862050056</v>
      </c>
      <c r="BN180" s="17">
        <f t="shared" si="8"/>
        <v>1</v>
      </c>
    </row>
    <row r="181" spans="1:66" x14ac:dyDescent="0.2">
      <c r="A181">
        <v>-0.40755868832335918</v>
      </c>
      <c r="B181">
        <v>-1.4539251827509869</v>
      </c>
      <c r="C181">
        <v>-0.47368470801138213</v>
      </c>
      <c r="D181">
        <v>-0.44658418658675619</v>
      </c>
      <c r="E181">
        <v>-1.2499631321419209</v>
      </c>
      <c r="F181">
        <v>-1.018945590674502</v>
      </c>
      <c r="G181">
        <v>-0.94701921970096048</v>
      </c>
      <c r="H181">
        <v>-0.58387111447274598</v>
      </c>
      <c r="I181">
        <v>-0.5811898680037203</v>
      </c>
      <c r="J181">
        <v>-1.157803769213088</v>
      </c>
      <c r="M181" s="13">
        <v>0</v>
      </c>
      <c r="O181" s="10">
        <f t="shared" si="6"/>
        <v>1</v>
      </c>
      <c r="P181" s="10">
        <f t="shared" si="7"/>
        <v>0</v>
      </c>
      <c r="R181" s="14">
        <v>-3.4417280744485079E-3</v>
      </c>
      <c r="S181" s="14">
        <v>-0.25508531538148238</v>
      </c>
      <c r="T181" s="14">
        <v>-0.24052049592765998</v>
      </c>
      <c r="U181" s="14">
        <v>-0.95451098983937599</v>
      </c>
      <c r="V181" s="14">
        <v>0.78777469992462235</v>
      </c>
      <c r="W181" s="14">
        <v>5.4914833051294354E-2</v>
      </c>
      <c r="X181" s="14">
        <v>0.52309938263270672</v>
      </c>
      <c r="Y181" s="14">
        <v>0.56401496773717741</v>
      </c>
      <c r="Z181" s="14">
        <v>-4.6447026026046778E-2</v>
      </c>
      <c r="AA181" s="14">
        <v>0.79897507971881254</v>
      </c>
      <c r="AB181" s="14">
        <v>-0.30887813543101994</v>
      </c>
      <c r="AC181" s="14">
        <v>0.15661162546544921</v>
      </c>
      <c r="AD181" s="14">
        <v>0.80956778633930904</v>
      </c>
      <c r="AE181" s="14">
        <v>0.37463783237868881</v>
      </c>
      <c r="AF181" s="14">
        <v>0.18490239079641463</v>
      </c>
      <c r="AG181" s="14">
        <v>0.53843824152516051</v>
      </c>
      <c r="AH181" s="14">
        <v>-0.74737404161344267</v>
      </c>
      <c r="AI181" s="14">
        <v>-0.20624872007226974</v>
      </c>
      <c r="AJ181" s="14">
        <v>0.5834714093426222</v>
      </c>
      <c r="AK181" s="14">
        <v>-0.54616794124448576</v>
      </c>
      <c r="AM181" s="14">
        <v>-0.84498854072146989</v>
      </c>
      <c r="AN181" s="14">
        <v>-0.31384509551521256</v>
      </c>
      <c r="AO181" s="14">
        <v>-0.5850830892136436</v>
      </c>
      <c r="AP181" s="14">
        <v>-0.61734976716517476</v>
      </c>
      <c r="AQ181" s="14">
        <v>-0.8702618831673784</v>
      </c>
      <c r="AR181" s="14">
        <v>0.82892695441545605</v>
      </c>
      <c r="AS181" s="14">
        <v>0.78506728073819143</v>
      </c>
      <c r="AT181" s="14">
        <v>-0.37406542794761255</v>
      </c>
      <c r="AU181" s="14">
        <v>-0.95887309538983134</v>
      </c>
      <c r="AV181" s="14">
        <v>-0.63702155280831607</v>
      </c>
      <c r="AW181" s="14">
        <v>0.76520990576043235</v>
      </c>
      <c r="AX181" s="14">
        <v>-0.89095364537780319</v>
      </c>
      <c r="AY181" s="14">
        <v>0.36248150098708326</v>
      </c>
      <c r="AZ181" s="14">
        <v>-0.78818059076631575</v>
      </c>
      <c r="BA181" s="14">
        <v>-0.62563384554032875</v>
      </c>
      <c r="BB181" s="14">
        <v>-9.3681746684876305E-2</v>
      </c>
      <c r="BC181" s="14">
        <v>7.2045545108671047E-2</v>
      </c>
      <c r="BD181" s="14">
        <v>7.5231825635473412E-2</v>
      </c>
      <c r="BE181" s="14">
        <v>0.55463812245643929</v>
      </c>
      <c r="BF181" s="14">
        <v>0.7667893036382859</v>
      </c>
      <c r="BK181" s="16">
        <v>0.56626021776596391</v>
      </c>
      <c r="BL181" s="16">
        <v>-0.140800155620419</v>
      </c>
      <c r="BN181" s="17">
        <f t="shared" si="8"/>
        <v>0</v>
      </c>
    </row>
    <row r="182" spans="1:66" x14ac:dyDescent="0.2">
      <c r="A182">
        <v>3.7127850997745839</v>
      </c>
      <c r="B182">
        <v>0.7063063257134844</v>
      </c>
      <c r="C182">
        <v>3.710099993840176</v>
      </c>
      <c r="D182">
        <v>4.565429127895495</v>
      </c>
      <c r="E182">
        <v>1.605739279220366</v>
      </c>
      <c r="F182">
        <v>2.4265186798619278</v>
      </c>
      <c r="G182">
        <v>3.51319991705904</v>
      </c>
      <c r="H182">
        <v>3.4514021644010842</v>
      </c>
      <c r="I182">
        <v>4.1042123900978638</v>
      </c>
      <c r="J182">
        <v>2.2700553669305572</v>
      </c>
      <c r="M182" s="13">
        <v>1</v>
      </c>
      <c r="O182" s="10">
        <f t="shared" si="6"/>
        <v>0</v>
      </c>
      <c r="P182" s="10">
        <f t="shared" si="7"/>
        <v>1</v>
      </c>
      <c r="R182" s="14">
        <v>1.0371679290245233</v>
      </c>
      <c r="S182" s="14">
        <v>-3.9733947420510896E-2</v>
      </c>
      <c r="T182" s="14">
        <v>0.44321379464130273</v>
      </c>
      <c r="U182" s="14">
        <v>-0.46413874276995287</v>
      </c>
      <c r="V182" s="14">
        <v>-0.19320529798152675</v>
      </c>
      <c r="W182" s="14">
        <v>-5.8228966234061097E-2</v>
      </c>
      <c r="X182" s="14">
        <v>0.26881846459458042</v>
      </c>
      <c r="Y182" s="14">
        <v>2.788476860779715E-2</v>
      </c>
      <c r="Z182" s="14">
        <v>-0.45313482947516193</v>
      </c>
      <c r="AA182" s="14">
        <v>1.1089307196952378</v>
      </c>
      <c r="AB182" s="14">
        <v>0.27318595701757176</v>
      </c>
      <c r="AC182" s="14">
        <v>1.1725947424109635</v>
      </c>
      <c r="AD182" s="14">
        <v>0.64739283846211604</v>
      </c>
      <c r="AE182" s="14">
        <v>1.0593434348556712</v>
      </c>
      <c r="AF182" s="14">
        <v>1.0431701504471305</v>
      </c>
      <c r="AG182" s="14">
        <v>-0.25121348602108584</v>
      </c>
      <c r="AH182" s="14">
        <v>-0.52902759561534596</v>
      </c>
      <c r="AI182" s="14">
        <v>-0.37630571257694989</v>
      </c>
      <c r="AJ182" s="14">
        <v>1.2081777404240075</v>
      </c>
      <c r="AK182" s="14">
        <v>-1.4132220558900124</v>
      </c>
      <c r="AM182" s="14">
        <v>-0.85811311980064897</v>
      </c>
      <c r="AN182" s="14">
        <v>0.85473821548111695</v>
      </c>
      <c r="AO182" s="14">
        <v>0.23123120910994407</v>
      </c>
      <c r="AP182" s="14">
        <v>-0.98172273588069792</v>
      </c>
      <c r="AQ182" s="14">
        <v>-0.68499101681626728</v>
      </c>
      <c r="AR182" s="14">
        <v>0.86875360699523163</v>
      </c>
      <c r="AS182" s="14">
        <v>-0.51780014609096769</v>
      </c>
      <c r="AT182" s="14">
        <v>-0.85239838687559366</v>
      </c>
      <c r="AU182" s="14">
        <v>-0.83290386364764812</v>
      </c>
      <c r="AV182" s="14">
        <v>-0.65743662593752261</v>
      </c>
      <c r="AW182" s="14">
        <v>0.91319761102309038</v>
      </c>
      <c r="AX182" s="14">
        <v>-0.38655309026649126</v>
      </c>
      <c r="AY182" s="14">
        <v>-0.78529865114558295</v>
      </c>
      <c r="AZ182" s="14">
        <v>0.40976393274635831</v>
      </c>
      <c r="BA182" s="14">
        <v>-0.88220497029015155</v>
      </c>
      <c r="BB182" s="14">
        <v>-0.88760111711651546</v>
      </c>
      <c r="BC182" s="14">
        <v>-0.69690032873223828</v>
      </c>
      <c r="BD182" s="14">
        <v>-0.89987522993330005</v>
      </c>
      <c r="BE182" s="14">
        <v>-8.354524288993645E-2</v>
      </c>
      <c r="BF182" s="14">
        <v>0.86543735777226671</v>
      </c>
      <c r="BK182" s="16">
        <v>-0.85167258222156739</v>
      </c>
      <c r="BL182" s="16">
        <v>0.46141769259626819</v>
      </c>
      <c r="BN182" s="17">
        <f t="shared" si="8"/>
        <v>1</v>
      </c>
    </row>
    <row r="183" spans="1:66" x14ac:dyDescent="0.2">
      <c r="A183">
        <v>1.9599948554275759</v>
      </c>
      <c r="B183">
        <v>1.8587567331803421</v>
      </c>
      <c r="C183">
        <v>2.0749336685455479</v>
      </c>
      <c r="D183">
        <v>1.862534283937975</v>
      </c>
      <c r="E183">
        <v>3.3118012430564838</v>
      </c>
      <c r="F183">
        <v>1.9504391712903599</v>
      </c>
      <c r="G183">
        <v>2.536808106031923</v>
      </c>
      <c r="H183">
        <v>2.1180435232544719</v>
      </c>
      <c r="I183">
        <v>2.108050009694701</v>
      </c>
      <c r="J183">
        <v>2.5920255348077448</v>
      </c>
      <c r="M183" s="13">
        <v>1</v>
      </c>
      <c r="O183" s="10">
        <f t="shared" si="6"/>
        <v>0</v>
      </c>
      <c r="P183" s="10">
        <f t="shared" si="7"/>
        <v>1</v>
      </c>
      <c r="R183" s="14">
        <v>-0.15743009593745708</v>
      </c>
      <c r="S183" s="14">
        <v>-1.1123329928688861</v>
      </c>
      <c r="T183" s="14">
        <v>-0.41234293469518835</v>
      </c>
      <c r="U183" s="14">
        <v>-0.41502172713103891</v>
      </c>
      <c r="V183" s="14">
        <v>-4.7173894608092737E-2</v>
      </c>
      <c r="W183" s="14">
        <v>-0.21971393262306754</v>
      </c>
      <c r="X183" s="14">
        <v>1.0529894555589985</v>
      </c>
      <c r="Y183" s="14">
        <v>1.2495945620747426</v>
      </c>
      <c r="Z183" s="14">
        <v>0.21595489889042346</v>
      </c>
      <c r="AA183" s="14">
        <v>-8.9535820004799538E-2</v>
      </c>
      <c r="AB183" s="14">
        <v>-0.93737107067079029</v>
      </c>
      <c r="AC183" s="14">
        <v>-5.5727437113370693E-2</v>
      </c>
      <c r="AD183" s="14">
        <v>1.0864266738650985</v>
      </c>
      <c r="AE183" s="14">
        <v>-0.6361065491772977</v>
      </c>
      <c r="AF183" s="14">
        <v>0.35634630491318114</v>
      </c>
      <c r="AG183" s="14">
        <v>0.11582805559712661</v>
      </c>
      <c r="AH183" s="14">
        <v>-0.13389700985796493</v>
      </c>
      <c r="AI183" s="14">
        <v>0.31224015368614932</v>
      </c>
      <c r="AJ183" s="14">
        <v>1.4486678371446993</v>
      </c>
      <c r="AK183" s="14">
        <v>-1.0700545765600746</v>
      </c>
      <c r="AM183" s="14">
        <v>0.37650757086417691</v>
      </c>
      <c r="AN183" s="14">
        <v>-0.75773488998365635</v>
      </c>
      <c r="AO183" s="14">
        <v>-0.4236095943517974</v>
      </c>
      <c r="AP183" s="14">
        <v>-0.36948271365182428</v>
      </c>
      <c r="AQ183" s="14">
        <v>-0.73858134198701986</v>
      </c>
      <c r="AR183" s="14">
        <v>-0.33050918840458993</v>
      </c>
      <c r="AS183" s="14">
        <v>0.84461327817724363</v>
      </c>
      <c r="AT183" s="14">
        <v>0.70878779557333527</v>
      </c>
      <c r="AU183" s="14">
        <v>-0.32057221835810928</v>
      </c>
      <c r="AV183" s="14">
        <v>-0.623828804819889</v>
      </c>
      <c r="AW183" s="14">
        <v>0.13199357323294586</v>
      </c>
      <c r="AX183" s="14">
        <v>-0.10086684511713327</v>
      </c>
      <c r="AY183" s="14">
        <v>0.7540849690875816</v>
      </c>
      <c r="AZ183" s="14">
        <v>-0.74539158935967242</v>
      </c>
      <c r="BA183" s="14">
        <v>0.25472847071525928</v>
      </c>
      <c r="BB183" s="14">
        <v>-0.44176162749275183</v>
      </c>
      <c r="BC183" s="14">
        <v>0.51350637016599965</v>
      </c>
      <c r="BD183" s="14">
        <v>0.72698857006098794</v>
      </c>
      <c r="BE183" s="14">
        <v>0.81883905700947135</v>
      </c>
      <c r="BF183" s="14">
        <v>-0.616377421176734</v>
      </c>
      <c r="BK183" s="16">
        <v>0.65301076432647132</v>
      </c>
      <c r="BL183" s="16">
        <v>-0.11131870711784933</v>
      </c>
      <c r="BN183" s="17">
        <f t="shared" si="8"/>
        <v>0</v>
      </c>
    </row>
    <row r="184" spans="1:66" x14ac:dyDescent="0.2">
      <c r="A184">
        <v>0.41879756064284851</v>
      </c>
      <c r="B184">
        <v>0.32379087132022899</v>
      </c>
      <c r="C184">
        <v>0.35261380814638499</v>
      </c>
      <c r="D184">
        <v>0.29548854054023932</v>
      </c>
      <c r="E184">
        <v>-0.31608934474796718</v>
      </c>
      <c r="F184">
        <v>-0.31552571885613989</v>
      </c>
      <c r="G184">
        <v>3.9340989396852918E-2</v>
      </c>
      <c r="H184">
        <v>0.75776925736421741</v>
      </c>
      <c r="I184">
        <v>0.65565147204555041</v>
      </c>
      <c r="J184">
        <v>0.55238195969737192</v>
      </c>
      <c r="M184" s="13">
        <v>1</v>
      </c>
      <c r="O184" s="10">
        <f t="shared" si="6"/>
        <v>0</v>
      </c>
      <c r="P184" s="10">
        <f t="shared" si="7"/>
        <v>1</v>
      </c>
      <c r="R184" s="14">
        <v>-0.51924961295874228</v>
      </c>
      <c r="S184" s="14">
        <v>-1.0689453010038068</v>
      </c>
      <c r="T184" s="14">
        <v>-0.59431219466660057</v>
      </c>
      <c r="U184" s="14">
        <v>-0.37620441265941074</v>
      </c>
      <c r="V184" s="14">
        <v>-3.7094554205796382E-2</v>
      </c>
      <c r="W184" s="14">
        <v>0.61513744462557907</v>
      </c>
      <c r="X184" s="14">
        <v>1.0513696592411514</v>
      </c>
      <c r="Y184" s="14">
        <v>0.94122148986740284</v>
      </c>
      <c r="Z184" s="14">
        <v>-0.25752687743467456</v>
      </c>
      <c r="AA184" s="14">
        <v>6.5899566631078876E-2</v>
      </c>
      <c r="AB184" s="14">
        <v>-0.59931730824857765</v>
      </c>
      <c r="AC184" s="14">
        <v>-0.28000859724662253</v>
      </c>
      <c r="AD184" s="14">
        <v>1.0009889319533616</v>
      </c>
      <c r="AE184" s="14">
        <v>-0.65223549390062296</v>
      </c>
      <c r="AF184" s="14">
        <v>-7.7024077203831198E-2</v>
      </c>
      <c r="AG184" s="14">
        <v>0.36812268521833375</v>
      </c>
      <c r="AH184" s="14">
        <v>-0.31089668626082262</v>
      </c>
      <c r="AI184" s="14">
        <v>0.28661560251356799</v>
      </c>
      <c r="AJ184" s="14">
        <v>1.4206077537121629</v>
      </c>
      <c r="AK184" s="14">
        <v>-0.50671415873862369</v>
      </c>
      <c r="AM184" s="14">
        <v>0.19540144619754127</v>
      </c>
      <c r="AN184" s="14">
        <v>-0.30696924304585044</v>
      </c>
      <c r="AO184" s="14">
        <v>-1.162434599495678E-2</v>
      </c>
      <c r="AP184" s="14">
        <v>-0.30925654254992413</v>
      </c>
      <c r="AQ184" s="14">
        <v>-0.31325270139066774</v>
      </c>
      <c r="AR184" s="14">
        <v>-0.26709027465031798</v>
      </c>
      <c r="AS184" s="14">
        <v>0.36157850639667244</v>
      </c>
      <c r="AT184" s="14">
        <v>0.35553909518441901</v>
      </c>
      <c r="AU184" s="14">
        <v>-5.6240701842056713E-2</v>
      </c>
      <c r="AV184" s="14">
        <v>-0.31284054198877481</v>
      </c>
      <c r="AW184" s="14">
        <v>2.3299923852565315E-3</v>
      </c>
      <c r="AX184" s="14">
        <v>0.10146564396125914</v>
      </c>
      <c r="AY184" s="14">
        <v>0.28788147996135088</v>
      </c>
      <c r="AZ184" s="14">
        <v>-0.25636014119870681</v>
      </c>
      <c r="BA184" s="14">
        <v>0.13155440894704726</v>
      </c>
      <c r="BB184" s="14">
        <v>-0.31513504553001381</v>
      </c>
      <c r="BC184" s="14">
        <v>0.17906436534419556</v>
      </c>
      <c r="BD184" s="14">
        <v>0.25037688822330512</v>
      </c>
      <c r="BE184" s="14">
        <v>0.37864307868263458</v>
      </c>
      <c r="BF184" s="14">
        <v>-0.36798750600506003</v>
      </c>
      <c r="BK184" s="16">
        <v>0.62717950476699402</v>
      </c>
      <c r="BL184" s="16">
        <v>-0.37327671319542588</v>
      </c>
      <c r="BN184" s="17">
        <f t="shared" si="8"/>
        <v>0</v>
      </c>
    </row>
    <row r="185" spans="1:66" x14ac:dyDescent="0.2">
      <c r="A185">
        <v>-0.80786967398173004</v>
      </c>
      <c r="B185">
        <v>-0.99784906405133744</v>
      </c>
      <c r="C185">
        <v>-0.7957377710643343</v>
      </c>
      <c r="D185">
        <v>-0.7540060921614774</v>
      </c>
      <c r="E185">
        <v>-0.43577386595825712</v>
      </c>
      <c r="F185">
        <v>-0.36660508279663118</v>
      </c>
      <c r="G185">
        <v>-0.68349567070385098</v>
      </c>
      <c r="H185">
        <v>-0.84474563121882262</v>
      </c>
      <c r="I185">
        <v>-0.76451090293870472</v>
      </c>
      <c r="J185">
        <v>-0.81247204496899672</v>
      </c>
      <c r="M185" s="13">
        <v>0</v>
      </c>
      <c r="O185" s="10">
        <f t="shared" si="6"/>
        <v>1</v>
      </c>
      <c r="P185" s="10">
        <f t="shared" si="7"/>
        <v>0</v>
      </c>
      <c r="R185" s="14">
        <v>-0.85054673782039814</v>
      </c>
      <c r="S185" s="14">
        <v>-0.45467252026537419</v>
      </c>
      <c r="T185" s="14">
        <v>-0.8039005209142509</v>
      </c>
      <c r="U185" s="14">
        <v>-1.4966623305419102</v>
      </c>
      <c r="V185" s="14">
        <v>-0.66500327997488373</v>
      </c>
      <c r="W185" s="14">
        <v>1.334436005016739</v>
      </c>
      <c r="X185" s="14">
        <v>1.0638954459077565</v>
      </c>
      <c r="Y185" s="14">
        <v>-0.54999005935977152</v>
      </c>
      <c r="Z185" s="14">
        <v>-1.2523367136052526</v>
      </c>
      <c r="AA185" s="14">
        <v>-0.2846827662836372</v>
      </c>
      <c r="AB185" s="14">
        <v>0.78834096284474953</v>
      </c>
      <c r="AC185" s="14">
        <v>-0.40663206773896676</v>
      </c>
      <c r="AD185" s="14">
        <v>0.79183860664767192</v>
      </c>
      <c r="AE185" s="14">
        <v>-0.65990789781713666</v>
      </c>
      <c r="AF185" s="14">
        <v>-0.38021165782540756</v>
      </c>
      <c r="AG185" s="14">
        <v>-0.43580147202345043</v>
      </c>
      <c r="AH185" s="14">
        <v>-0.45988426387020009</v>
      </c>
      <c r="AI185" s="14">
        <v>-1.0028868369676578</v>
      </c>
      <c r="AJ185" s="14">
        <v>1.3291025881011485</v>
      </c>
      <c r="AK185" s="14">
        <v>0.26581969095277347</v>
      </c>
      <c r="AM185" s="14">
        <v>-4.2922672534250868E-2</v>
      </c>
      <c r="AN185" s="14">
        <v>-0.50318310591971982</v>
      </c>
      <c r="AO185" s="14">
        <v>-0.19414320552245276</v>
      </c>
      <c r="AP185" s="14">
        <v>8.2182592935966248E-2</v>
      </c>
      <c r="AQ185" s="14">
        <v>-0.44733682734791003</v>
      </c>
      <c r="AR185" s="14">
        <v>2.5748353411170714E-2</v>
      </c>
      <c r="AS185" s="14">
        <v>0.56757817929918741</v>
      </c>
      <c r="AT185" s="14">
        <v>0.40975359018302021</v>
      </c>
      <c r="AU185" s="14">
        <v>-0.33008398927619881</v>
      </c>
      <c r="AV185" s="14">
        <v>-0.3306245307006152</v>
      </c>
      <c r="AW185" s="14">
        <v>-0.12347029323440596</v>
      </c>
      <c r="AX185" s="14">
        <v>-0.24229615131197269</v>
      </c>
      <c r="AY185" s="14">
        <v>0.42815373978618182</v>
      </c>
      <c r="AZ185" s="14">
        <v>-0.53988513576768316</v>
      </c>
      <c r="BA185" s="14">
        <v>4.556319688672622E-2</v>
      </c>
      <c r="BB185" s="14">
        <v>-9.3132253508697013E-2</v>
      </c>
      <c r="BC185" s="14">
        <v>0.3102858054988939</v>
      </c>
      <c r="BD185" s="14">
        <v>0.45126332419732301</v>
      </c>
      <c r="BE185" s="14">
        <v>0.46876616936182247</v>
      </c>
      <c r="BF185" s="14">
        <v>-0.26015178633449448</v>
      </c>
      <c r="BK185" s="16">
        <v>-0.54420415000972777</v>
      </c>
      <c r="BL185" s="16">
        <v>0.35801781138387545</v>
      </c>
      <c r="BN185" s="17">
        <f t="shared" si="8"/>
        <v>1</v>
      </c>
    </row>
    <row r="186" spans="1:66" x14ac:dyDescent="0.2">
      <c r="A186">
        <v>0.29870426494533742</v>
      </c>
      <c r="B186">
        <v>0.83871552146499551</v>
      </c>
      <c r="C186">
        <v>0.25798997003288882</v>
      </c>
      <c r="D186">
        <v>0.1342935338718462</v>
      </c>
      <c r="E186">
        <v>3.7508120888475262E-3</v>
      </c>
      <c r="F186">
        <v>-0.4665321879811844</v>
      </c>
      <c r="G186">
        <v>-0.45294451532519647</v>
      </c>
      <c r="H186">
        <v>0.27949930999641109</v>
      </c>
      <c r="I186">
        <v>0.13154814608166779</v>
      </c>
      <c r="J186">
        <v>8.0658225365677766E-2</v>
      </c>
      <c r="M186" s="13">
        <v>1</v>
      </c>
      <c r="O186" s="10">
        <f t="shared" si="6"/>
        <v>0</v>
      </c>
      <c r="P186" s="10">
        <f t="shared" si="7"/>
        <v>1</v>
      </c>
      <c r="R186" s="14">
        <v>-0.84577601736180419</v>
      </c>
      <c r="S186" s="14">
        <v>0.86444659451380201</v>
      </c>
      <c r="T186" s="14">
        <v>0.33115822141816209</v>
      </c>
      <c r="U186" s="14">
        <v>-1.6900670962504745</v>
      </c>
      <c r="V186" s="14">
        <v>-0.67035750041742448</v>
      </c>
      <c r="W186" s="14">
        <v>1.4215700665335922</v>
      </c>
      <c r="X186" s="14">
        <v>-0.85009229811036213</v>
      </c>
      <c r="Y186" s="14">
        <v>-0.63093307497799389</v>
      </c>
      <c r="Z186" s="14">
        <v>-1.2601509691022716</v>
      </c>
      <c r="AA186" s="14">
        <v>-0.30031876916904054</v>
      </c>
      <c r="AB186" s="14">
        <v>0.78869300224496031</v>
      </c>
      <c r="AC186" s="14">
        <v>2.6620076645868185E-2</v>
      </c>
      <c r="AD186" s="14">
        <v>-0.80897914392345549</v>
      </c>
      <c r="AE186" s="14">
        <v>1.2056723420687736</v>
      </c>
      <c r="AF186" s="14">
        <v>-0.3941546736481164</v>
      </c>
      <c r="AG186" s="14">
        <v>-0.65152639843736193</v>
      </c>
      <c r="AH186" s="14">
        <v>-1.4753562230160586</v>
      </c>
      <c r="AI186" s="14">
        <v>-1.6568862541172771</v>
      </c>
      <c r="AJ186" s="14">
        <v>1.1950529236350556</v>
      </c>
      <c r="AK186" s="14">
        <v>0.33115655877985406</v>
      </c>
      <c r="AM186" s="14">
        <v>0.10907026884775109</v>
      </c>
      <c r="AN186" s="14">
        <v>0.73447485386718137</v>
      </c>
      <c r="AO186" s="14">
        <v>0.23526638679511744</v>
      </c>
      <c r="AP186" s="14">
        <v>-0.46324065288965183</v>
      </c>
      <c r="AQ186" s="14">
        <v>0.77247398783225574</v>
      </c>
      <c r="AR186" s="14">
        <v>0.14412401274237907</v>
      </c>
      <c r="AS186" s="14">
        <v>-0.79930574720617642</v>
      </c>
      <c r="AT186" s="14">
        <v>-0.61216956233303743</v>
      </c>
      <c r="AU186" s="14">
        <v>0.67156960263249599</v>
      </c>
      <c r="AV186" s="14">
        <v>0.52163696751328426</v>
      </c>
      <c r="AW186" s="14">
        <v>0.15823748398896462</v>
      </c>
      <c r="AX186" s="14">
        <v>0.554060191866942</v>
      </c>
      <c r="AY186" s="14">
        <v>-0.60690521744181725</v>
      </c>
      <c r="AZ186" s="14">
        <v>0.78364843898880621</v>
      </c>
      <c r="BA186" s="14">
        <v>-0.29953631849111217</v>
      </c>
      <c r="BB186" s="14">
        <v>4.7449024303338819E-2</v>
      </c>
      <c r="BC186" s="14">
        <v>-0.60670067331924549</v>
      </c>
      <c r="BD186" s="14">
        <v>-0.59571258399913385</v>
      </c>
      <c r="BE186" s="14">
        <v>-0.60216646754740788</v>
      </c>
      <c r="BF186" s="14">
        <v>0.5109833009937057</v>
      </c>
      <c r="BK186" s="16">
        <v>-0.38543986141268854</v>
      </c>
      <c r="BL186" s="16">
        <v>0.56064590199760411</v>
      </c>
      <c r="BN186" s="17">
        <f t="shared" si="8"/>
        <v>1</v>
      </c>
    </row>
    <row r="187" spans="1:66" x14ac:dyDescent="0.2">
      <c r="A187">
        <v>-1.188165110357182</v>
      </c>
      <c r="B187">
        <v>-0.95126064332395388</v>
      </c>
      <c r="C187">
        <v>-1.2012092177173419</v>
      </c>
      <c r="D187">
        <v>-0.99723784329503484</v>
      </c>
      <c r="E187">
        <v>-1.0787993991688201</v>
      </c>
      <c r="F187">
        <v>-1.1131200684638149</v>
      </c>
      <c r="G187">
        <v>-1.225520925799167</v>
      </c>
      <c r="H187">
        <v>-0.94826726484821799</v>
      </c>
      <c r="I187">
        <v>-0.81800167834968562</v>
      </c>
      <c r="J187">
        <v>-1.5992772831209721</v>
      </c>
      <c r="M187" s="13">
        <v>0</v>
      </c>
      <c r="O187" s="10">
        <f t="shared" si="6"/>
        <v>1</v>
      </c>
      <c r="P187" s="10">
        <f t="shared" si="7"/>
        <v>0</v>
      </c>
      <c r="R187" s="14">
        <v>0.36074755394939095</v>
      </c>
      <c r="S187" s="14">
        <v>-1.1269763204498371</v>
      </c>
      <c r="T187" s="14">
        <v>-0.77034088797484734</v>
      </c>
      <c r="U187" s="14">
        <v>-1.0632728912144152</v>
      </c>
      <c r="V187" s="14">
        <v>-0.6362599105337795</v>
      </c>
      <c r="W187" s="14">
        <v>-0.36074336353601194</v>
      </c>
      <c r="X187" s="14">
        <v>1.0652165358266468</v>
      </c>
      <c r="Y187" s="14">
        <v>1.2322849344690705</v>
      </c>
      <c r="Z187" s="14">
        <v>9.1566490704679149E-2</v>
      </c>
      <c r="AA187" s="14">
        <v>-0.28672718266569908</v>
      </c>
      <c r="AB187" s="14">
        <v>0.69185454057227547</v>
      </c>
      <c r="AC187" s="14">
        <v>2.7284280438257813E-3</v>
      </c>
      <c r="AD187" s="14">
        <v>1.1338970113800146</v>
      </c>
      <c r="AE187" s="14">
        <v>-0.65440052990877828</v>
      </c>
      <c r="AF187" s="14">
        <v>8.6047090028362749E-3</v>
      </c>
      <c r="AG187" s="14">
        <v>-0.61126208940810578</v>
      </c>
      <c r="AH187" s="14">
        <v>6.9080592747437608E-2</v>
      </c>
      <c r="AI187" s="14">
        <v>0.33671540252554466</v>
      </c>
      <c r="AJ187" s="14">
        <v>1.5671974259081058</v>
      </c>
      <c r="AK187" s="14">
        <v>-1.3995059932718097</v>
      </c>
      <c r="AM187" s="14">
        <v>0.20398028385534583</v>
      </c>
      <c r="AN187" s="14">
        <v>-0.28867779051199977</v>
      </c>
      <c r="AO187" s="14">
        <v>0.20199610590713554</v>
      </c>
      <c r="AP187" s="14">
        <v>0.42015175919729464</v>
      </c>
      <c r="AQ187" s="14">
        <v>0.45573545534912691</v>
      </c>
      <c r="AR187" s="14">
        <v>-0.43769743953046714</v>
      </c>
      <c r="AS187" s="14">
        <v>0.12211654931211186</v>
      </c>
      <c r="AT187" s="14">
        <v>0.6137811672923742</v>
      </c>
      <c r="AU187" s="14">
        <v>0.52459648691931149</v>
      </c>
      <c r="AV187" s="14">
        <v>0.18256413551633258</v>
      </c>
      <c r="AW187" s="14">
        <v>-0.8275968040220929</v>
      </c>
      <c r="AX187" s="14">
        <v>0.24549538087462555</v>
      </c>
      <c r="AY187" s="14">
        <v>0.20220358171155026</v>
      </c>
      <c r="AZ187" s="14">
        <v>-6.3015973059540417E-2</v>
      </c>
      <c r="BA187" s="14">
        <v>0.32026836646216761</v>
      </c>
      <c r="BB187" s="14">
        <v>0.4479896955875699</v>
      </c>
      <c r="BC187" s="14">
        <v>0.12802415430267969</v>
      </c>
      <c r="BD187" s="14">
        <v>0.31753193836593224</v>
      </c>
      <c r="BE187" s="14">
        <v>-7.4583113400953135E-3</v>
      </c>
      <c r="BF187" s="14">
        <v>-0.35814902184383007</v>
      </c>
      <c r="BK187" s="16">
        <v>0.6415512011791632</v>
      </c>
      <c r="BL187" s="16">
        <v>-0.12745183194721321</v>
      </c>
      <c r="BN187" s="17">
        <f t="shared" si="8"/>
        <v>0</v>
      </c>
    </row>
    <row r="188" spans="1:66" x14ac:dyDescent="0.2">
      <c r="A188">
        <v>1.165091612477382</v>
      </c>
      <c r="B188">
        <v>-0.1004089595133167</v>
      </c>
      <c r="C188">
        <v>1.0747430990125399</v>
      </c>
      <c r="D188">
        <v>1.0853440732153661</v>
      </c>
      <c r="E188">
        <v>-0.37760421512157882</v>
      </c>
      <c r="F188">
        <v>-0.1201347538798921</v>
      </c>
      <c r="G188">
        <v>0.1990909584785148</v>
      </c>
      <c r="H188">
        <v>1.0062211780747661</v>
      </c>
      <c r="I188">
        <v>0.9053931718120507</v>
      </c>
      <c r="J188">
        <v>0.59730802963372376</v>
      </c>
      <c r="M188" s="13">
        <v>1</v>
      </c>
      <c r="O188" s="10">
        <f t="shared" si="6"/>
        <v>0</v>
      </c>
      <c r="P188" s="10">
        <f t="shared" si="7"/>
        <v>1</v>
      </c>
      <c r="R188" s="14">
        <v>0.28307173051988999</v>
      </c>
      <c r="S188" s="14">
        <v>-0.87652304813057513</v>
      </c>
      <c r="T188" s="14">
        <v>-0.25276916379848635</v>
      </c>
      <c r="U188" s="14">
        <v>-1.2043695270464987</v>
      </c>
      <c r="V188" s="14">
        <v>-0.41294201733419589</v>
      </c>
      <c r="W188" s="14">
        <v>-0.11518208356505838</v>
      </c>
      <c r="X188" s="14">
        <v>0.98183189186766173</v>
      </c>
      <c r="Y188" s="14">
        <v>0.82729989750060162</v>
      </c>
      <c r="Z188" s="14">
        <v>-0.20421124672338797</v>
      </c>
      <c r="AA188" s="14">
        <v>-0.15490278122613466</v>
      </c>
      <c r="AB188" s="14">
        <v>0.59167304230718576</v>
      </c>
      <c r="AC188" s="14">
        <v>0.46000173839170921</v>
      </c>
      <c r="AD188" s="14">
        <v>0.98191290360172334</v>
      </c>
      <c r="AE188" s="14">
        <v>-0.28845156194081739</v>
      </c>
      <c r="AF188" s="14">
        <v>0.1866376369778438</v>
      </c>
      <c r="AG188" s="14">
        <v>-0.50570546326731036</v>
      </c>
      <c r="AH188" s="14">
        <v>-0.37827441742692125</v>
      </c>
      <c r="AI188" s="14">
        <v>7.261104769139981E-2</v>
      </c>
      <c r="AJ188" s="14">
        <v>1.4864075017396536</v>
      </c>
      <c r="AK188" s="14">
        <v>-1.0938119644166062</v>
      </c>
      <c r="AM188" s="14">
        <v>0.53702606101667871</v>
      </c>
      <c r="AN188" s="14">
        <v>-0.69877152106170193</v>
      </c>
      <c r="AO188" s="14">
        <v>-0.28607673809190393</v>
      </c>
      <c r="AP188" s="14">
        <v>-0.2102941231792459</v>
      </c>
      <c r="AQ188" s="14">
        <v>-0.63699662009359237</v>
      </c>
      <c r="AR188" s="14">
        <v>-0.50339414725427867</v>
      </c>
      <c r="AS188" s="14">
        <v>0.76897190677186156</v>
      </c>
      <c r="AT188" s="14">
        <v>0.69929177981342761</v>
      </c>
      <c r="AU188" s="14">
        <v>-0.11631862323848539</v>
      </c>
      <c r="AV188" s="14">
        <v>-0.50812401596670798</v>
      </c>
      <c r="AW188" s="14">
        <v>-1.2399702743381244E-2</v>
      </c>
      <c r="AX188" s="14">
        <v>7.6491386539013773E-2</v>
      </c>
      <c r="AY188" s="14">
        <v>0.69663917358915739</v>
      </c>
      <c r="AZ188" s="14">
        <v>-0.62414778178752928</v>
      </c>
      <c r="BA188" s="14">
        <v>0.3945967391297982</v>
      </c>
      <c r="BB188" s="14">
        <v>-0.40395636089057635</v>
      </c>
      <c r="BC188" s="14">
        <v>0.48907279826465128</v>
      </c>
      <c r="BD188" s="14">
        <v>0.67230924087745858</v>
      </c>
      <c r="BE188" s="14">
        <v>0.74835555747129978</v>
      </c>
      <c r="BF188" s="14">
        <v>-0.71336253158135243</v>
      </c>
      <c r="BK188" s="16">
        <v>0.88726721881525261</v>
      </c>
      <c r="BL188" s="16">
        <v>-0.17902855888494446</v>
      </c>
      <c r="BN188" s="17">
        <f t="shared" si="8"/>
        <v>0</v>
      </c>
    </row>
    <row r="189" spans="1:66" x14ac:dyDescent="0.2">
      <c r="A189">
        <v>-0.72208874848350757</v>
      </c>
      <c r="B189">
        <v>-0.44124003746628032</v>
      </c>
      <c r="C189">
        <v>-0.74801083517375488</v>
      </c>
      <c r="D189">
        <v>-0.70132986676805609</v>
      </c>
      <c r="E189">
        <v>-0.81006676303515701</v>
      </c>
      <c r="F189">
        <v>-0.66068336257052718</v>
      </c>
      <c r="G189">
        <v>-0.45907891413793223</v>
      </c>
      <c r="H189">
        <v>-0.71223794017319642</v>
      </c>
      <c r="I189">
        <v>-0.66833378026266943</v>
      </c>
      <c r="J189">
        <v>-0.10952880403154509</v>
      </c>
      <c r="M189" s="13">
        <v>0</v>
      </c>
      <c r="O189" s="10">
        <f t="shared" si="6"/>
        <v>1</v>
      </c>
      <c r="P189" s="10">
        <f t="shared" si="7"/>
        <v>0</v>
      </c>
      <c r="R189" s="14">
        <v>-0.19284027454166316</v>
      </c>
      <c r="S189" s="14">
        <v>-1.0954566161519868</v>
      </c>
      <c r="T189" s="14">
        <v>-0.51742546252402155</v>
      </c>
      <c r="U189" s="14">
        <v>-0.49424402483595942</v>
      </c>
      <c r="V189" s="14">
        <v>-0.51125134718693011</v>
      </c>
      <c r="W189" s="14">
        <v>0.22992322313373645</v>
      </c>
      <c r="X189" s="14">
        <v>1.0595244688315357</v>
      </c>
      <c r="Y189" s="14">
        <v>0.95224492158674279</v>
      </c>
      <c r="Z189" s="14">
        <v>-0.46251793297092691</v>
      </c>
      <c r="AA189" s="14">
        <v>-0.16130331911142037</v>
      </c>
      <c r="AB189" s="14">
        <v>0.11063656715689235</v>
      </c>
      <c r="AC189" s="14">
        <v>-0.19105917172675002</v>
      </c>
      <c r="AD189" s="14">
        <v>1.0576185003628344</v>
      </c>
      <c r="AE189" s="14">
        <v>-0.65013774940598124</v>
      </c>
      <c r="AF189" s="14">
        <v>7.7513982598054643E-2</v>
      </c>
      <c r="AG189" s="14">
        <v>-0.27984560311244766</v>
      </c>
      <c r="AH189" s="14">
        <v>-0.14055294484359038</v>
      </c>
      <c r="AI189" s="14">
        <v>0.28793212291323578</v>
      </c>
      <c r="AJ189" s="14">
        <v>1.519539697221397</v>
      </c>
      <c r="AK189" s="14">
        <v>-0.99218241654877981</v>
      </c>
      <c r="AM189" s="14">
        <v>0.23642650301709195</v>
      </c>
      <c r="AN189" s="14">
        <v>-0.80996694276619807</v>
      </c>
      <c r="AO189" s="14">
        <v>-0.42512889930483044</v>
      </c>
      <c r="AP189" s="14">
        <v>-0.29878238634390591</v>
      </c>
      <c r="AQ189" s="14">
        <v>-0.75339986165991302</v>
      </c>
      <c r="AR189" s="14">
        <v>-0.48946189464464179</v>
      </c>
      <c r="AS189" s="14">
        <v>0.84944369070247294</v>
      </c>
      <c r="AT189" s="14">
        <v>0.8122527849033957</v>
      </c>
      <c r="AU189" s="14">
        <v>-0.16349317870479549</v>
      </c>
      <c r="AV189" s="14">
        <v>-0.69965329986724212</v>
      </c>
      <c r="AW189" s="14">
        <v>1.5436865238383983E-3</v>
      </c>
      <c r="AX189" s="14">
        <v>-0.14855040202341627</v>
      </c>
      <c r="AY189" s="14">
        <v>0.7635431976975674</v>
      </c>
      <c r="AZ189" s="14">
        <v>-0.78795054306847068</v>
      </c>
      <c r="BA189" s="14">
        <v>0.34774045344433058</v>
      </c>
      <c r="BB189" s="14">
        <v>-0.4519430935982488</v>
      </c>
      <c r="BC189" s="14">
        <v>0.58747929918962716</v>
      </c>
      <c r="BD189" s="14">
        <v>0.7528404524242347</v>
      </c>
      <c r="BE189" s="14">
        <v>0.81933317348679269</v>
      </c>
      <c r="BF189" s="14">
        <v>-0.62828922508492424</v>
      </c>
      <c r="BK189" s="16">
        <v>-0.68385563295336838</v>
      </c>
      <c r="BL189" s="16">
        <v>0.52725418850089834</v>
      </c>
      <c r="BN189" s="17">
        <f t="shared" si="8"/>
        <v>1</v>
      </c>
    </row>
    <row r="190" spans="1:66" x14ac:dyDescent="0.2">
      <c r="A190">
        <v>-0.69349510665076686</v>
      </c>
      <c r="B190">
        <v>-0.39219959459535031</v>
      </c>
      <c r="C190">
        <v>-0.72352484197771894</v>
      </c>
      <c r="D190">
        <v>-0.67657491931541003</v>
      </c>
      <c r="E190">
        <v>-0.91767132480651992</v>
      </c>
      <c r="F190">
        <v>-0.84119684290391361</v>
      </c>
      <c r="G190">
        <v>-0.89002043073262349</v>
      </c>
      <c r="H190">
        <v>-0.80333697776706425</v>
      </c>
      <c r="I190">
        <v>-0.72501274758556311</v>
      </c>
      <c r="J190">
        <v>-1.110481642213464</v>
      </c>
      <c r="M190" s="13">
        <v>0</v>
      </c>
      <c r="O190" s="10">
        <f t="shared" si="6"/>
        <v>1</v>
      </c>
      <c r="P190" s="10">
        <f t="shared" si="7"/>
        <v>0</v>
      </c>
      <c r="R190" s="14">
        <v>5.3618078658464574E-2</v>
      </c>
      <c r="S190" s="14">
        <v>1.0336786732796619</v>
      </c>
      <c r="T190" s="14">
        <v>0.15712100976057675</v>
      </c>
      <c r="U190" s="14">
        <v>-1.2317641477348196</v>
      </c>
      <c r="V190" s="14">
        <v>1.4814927048959716</v>
      </c>
      <c r="W190" s="14">
        <v>0.29777542411247021</v>
      </c>
      <c r="X190" s="14">
        <v>-1.4657238053405535</v>
      </c>
      <c r="Y190" s="14">
        <v>-0.91010879482084639</v>
      </c>
      <c r="Z190" s="14">
        <v>1.3340243810923023</v>
      </c>
      <c r="AA190" s="14">
        <v>1.1768513601323192</v>
      </c>
      <c r="AB190" s="14">
        <v>0.73336032052009459</v>
      </c>
      <c r="AC190" s="14">
        <v>1.0083523927177804</v>
      </c>
      <c r="AD190" s="14">
        <v>-0.79477673611279909</v>
      </c>
      <c r="AE190" s="14">
        <v>1.6888141043803251</v>
      </c>
      <c r="AF190" s="14">
        <v>-0.57068453200613956</v>
      </c>
      <c r="AG190" s="14">
        <v>-0.11830325537115438</v>
      </c>
      <c r="AH190" s="14">
        <v>-1.2836676995396705</v>
      </c>
      <c r="AI190" s="14">
        <v>-1.5893468099681891</v>
      </c>
      <c r="AJ190" s="14">
        <v>-0.52710018876407183</v>
      </c>
      <c r="AK190" s="14">
        <v>8.2765031040109127E-2</v>
      </c>
      <c r="AM190" s="14">
        <v>-0.39238528609928441</v>
      </c>
      <c r="AN190" s="14">
        <v>-0.24586946511975705</v>
      </c>
      <c r="AO190" s="14">
        <v>-0.39194046590586185</v>
      </c>
      <c r="AP190" s="14">
        <v>-0.25052309341416112</v>
      </c>
      <c r="AQ190" s="14">
        <v>-0.33427635144234014</v>
      </c>
      <c r="AR190" s="14">
        <v>0.41577878457121098</v>
      </c>
      <c r="AS190" s="14">
        <v>0.43632390827157741</v>
      </c>
      <c r="AT190" s="14">
        <v>-5.6995882114613705E-2</v>
      </c>
      <c r="AU190" s="14">
        <v>-0.50818463232353961</v>
      </c>
      <c r="AV190" s="14">
        <v>-0.21637744630336314</v>
      </c>
      <c r="AW190" s="14">
        <v>0.32218929100270571</v>
      </c>
      <c r="AX190" s="14">
        <v>-0.45688747585130562</v>
      </c>
      <c r="AY190" s="14">
        <v>0.29722207118979016</v>
      </c>
      <c r="AZ190" s="14">
        <v>-0.42236269060044551</v>
      </c>
      <c r="BA190" s="14">
        <v>-0.25865692374230687</v>
      </c>
      <c r="BB190" s="14">
        <v>5.6326259724062612E-2</v>
      </c>
      <c r="BC190" s="14">
        <v>6.816023753110894E-3</v>
      </c>
      <c r="BD190" s="14">
        <v>0.23722127010055982</v>
      </c>
      <c r="BE190" s="14">
        <v>0.3196094923557451</v>
      </c>
      <c r="BF190" s="14">
        <v>0.39056063526281887</v>
      </c>
      <c r="BK190" s="16">
        <v>-0.81629262089088028</v>
      </c>
      <c r="BL190" s="16">
        <v>0.21831352320616387</v>
      </c>
      <c r="BN190" s="17">
        <f t="shared" si="8"/>
        <v>1</v>
      </c>
    </row>
    <row r="191" spans="1:66" x14ac:dyDescent="0.2">
      <c r="A191">
        <v>-0.553386261670337</v>
      </c>
      <c r="B191">
        <v>-0.75755089398377973</v>
      </c>
      <c r="C191">
        <v>-0.57577884913383881</v>
      </c>
      <c r="D191">
        <v>-0.5764037366000514</v>
      </c>
      <c r="E191">
        <v>-0.60340653386459464</v>
      </c>
      <c r="F191">
        <v>-0.65634409621635914</v>
      </c>
      <c r="G191">
        <v>-0.86420483572902695</v>
      </c>
      <c r="H191">
        <v>-0.64184322930520765</v>
      </c>
      <c r="I191">
        <v>-0.62369909349589059</v>
      </c>
      <c r="J191">
        <v>-1.0342570768881201</v>
      </c>
      <c r="M191" s="13">
        <v>0</v>
      </c>
      <c r="O191" s="10">
        <f t="shared" si="6"/>
        <v>1</v>
      </c>
      <c r="P191" s="10">
        <f t="shared" si="7"/>
        <v>0</v>
      </c>
      <c r="R191" s="14">
        <v>0.34050372474225848</v>
      </c>
      <c r="S191" s="14">
        <v>-0.93640068114969943</v>
      </c>
      <c r="T191" s="14">
        <v>0.57500049799296404</v>
      </c>
      <c r="U191" s="14">
        <v>-0.12647742536975848</v>
      </c>
      <c r="V191" s="14">
        <v>1.1440049453520216</v>
      </c>
      <c r="W191" s="14">
        <v>-0.21925758946330604</v>
      </c>
      <c r="X191" s="14">
        <v>7.5004054772124296E-2</v>
      </c>
      <c r="Y191" s="14">
        <v>1.2397683001026583</v>
      </c>
      <c r="Z191" s="14">
        <v>0.50236396996993848</v>
      </c>
      <c r="AA191" s="14">
        <v>1.1224510085785702</v>
      </c>
      <c r="AB191" s="14">
        <v>-1.2054648491992968</v>
      </c>
      <c r="AC191" s="14">
        <v>0.94390371442223231</v>
      </c>
      <c r="AD191" s="14">
        <v>0.78181677198970068</v>
      </c>
      <c r="AE191" s="14">
        <v>0.16908622632951009</v>
      </c>
      <c r="AF191" s="14">
        <v>0.82717376042074919</v>
      </c>
      <c r="AG191" s="14">
        <v>0.96120024592088904</v>
      </c>
      <c r="AH191" s="14">
        <v>-0.41061841030376939</v>
      </c>
      <c r="AI191" s="14">
        <v>0.21284955095569646</v>
      </c>
      <c r="AJ191" s="14">
        <v>0.37793797328238454</v>
      </c>
      <c r="AK191" s="14">
        <v>-1.1002947053490852</v>
      </c>
      <c r="AM191" s="14">
        <v>0.81170110874646006</v>
      </c>
      <c r="AN191" s="14">
        <v>0.51362847878411488</v>
      </c>
      <c r="AO191" s="14">
        <v>0.42322352858384188</v>
      </c>
      <c r="AP191" s="14">
        <v>0.12733484807209944</v>
      </c>
      <c r="AQ191" s="14">
        <v>0.65489153610118112</v>
      </c>
      <c r="AR191" s="14">
        <v>-0.68885505661755275</v>
      </c>
      <c r="AS191" s="14">
        <v>-0.72783115316296187</v>
      </c>
      <c r="AT191" s="14">
        <v>-0.16268834705960875</v>
      </c>
      <c r="AU191" s="14">
        <v>0.85071817281843576</v>
      </c>
      <c r="AV191" s="14">
        <v>0.51451053528826096</v>
      </c>
      <c r="AW191" s="14">
        <v>-0.19569478200253759</v>
      </c>
      <c r="AX191" s="14">
        <v>0.77518226556785319</v>
      </c>
      <c r="AY191" s="14">
        <v>-0.41497729256292493</v>
      </c>
      <c r="AZ191" s="14">
        <v>0.76851253291158594</v>
      </c>
      <c r="BA191" s="14">
        <v>0.42958885177403083</v>
      </c>
      <c r="BB191" s="14">
        <v>-0.11948669174693913</v>
      </c>
      <c r="BC191" s="14">
        <v>-0.21933588884223074</v>
      </c>
      <c r="BD191" s="14">
        <v>-0.35530219809062552</v>
      </c>
      <c r="BE191" s="14">
        <v>-0.48779975672503251</v>
      </c>
      <c r="BF191" s="14">
        <v>-0.56624197203514848</v>
      </c>
      <c r="BK191" s="16">
        <v>0.55944509052839242</v>
      </c>
      <c r="BL191" s="16">
        <v>-0.397485625984346</v>
      </c>
      <c r="BN191" s="17">
        <f t="shared" si="8"/>
        <v>0</v>
      </c>
    </row>
    <row r="192" spans="1:66" x14ac:dyDescent="0.2">
      <c r="A192">
        <v>-4.3883384817143909E-3</v>
      </c>
      <c r="B192">
        <v>1.0128090936567979</v>
      </c>
      <c r="C192">
        <v>6.9157310639727645E-2</v>
      </c>
      <c r="D192">
        <v>-0.15556962990506801</v>
      </c>
      <c r="E192">
        <v>2.533108473070282</v>
      </c>
      <c r="F192">
        <v>1.3231052355163651</v>
      </c>
      <c r="G192">
        <v>0.40459331870516491</v>
      </c>
      <c r="H192">
        <v>-0.14700982055669781</v>
      </c>
      <c r="I192">
        <v>-0.24164742938501041</v>
      </c>
      <c r="J192">
        <v>0.89831269820728121</v>
      </c>
      <c r="M192" s="13">
        <v>1</v>
      </c>
      <c r="O192" s="10">
        <f t="shared" si="6"/>
        <v>0</v>
      </c>
      <c r="P192" s="10">
        <f t="shared" si="7"/>
        <v>1</v>
      </c>
      <c r="R192" s="14">
        <v>0.71021655375943837</v>
      </c>
      <c r="S192" s="14">
        <v>-1.1241728264936668</v>
      </c>
      <c r="T192" s="14">
        <v>-0.6759741252104815</v>
      </c>
      <c r="U192" s="14">
        <v>-0.85194923292585856</v>
      </c>
      <c r="V192" s="14">
        <v>-0.60475475798928824</v>
      </c>
      <c r="W192" s="14">
        <v>-0.42245559548806061</v>
      </c>
      <c r="X192" s="14">
        <v>1.0644875564434408</v>
      </c>
      <c r="Y192" s="14">
        <v>1.2452464859525794</v>
      </c>
      <c r="Z192" s="14">
        <v>0.22313447653204616</v>
      </c>
      <c r="AA192" s="14">
        <v>-0.2638201729678834</v>
      </c>
      <c r="AB192" s="14">
        <v>0.51291047437252335</v>
      </c>
      <c r="AC192" s="14">
        <v>0.32787775376963429</v>
      </c>
      <c r="AD192" s="14">
        <v>1.1312261820073273</v>
      </c>
      <c r="AE192" s="14">
        <v>-0.63361481934212005</v>
      </c>
      <c r="AF192" s="14">
        <v>0.37360723935903195</v>
      </c>
      <c r="AG192" s="14">
        <v>-0.58932383397276455</v>
      </c>
      <c r="AH192" s="14">
        <v>5.0190955459194497E-2</v>
      </c>
      <c r="AI192" s="14">
        <v>0.33434176696099571</v>
      </c>
      <c r="AJ192" s="14">
        <v>1.5656772456018309</v>
      </c>
      <c r="AK192" s="14">
        <v>-1.4834533658042546</v>
      </c>
      <c r="AM192" s="14">
        <v>0.25360321622674115</v>
      </c>
      <c r="AN192" s="14">
        <v>0.90616963253523342</v>
      </c>
      <c r="AO192" s="14">
        <v>0.64497381302551871</v>
      </c>
      <c r="AP192" s="14">
        <v>-0.3680230964488459</v>
      </c>
      <c r="AQ192" s="14">
        <v>0.83727140282482937</v>
      </c>
      <c r="AR192" s="14">
        <v>-0.50469444897497351</v>
      </c>
      <c r="AS192" s="14">
        <v>-0.9553711462246991</v>
      </c>
      <c r="AT192" s="14">
        <v>-0.5361212076771954</v>
      </c>
      <c r="AU192" s="14">
        <v>0.91705765987632226</v>
      </c>
      <c r="AV192" s="14">
        <v>0.52440570912193796</v>
      </c>
      <c r="AW192" s="14">
        <v>0.33546315651771835</v>
      </c>
      <c r="AX192" s="14">
        <v>0.849786757850997</v>
      </c>
      <c r="AY192" s="14">
        <v>-0.87581838505910081</v>
      </c>
      <c r="AZ192" s="14">
        <v>0.94387630740440154</v>
      </c>
      <c r="BA192" s="14">
        <v>0.13650036526591031</v>
      </c>
      <c r="BB192" s="14">
        <v>-0.34581121472878401</v>
      </c>
      <c r="BC192" s="14">
        <v>-0.56201269255449438</v>
      </c>
      <c r="BD192" s="14">
        <v>-0.88384648833499624</v>
      </c>
      <c r="BE192" s="14">
        <v>-0.83387871834142679</v>
      </c>
      <c r="BF192" s="14">
        <v>0.25233610970798154</v>
      </c>
      <c r="BK192" s="16">
        <v>0.5083441613425097</v>
      </c>
      <c r="BL192" s="16">
        <v>-0.44469733483441354</v>
      </c>
      <c r="BN192" s="17">
        <f t="shared" si="8"/>
        <v>0</v>
      </c>
    </row>
    <row r="193" spans="1:66" x14ac:dyDescent="0.2">
      <c r="A193">
        <v>-0.41899614505645583</v>
      </c>
      <c r="B193">
        <v>0.593513307110345</v>
      </c>
      <c r="C193">
        <v>-0.44338847914171048</v>
      </c>
      <c r="D193">
        <v>-0.45061406175346608</v>
      </c>
      <c r="E193">
        <v>-0.7245778193135215</v>
      </c>
      <c r="F193">
        <v>-0.74709675253781449</v>
      </c>
      <c r="G193">
        <v>-0.55492889558692948</v>
      </c>
      <c r="H193">
        <v>-0.55902592240169124</v>
      </c>
      <c r="I193">
        <v>-0.56560315198992461</v>
      </c>
      <c r="J193">
        <v>-1.040546726679209</v>
      </c>
      <c r="M193" s="13">
        <v>0</v>
      </c>
      <c r="O193" s="10">
        <f t="shared" si="6"/>
        <v>1</v>
      </c>
      <c r="P193" s="10">
        <f t="shared" si="7"/>
        <v>0</v>
      </c>
      <c r="R193" s="14">
        <v>0.13548338209566199</v>
      </c>
      <c r="S193" s="14">
        <v>-1.1324506662441833</v>
      </c>
      <c r="T193" s="14">
        <v>-0.77573691071475415</v>
      </c>
      <c r="U193" s="14">
        <v>-0.97995583337546055</v>
      </c>
      <c r="V193" s="14">
        <v>-0.64815387319221951</v>
      </c>
      <c r="W193" s="14">
        <v>-0.42654262672278881</v>
      </c>
      <c r="X193" s="14">
        <v>1.0654288027519152</v>
      </c>
      <c r="Y193" s="14">
        <v>1.3180525081849432</v>
      </c>
      <c r="Z193" s="14">
        <v>0.27881841843630517</v>
      </c>
      <c r="AA193" s="14">
        <v>-0.29603906010154546</v>
      </c>
      <c r="AB193" s="14">
        <v>0.58782625392996413</v>
      </c>
      <c r="AC193" s="14">
        <v>-8.1073083600862295E-2</v>
      </c>
      <c r="AD193" s="14">
        <v>1.1366819108599615</v>
      </c>
      <c r="AE193" s="14">
        <v>-0.6605239348292784</v>
      </c>
      <c r="AF193" s="14">
        <v>0.12788474982786696</v>
      </c>
      <c r="AG193" s="14">
        <v>-0.61126671810795175</v>
      </c>
      <c r="AH193" s="14">
        <v>0.13882243663306704</v>
      </c>
      <c r="AI193" s="14">
        <v>0.33987769253372635</v>
      </c>
      <c r="AJ193" s="14">
        <v>1.5675168703786688</v>
      </c>
      <c r="AK193" s="14">
        <v>-1.4154285315027559</v>
      </c>
      <c r="AM193" s="14">
        <v>-0.4881472849720504</v>
      </c>
      <c r="AN193" s="14">
        <v>-0.32829958402656012</v>
      </c>
      <c r="AO193" s="14">
        <v>-0.26962179814520265</v>
      </c>
      <c r="AP193" s="14">
        <v>0.14939562290865699</v>
      </c>
      <c r="AQ193" s="14">
        <v>-0.23362248398032021</v>
      </c>
      <c r="AR193" s="14">
        <v>0.49090181167613134</v>
      </c>
      <c r="AS193" s="14">
        <v>0.45163106812391024</v>
      </c>
      <c r="AT193" s="14">
        <v>7.8362370148850197E-3</v>
      </c>
      <c r="AU193" s="14">
        <v>-0.57253823932378778</v>
      </c>
      <c r="AV193" s="14">
        <v>-0.11561237783261698</v>
      </c>
      <c r="AW193" s="14">
        <v>-6.9421435072498636E-2</v>
      </c>
      <c r="AX193" s="14">
        <v>-0.52696276796696961</v>
      </c>
      <c r="AY193" s="14">
        <v>0.27490398166263241</v>
      </c>
      <c r="AZ193" s="14">
        <v>-0.49688893141979729</v>
      </c>
      <c r="BA193" s="14">
        <v>-0.26227704903321708</v>
      </c>
      <c r="BB193" s="14">
        <v>0.30424487380614396</v>
      </c>
      <c r="BC193" s="14">
        <v>8.5061871173391743E-2</v>
      </c>
      <c r="BD193" s="14">
        <v>0.29193447756490765</v>
      </c>
      <c r="BE193" s="14">
        <v>0.20734428274854635</v>
      </c>
      <c r="BF193" s="14">
        <v>0.36344431403213329</v>
      </c>
      <c r="BK193" s="16">
        <v>0.44919542052857675</v>
      </c>
      <c r="BL193" s="16">
        <v>-0.38002034730533313</v>
      </c>
      <c r="BN193" s="17">
        <f t="shared" si="8"/>
        <v>0</v>
      </c>
    </row>
    <row r="194" spans="1:66" x14ac:dyDescent="0.2">
      <c r="A194">
        <v>-1.2911022209550489</v>
      </c>
      <c r="B194">
        <v>-0.18868175668099069</v>
      </c>
      <c r="C194">
        <v>-1.3269593183681729</v>
      </c>
      <c r="D194">
        <v>-1.081865221795941</v>
      </c>
      <c r="E194">
        <v>-1.515722239798309</v>
      </c>
      <c r="F194">
        <v>-1.1329195209426901</v>
      </c>
      <c r="G194">
        <v>-1.2869671539067371</v>
      </c>
      <c r="H194">
        <v>-1.3420635591744381</v>
      </c>
      <c r="I194">
        <v>-1.0539278798312299</v>
      </c>
      <c r="J194">
        <v>-1.755320499366567</v>
      </c>
      <c r="M194" s="13">
        <v>0</v>
      </c>
      <c r="O194" s="10">
        <f t="shared" si="6"/>
        <v>1</v>
      </c>
      <c r="P194" s="10">
        <f t="shared" si="7"/>
        <v>0</v>
      </c>
      <c r="R194" s="14">
        <v>-0.58008152627967791</v>
      </c>
      <c r="S194" s="14">
        <v>-0.69835169004195241</v>
      </c>
      <c r="T194" s="14">
        <v>-0.7138611942186156</v>
      </c>
      <c r="U194" s="14">
        <v>-0.95757943611203877</v>
      </c>
      <c r="V194" s="14">
        <v>-0.37397871655199455</v>
      </c>
      <c r="W194" s="14">
        <v>0.91298081591253011</v>
      </c>
      <c r="X194" s="14">
        <v>1.0444711370907163</v>
      </c>
      <c r="Y194" s="14">
        <v>2.169535271995815E-2</v>
      </c>
      <c r="Z194" s="14">
        <v>-0.84389729401421831</v>
      </c>
      <c r="AA194" s="14">
        <v>1.7343135871118465E-2</v>
      </c>
      <c r="AB194" s="14">
        <v>0.71266555202904303</v>
      </c>
      <c r="AC194" s="14">
        <v>-0.34269407830159182</v>
      </c>
      <c r="AD194" s="14">
        <v>0.85244998682467932</v>
      </c>
      <c r="AE194" s="14">
        <v>-0.62692475151003357</v>
      </c>
      <c r="AF194" s="14">
        <v>-0.16323523044160104</v>
      </c>
      <c r="AG194" s="14">
        <v>0.10728371838401785</v>
      </c>
      <c r="AH194" s="14">
        <v>-0.60270771076048435</v>
      </c>
      <c r="AI194" s="14">
        <v>-9.0842476000640104E-2</v>
      </c>
      <c r="AJ194" s="14">
        <v>1.3209160138562601</v>
      </c>
      <c r="AK194" s="14">
        <v>-0.1073108979795826</v>
      </c>
      <c r="AM194" s="14">
        <v>0.61027496836067341</v>
      </c>
      <c r="AN194" s="14">
        <v>0.77910695123327622</v>
      </c>
      <c r="AO194" s="14">
        <v>0.73624842886243336</v>
      </c>
      <c r="AP194" s="14">
        <v>0.87445772164791225</v>
      </c>
      <c r="AQ194" s="14">
        <v>0.863114530975716</v>
      </c>
      <c r="AR194" s="14">
        <v>-0.70961100949869138</v>
      </c>
      <c r="AS194" s="14">
        <v>-0.91028237337096607</v>
      </c>
      <c r="AT194" s="14">
        <v>-0.1690871984084365</v>
      </c>
      <c r="AU194" s="14">
        <v>0.90112168360433986</v>
      </c>
      <c r="AV194" s="14">
        <v>0.79775202223125841</v>
      </c>
      <c r="AW194" s="14">
        <v>-0.82315259370791904</v>
      </c>
      <c r="AX194" s="14">
        <v>0.68192163265146299</v>
      </c>
      <c r="AY194" s="14">
        <v>-0.79706176704180254</v>
      </c>
      <c r="AZ194" s="14">
        <v>0.88625183403333008</v>
      </c>
      <c r="BA194" s="14">
        <v>0.58961949664447921</v>
      </c>
      <c r="BB194" s="14">
        <v>0.64385548602116049</v>
      </c>
      <c r="BC194" s="14">
        <v>-0.20778146511158715</v>
      </c>
      <c r="BD194" s="14">
        <v>-0.74795603855128734</v>
      </c>
      <c r="BE194" s="14">
        <v>-0.89151992284940917</v>
      </c>
      <c r="BF194" s="14">
        <v>-0.37249447727856655</v>
      </c>
      <c r="BK194" s="16">
        <v>0.30906610044799399</v>
      </c>
      <c r="BL194" s="16">
        <v>-0.57877966867966857</v>
      </c>
      <c r="BN194" s="17">
        <f t="shared" si="8"/>
        <v>0</v>
      </c>
    </row>
    <row r="195" spans="1:66" x14ac:dyDescent="0.2">
      <c r="A195">
        <v>-0.54194880493724096</v>
      </c>
      <c r="B195">
        <v>1.92986537534319</v>
      </c>
      <c r="C195">
        <v>-0.47949494368501783</v>
      </c>
      <c r="D195">
        <v>-0.53696852961153385</v>
      </c>
      <c r="E195">
        <v>0.56314585687607144</v>
      </c>
      <c r="F195">
        <v>0.21225304884937229</v>
      </c>
      <c r="G195">
        <v>-0.1209201795858703</v>
      </c>
      <c r="H195">
        <v>-0.16564371460998889</v>
      </c>
      <c r="I195">
        <v>-0.2301345141475476</v>
      </c>
      <c r="J195">
        <v>0.42958403520467708</v>
      </c>
      <c r="M195" s="13">
        <v>1</v>
      </c>
      <c r="O195" s="10">
        <f t="shared" ref="O195:O258" si="9">IF(M195=0,1,0)</f>
        <v>0</v>
      </c>
      <c r="P195" s="10">
        <f t="shared" ref="P195:P258" si="10">IF(M195=1,1,0)</f>
        <v>1</v>
      </c>
      <c r="R195" s="14">
        <v>0.5211008342958211</v>
      </c>
      <c r="S195" s="14">
        <v>1.0060986964070167</v>
      </c>
      <c r="T195" s="14">
        <v>0.38754739279153039</v>
      </c>
      <c r="U195" s="14">
        <v>-0.33328209877936465</v>
      </c>
      <c r="V195" s="14">
        <v>1.4785809576828268</v>
      </c>
      <c r="W195" s="14">
        <v>-0.9794374267845487</v>
      </c>
      <c r="X195" s="14">
        <v>-1.4656735379258035</v>
      </c>
      <c r="Y195" s="14">
        <v>4.1381226813857419E-2</v>
      </c>
      <c r="Z195" s="14">
        <v>1.6855205536445779</v>
      </c>
      <c r="AA195" s="14">
        <v>1.195597408368446</v>
      </c>
      <c r="AB195" s="14">
        <v>-0.26462768610877541</v>
      </c>
      <c r="AC195" s="14">
        <v>1.0634004690840959</v>
      </c>
      <c r="AD195" s="14">
        <v>-0.71141259091208142</v>
      </c>
      <c r="AE195" s="14">
        <v>1.6892640446284575</v>
      </c>
      <c r="AF195" s="14">
        <v>0.19433399297685983</v>
      </c>
      <c r="AG195" s="14">
        <v>-0.21605613216494934</v>
      </c>
      <c r="AH195" s="14">
        <v>-0.90688164061984344</v>
      </c>
      <c r="AI195" s="14">
        <v>-1.4082976671917655</v>
      </c>
      <c r="AJ195" s="14">
        <v>-0.44771801699518882</v>
      </c>
      <c r="AK195" s="14">
        <v>-1.3333476007356695</v>
      </c>
      <c r="AM195" s="14">
        <v>9.9352361736031094E-3</v>
      </c>
      <c r="AN195" s="14">
        <v>-0.5440830240283645</v>
      </c>
      <c r="AO195" s="14">
        <v>-4.0118309223632978E-2</v>
      </c>
      <c r="AP195" s="14">
        <v>0.34471817986602643</v>
      </c>
      <c r="AQ195" s="14">
        <v>0.16797199264537199</v>
      </c>
      <c r="AR195" s="14">
        <v>-0.19851124315549423</v>
      </c>
      <c r="AS195" s="14">
        <v>0.46228710230586995</v>
      </c>
      <c r="AT195" s="14">
        <v>0.68669579369299472</v>
      </c>
      <c r="AU195" s="14">
        <v>0.30126303875325267</v>
      </c>
      <c r="AV195" s="14">
        <v>-8.0489631318955368E-2</v>
      </c>
      <c r="AW195" s="14">
        <v>-0.76756308469566104</v>
      </c>
      <c r="AX195" s="14">
        <v>3.850997896173753E-2</v>
      </c>
      <c r="AY195" s="14">
        <v>0.43510470607796004</v>
      </c>
      <c r="AZ195" s="14">
        <v>-0.44107797109615149</v>
      </c>
      <c r="BA195" s="14">
        <v>0.1626838032755786</v>
      </c>
      <c r="BB195" s="14">
        <v>0.33375581815105942</v>
      </c>
      <c r="BC195" s="14">
        <v>0.26195811071030067</v>
      </c>
      <c r="BD195" s="14">
        <v>0.55898500741525203</v>
      </c>
      <c r="BE195" s="14">
        <v>0.33368771323835478</v>
      </c>
      <c r="BF195" s="14">
        <v>-0.29668063094077701</v>
      </c>
      <c r="BK195" s="16">
        <v>-0.53896435906452456</v>
      </c>
      <c r="BL195" s="16">
        <v>0.24627563269699412</v>
      </c>
      <c r="BN195" s="17">
        <f t="shared" si="8"/>
        <v>1</v>
      </c>
    </row>
    <row r="196" spans="1:66" x14ac:dyDescent="0.2">
      <c r="A196">
        <v>0.17861096924782621</v>
      </c>
      <c r="B196">
        <v>1.034877292948716</v>
      </c>
      <c r="C196">
        <v>0.31941246143989532</v>
      </c>
      <c r="D196">
        <v>2.145702920397087E-2</v>
      </c>
      <c r="E196">
        <v>1.72839732890793</v>
      </c>
      <c r="F196">
        <v>0.97100476563530957</v>
      </c>
      <c r="G196">
        <v>0.98224920690445428</v>
      </c>
      <c r="H196">
        <v>-7.6615109688709326E-2</v>
      </c>
      <c r="I196">
        <v>-0.20214927403186869</v>
      </c>
      <c r="J196">
        <v>0.83092359330275334</v>
      </c>
      <c r="M196" s="13">
        <v>1</v>
      </c>
      <c r="O196" s="10">
        <f t="shared" si="9"/>
        <v>0</v>
      </c>
      <c r="P196" s="10">
        <f t="shared" si="10"/>
        <v>1</v>
      </c>
      <c r="R196" s="14">
        <v>0.34215148952023933</v>
      </c>
      <c r="S196" s="14">
        <v>1.0356476074276935</v>
      </c>
      <c r="T196" s="14">
        <v>0.44442584400253926</v>
      </c>
      <c r="U196" s="14">
        <v>-1.2203471075345187</v>
      </c>
      <c r="V196" s="14">
        <v>1.4974193550439967</v>
      </c>
      <c r="W196" s="14">
        <v>-0.44830602956115329</v>
      </c>
      <c r="X196" s="14">
        <v>-1.4659127004225023</v>
      </c>
      <c r="Y196" s="14">
        <v>-0.42502676024799024</v>
      </c>
      <c r="Z196" s="14">
        <v>1.6537726338364918</v>
      </c>
      <c r="AA196" s="14">
        <v>1.1849578418530076</v>
      </c>
      <c r="AB196" s="14">
        <v>-0.1223965755736276</v>
      </c>
      <c r="AC196" s="14">
        <v>1.0648903396570857</v>
      </c>
      <c r="AD196" s="14">
        <v>-0.81572746092758108</v>
      </c>
      <c r="AE196" s="14">
        <v>1.6894085622967299</v>
      </c>
      <c r="AF196" s="14">
        <v>0.24311617036090072</v>
      </c>
      <c r="AG196" s="14">
        <v>6.0515342253145699E-2</v>
      </c>
      <c r="AH196" s="14">
        <v>-1.2732755558211704</v>
      </c>
      <c r="AI196" s="14">
        <v>-1.6035482131462739</v>
      </c>
      <c r="AJ196" s="14">
        <v>-0.55663599469181624</v>
      </c>
      <c r="AK196" s="14">
        <v>-0.22637004110677666</v>
      </c>
      <c r="AM196" s="14">
        <v>0.60754465077317088</v>
      </c>
      <c r="AN196" s="14">
        <v>-0.79701649936125729</v>
      </c>
      <c r="AO196" s="14">
        <v>-0.50710610711796322</v>
      </c>
      <c r="AP196" s="14">
        <v>-0.63926076396832565</v>
      </c>
      <c r="AQ196" s="14">
        <v>-0.80688152737595742</v>
      </c>
      <c r="AR196" s="14">
        <v>-0.5847702394816231</v>
      </c>
      <c r="AS196" s="14">
        <v>0.89259056334809384</v>
      </c>
      <c r="AT196" s="14">
        <v>0.78305229313384472</v>
      </c>
      <c r="AU196" s="14">
        <v>-0.24579854797806705</v>
      </c>
      <c r="AV196" s="14">
        <v>-0.70285825018809844</v>
      </c>
      <c r="AW196" s="14">
        <v>0.33744250220254784</v>
      </c>
      <c r="AX196" s="14">
        <v>4.2071109014380347E-2</v>
      </c>
      <c r="AY196" s="14">
        <v>0.83211191850376776</v>
      </c>
      <c r="AZ196" s="14">
        <v>-0.75584297577773008</v>
      </c>
      <c r="BA196" s="14">
        <v>0.41847823310950111</v>
      </c>
      <c r="BB196" s="14">
        <v>-0.5961510744630808</v>
      </c>
      <c r="BC196" s="14">
        <v>0.5450361770523362</v>
      </c>
      <c r="BD196" s="14">
        <v>0.77292380363856961</v>
      </c>
      <c r="BE196" s="14">
        <v>0.88704523514443023</v>
      </c>
      <c r="BF196" s="14">
        <v>-0.7392751349088712</v>
      </c>
      <c r="BK196" s="16">
        <v>0.5025219807633704</v>
      </c>
      <c r="BL196" s="16">
        <v>-0.53210382536343348</v>
      </c>
      <c r="BN196" s="17">
        <f t="shared" si="8"/>
        <v>0</v>
      </c>
    </row>
    <row r="197" spans="1:66" x14ac:dyDescent="0.2">
      <c r="A197">
        <v>-0.37896504649061857</v>
      </c>
      <c r="B197">
        <v>-0.65211394181128046</v>
      </c>
      <c r="C197">
        <v>-0.42222262061632299</v>
      </c>
      <c r="D197">
        <v>-0.42470772139604579</v>
      </c>
      <c r="E197">
        <v>-0.95409704865312994</v>
      </c>
      <c r="F197">
        <v>-0.65274870409433439</v>
      </c>
      <c r="G197">
        <v>-0.67940607149536048</v>
      </c>
      <c r="H197">
        <v>-0.53211029765804829</v>
      </c>
      <c r="I197">
        <v>-0.52823045791139156</v>
      </c>
      <c r="J197">
        <v>-0.52209987961370929</v>
      </c>
      <c r="M197" s="13">
        <v>0</v>
      </c>
      <c r="O197" s="10">
        <f t="shared" si="9"/>
        <v>1</v>
      </c>
      <c r="P197" s="10">
        <f t="shared" si="10"/>
        <v>0</v>
      </c>
      <c r="R197" s="14">
        <v>-0.6765779852116276</v>
      </c>
      <c r="S197" s="14">
        <v>-0.88625877299835076</v>
      </c>
      <c r="T197" s="14">
        <v>-0.59292174035794953</v>
      </c>
      <c r="U197" s="14">
        <v>-0.38312359565858872</v>
      </c>
      <c r="V197" s="14">
        <v>-0.2134881365551321</v>
      </c>
      <c r="W197" s="14">
        <v>1.0482274129952021</v>
      </c>
      <c r="X197" s="14">
        <v>1.0441687718026607</v>
      </c>
      <c r="Y197" s="14">
        <v>0.123166124769128</v>
      </c>
      <c r="Z197" s="14">
        <v>-0.93991559416853232</v>
      </c>
      <c r="AA197" s="14">
        <v>0.29325285074733343</v>
      </c>
      <c r="AB197" s="14">
        <v>0.14870858543827919</v>
      </c>
      <c r="AC197" s="14">
        <v>-0.36995938132615214</v>
      </c>
      <c r="AD197" s="14">
        <v>0.82350038267033121</v>
      </c>
      <c r="AE197" s="14">
        <v>-0.64983524634365364</v>
      </c>
      <c r="AF197" s="14">
        <v>-0.16018612270505639</v>
      </c>
      <c r="AG197" s="14">
        <v>0.65050996543864592</v>
      </c>
      <c r="AH197" s="14">
        <v>-0.48779651014563963</v>
      </c>
      <c r="AI197" s="14">
        <v>5.5520777653409348E-2</v>
      </c>
      <c r="AJ197" s="14">
        <v>1.0298183214781902</v>
      </c>
      <c r="AK197" s="14">
        <v>-0.12748979152101769</v>
      </c>
      <c r="AM197" s="14">
        <v>0.38319622038500845</v>
      </c>
      <c r="AN197" s="14">
        <v>0.24348942110960772</v>
      </c>
      <c r="AO197" s="14">
        <v>0.33891182580591922</v>
      </c>
      <c r="AP197" s="14">
        <v>0.3797801374971293</v>
      </c>
      <c r="AQ197" s="14">
        <v>0.47448093585349221</v>
      </c>
      <c r="AR197" s="14">
        <v>-0.42519345804281472</v>
      </c>
      <c r="AS197" s="14">
        <v>-0.5351727874904102</v>
      </c>
      <c r="AT197" s="14">
        <v>6.6375654451318419E-2</v>
      </c>
      <c r="AU197" s="14">
        <v>0.66172648349915997</v>
      </c>
      <c r="AV197" s="14">
        <v>0.29315637949964218</v>
      </c>
      <c r="AW197" s="14">
        <v>-0.34615790017418385</v>
      </c>
      <c r="AX197" s="14">
        <v>0.4986520763393168</v>
      </c>
      <c r="AY197" s="14">
        <v>-0.31773530285603041</v>
      </c>
      <c r="AZ197" s="14">
        <v>0.47136924586226353</v>
      </c>
      <c r="BA197" s="14">
        <v>0.26887548363588221</v>
      </c>
      <c r="BB197" s="14">
        <v>-7.4252961842281055E-3</v>
      </c>
      <c r="BC197" s="14">
        <v>-2.8661546901384744E-2</v>
      </c>
      <c r="BD197" s="14">
        <v>-0.18735912398988827</v>
      </c>
      <c r="BE197" s="14">
        <v>-0.37845960477064966</v>
      </c>
      <c r="BF197" s="14">
        <v>-0.3479427142462016</v>
      </c>
      <c r="BK197" s="16">
        <v>0.53957738760138774</v>
      </c>
      <c r="BL197" s="16">
        <v>-0.50430907180037954</v>
      </c>
      <c r="BN197" s="17">
        <f t="shared" si="8"/>
        <v>0</v>
      </c>
    </row>
    <row r="198" spans="1:66" x14ac:dyDescent="0.2">
      <c r="A198">
        <v>-0.13305972672904809</v>
      </c>
      <c r="B198">
        <v>0.80929125574243721</v>
      </c>
      <c r="C198">
        <v>-8.6058985213113004E-2</v>
      </c>
      <c r="D198">
        <v>-0.21601775740571541</v>
      </c>
      <c r="E198">
        <v>0.40331870122257901</v>
      </c>
      <c r="F198">
        <v>0.58419016492091036</v>
      </c>
      <c r="G198">
        <v>0.38107812325634421</v>
      </c>
      <c r="H198">
        <v>-1.243169683848374E-2</v>
      </c>
      <c r="I198">
        <v>-0.16282824045161129</v>
      </c>
      <c r="J198">
        <v>0.75005666741732024</v>
      </c>
      <c r="M198" s="13">
        <v>1</v>
      </c>
      <c r="O198" s="10">
        <f t="shared" si="9"/>
        <v>0</v>
      </c>
      <c r="P198" s="10">
        <f t="shared" si="10"/>
        <v>1</v>
      </c>
      <c r="R198" s="14">
        <v>0.4956924026044407</v>
      </c>
      <c r="S198" s="14">
        <v>1.031600661139741</v>
      </c>
      <c r="T198" s="14">
        <v>0.44988097422492002</v>
      </c>
      <c r="U198" s="14">
        <v>0.44033116294560215</v>
      </c>
      <c r="V198" s="14">
        <v>1.5048872427805216</v>
      </c>
      <c r="W198" s="14">
        <v>-0.83657321860624179</v>
      </c>
      <c r="X198" s="14">
        <v>-1.4659127208305189</v>
      </c>
      <c r="Y198" s="14">
        <v>0.35755381353062654</v>
      </c>
      <c r="Z198" s="14">
        <v>1.7029359200439083</v>
      </c>
      <c r="AA198" s="14">
        <v>1.2161225826461701</v>
      </c>
      <c r="AB198" s="14">
        <v>-0.28839253687580535</v>
      </c>
      <c r="AC198" s="14">
        <v>1.0650657524042715</v>
      </c>
      <c r="AD198" s="14">
        <v>-0.81550327060266048</v>
      </c>
      <c r="AE198" s="14">
        <v>1.6894069881399556</v>
      </c>
      <c r="AF198" s="14">
        <v>0.24851473046345052</v>
      </c>
      <c r="AG198" s="14">
        <v>0.2884459434696135</v>
      </c>
      <c r="AH198" s="14">
        <v>-0.84294218829083212</v>
      </c>
      <c r="AI198" s="14">
        <v>-1.6001436594431682</v>
      </c>
      <c r="AJ198" s="14">
        <v>-0.55689617324392993</v>
      </c>
      <c r="AK198" s="14">
        <v>-1.1780942136397028</v>
      </c>
      <c r="AM198" s="14">
        <v>-0.67191451979942984</v>
      </c>
      <c r="AN198" s="14">
        <v>0.84998680986925479</v>
      </c>
      <c r="AO198" s="14">
        <v>0.47137277098122926</v>
      </c>
      <c r="AP198" s="14">
        <v>-0.16153224350679518</v>
      </c>
      <c r="AQ198" s="14">
        <v>0.81876214673339376</v>
      </c>
      <c r="AR198" s="14">
        <v>0.30443631857732983</v>
      </c>
      <c r="AS198" s="14">
        <v>-0.93823210886131392</v>
      </c>
      <c r="AT198" s="14">
        <v>-0.68697843752208909</v>
      </c>
      <c r="AU198" s="14">
        <v>0.74275539579729455</v>
      </c>
      <c r="AV198" s="14">
        <v>0.44036853654955926</v>
      </c>
      <c r="AW198" s="14">
        <v>0.1554425289832479</v>
      </c>
      <c r="AX198" s="14">
        <v>0.37809815814036901</v>
      </c>
      <c r="AY198" s="14">
        <v>-0.87399502079811875</v>
      </c>
      <c r="AZ198" s="14">
        <v>0.84205205690811191</v>
      </c>
      <c r="BA198" s="14">
        <v>-0.44633521760770567</v>
      </c>
      <c r="BB198" s="14">
        <v>4.7563309255620773E-2</v>
      </c>
      <c r="BC198" s="14">
        <v>-0.61569360386299699</v>
      </c>
      <c r="BD198" s="14">
        <v>-0.84131476144343398</v>
      </c>
      <c r="BE198" s="14">
        <v>-0.86169539440294218</v>
      </c>
      <c r="BF198" s="14">
        <v>0.80599961001639076</v>
      </c>
      <c r="BK198" s="16">
        <v>-0.17490539660129201</v>
      </c>
      <c r="BL198" s="16">
        <v>0.76077174813013393</v>
      </c>
      <c r="BN198" s="17">
        <f t="shared" si="8"/>
        <v>1</v>
      </c>
    </row>
    <row r="199" spans="1:66" x14ac:dyDescent="0.2">
      <c r="A199">
        <v>1.0993262362620779</v>
      </c>
      <c r="B199">
        <v>0.6989502592828446</v>
      </c>
      <c r="C199">
        <v>1.024941078952806</v>
      </c>
      <c r="D199">
        <v>1.0364098747624599</v>
      </c>
      <c r="E199">
        <v>-0.34526709293122121</v>
      </c>
      <c r="F199">
        <v>0.23456927581366449</v>
      </c>
      <c r="G199">
        <v>0.18988936025941111</v>
      </c>
      <c r="H199">
        <v>0.68530411382364109</v>
      </c>
      <c r="I199">
        <v>0.58303154516309286</v>
      </c>
      <c r="J199">
        <v>-0.38043300574774658</v>
      </c>
      <c r="M199" s="13">
        <v>1</v>
      </c>
      <c r="O199" s="10">
        <f t="shared" si="9"/>
        <v>0</v>
      </c>
      <c r="P199" s="10">
        <f t="shared" si="10"/>
        <v>1</v>
      </c>
      <c r="R199" s="14">
        <v>-0.12437045857521059</v>
      </c>
      <c r="S199" s="14">
        <v>-1.107590110766806</v>
      </c>
      <c r="T199" s="14">
        <v>-0.18967180487465043</v>
      </c>
      <c r="U199" s="14">
        <v>-0.14928562165763859</v>
      </c>
      <c r="V199" s="14">
        <v>0.63719641863072629</v>
      </c>
      <c r="W199" s="14">
        <v>-4.2449288424601661E-2</v>
      </c>
      <c r="X199" s="14">
        <v>1.0216589041270854</v>
      </c>
      <c r="Y199" s="14">
        <v>1.2795334058445333</v>
      </c>
      <c r="Z199" s="14">
        <v>0.40663531880302806</v>
      </c>
      <c r="AA199" s="14">
        <v>0.26112794533687067</v>
      </c>
      <c r="AB199" s="14">
        <v>-1.1850183447541629</v>
      </c>
      <c r="AC199" s="14">
        <v>0.1301389762209974</v>
      </c>
      <c r="AD199" s="14">
        <v>1.050496083236512</v>
      </c>
      <c r="AE199" s="14">
        <v>-0.63089699147074385</v>
      </c>
      <c r="AF199" s="14">
        <v>0.24431860802314131</v>
      </c>
      <c r="AG199" s="14">
        <v>0.53800033693756455</v>
      </c>
      <c r="AH199" s="14">
        <v>-0.19964268071823232</v>
      </c>
      <c r="AI199" s="14">
        <v>0.32401956663968301</v>
      </c>
      <c r="AJ199" s="14">
        <v>1.3861464733583169</v>
      </c>
      <c r="AK199" s="14">
        <v>-1.0297867619930965</v>
      </c>
      <c r="AM199" s="14">
        <v>0.51634252050885621</v>
      </c>
      <c r="AN199" s="14">
        <v>-0.37710993747917354</v>
      </c>
      <c r="AO199" s="14">
        <v>-0.1090908506998193</v>
      </c>
      <c r="AP199" s="14">
        <v>0.14316036266623364</v>
      </c>
      <c r="AQ199" s="14">
        <v>0.11119569800273926</v>
      </c>
      <c r="AR199" s="14">
        <v>-0.39589079618752515</v>
      </c>
      <c r="AS199" s="14">
        <v>0.35319651712611089</v>
      </c>
      <c r="AT199" s="14">
        <v>0.49089423082367223</v>
      </c>
      <c r="AU199" s="14">
        <v>0.35122051808449356</v>
      </c>
      <c r="AV199" s="14">
        <v>5.952816583701858E-2</v>
      </c>
      <c r="AW199" s="14">
        <v>-0.44306801666089385</v>
      </c>
      <c r="AX199" s="14">
        <v>0.26624776601406175</v>
      </c>
      <c r="AY199" s="14">
        <v>0.43251176497725285</v>
      </c>
      <c r="AZ199" s="14">
        <v>-0.16286485587556332</v>
      </c>
      <c r="BA199" s="14">
        <v>0.31976765804802909</v>
      </c>
      <c r="BB199" s="14">
        <v>0.11403436355856378</v>
      </c>
      <c r="BC199" s="14">
        <v>0.16521750518746944</v>
      </c>
      <c r="BD199" s="14">
        <v>0.47356412516895641</v>
      </c>
      <c r="BE199" s="14">
        <v>0.34642286571814107</v>
      </c>
      <c r="BF199" s="14">
        <v>-0.49530480241872871</v>
      </c>
      <c r="BK199" s="16">
        <v>-0.67115342001051559</v>
      </c>
      <c r="BL199" s="16">
        <v>0.39318946418343176</v>
      </c>
      <c r="BN199" s="17">
        <f t="shared" si="8"/>
        <v>1</v>
      </c>
    </row>
    <row r="200" spans="1:66" x14ac:dyDescent="0.2">
      <c r="A200">
        <v>1.413856296422227</v>
      </c>
      <c r="B200">
        <v>0.85833169861336722</v>
      </c>
      <c r="C200">
        <v>1.44410808112224</v>
      </c>
      <c r="D200">
        <v>1.3933416752424741</v>
      </c>
      <c r="E200">
        <v>0.70253000424830347</v>
      </c>
      <c r="F200">
        <v>0.248206970069621</v>
      </c>
      <c r="G200">
        <v>0.44395571108688642</v>
      </c>
      <c r="H200">
        <v>1.4306598759552871</v>
      </c>
      <c r="I200">
        <v>1.39779170042969</v>
      </c>
      <c r="J200">
        <v>0.80247041567639743</v>
      </c>
      <c r="M200" s="13">
        <v>1</v>
      </c>
      <c r="O200" s="10">
        <f t="shared" si="9"/>
        <v>0</v>
      </c>
      <c r="P200" s="10">
        <f t="shared" si="10"/>
        <v>1</v>
      </c>
      <c r="R200" s="14">
        <v>0.73609469124101434</v>
      </c>
      <c r="S200" s="14">
        <v>-1.1275969264342589</v>
      </c>
      <c r="T200" s="14">
        <v>-0.81154962963128485</v>
      </c>
      <c r="U200" s="14">
        <v>-1.4193915169500415</v>
      </c>
      <c r="V200" s="14">
        <v>-0.65442915867244456</v>
      </c>
      <c r="W200" s="14">
        <v>-0.4897993689438736</v>
      </c>
      <c r="X200" s="14">
        <v>1.0653950771472653</v>
      </c>
      <c r="Y200" s="14">
        <v>1.2701593218258278</v>
      </c>
      <c r="Z200" s="14">
        <v>0.32663738058224934</v>
      </c>
      <c r="AA200" s="14">
        <v>-0.29602147782642707</v>
      </c>
      <c r="AB200" s="14">
        <v>0.77470985679195736</v>
      </c>
      <c r="AC200" s="14">
        <v>0.26155423961372964</v>
      </c>
      <c r="AD200" s="14">
        <v>1.1385337685915871</v>
      </c>
      <c r="AE200" s="14">
        <v>-0.63846842379131519</v>
      </c>
      <c r="AF200" s="14">
        <v>6.5893494444064005E-2</v>
      </c>
      <c r="AG200" s="14">
        <v>-0.64056417590747194</v>
      </c>
      <c r="AH200" s="14">
        <v>9.5500480147224787E-2</v>
      </c>
      <c r="AI200" s="14">
        <v>0.33857098086533388</v>
      </c>
      <c r="AJ200" s="14">
        <v>1.5681141527442861</v>
      </c>
      <c r="AK200" s="14">
        <v>-1.5008551676701867</v>
      </c>
      <c r="AM200" s="14">
        <v>0.65085832307085378</v>
      </c>
      <c r="AN200" s="14">
        <v>-0.49771290252607159</v>
      </c>
      <c r="AO200" s="14">
        <v>-0.25280045281133789</v>
      </c>
      <c r="AP200" s="14">
        <v>-0.30953345985420633</v>
      </c>
      <c r="AQ200" s="14">
        <v>-0.56942467299268207</v>
      </c>
      <c r="AR200" s="14">
        <v>-0.46270865000052031</v>
      </c>
      <c r="AS200" s="14">
        <v>0.60299737821093846</v>
      </c>
      <c r="AT200" s="14">
        <v>0.46427756128768566</v>
      </c>
      <c r="AU200" s="14">
        <v>-3.8859439252310148E-2</v>
      </c>
      <c r="AV200" s="14">
        <v>-0.37597968348268768</v>
      </c>
      <c r="AW200" s="14">
        <v>0.27660105890972558</v>
      </c>
      <c r="AX200" s="14">
        <v>0.20808399515818027</v>
      </c>
      <c r="AY200" s="14">
        <v>0.56792276876454006</v>
      </c>
      <c r="AZ200" s="14">
        <v>-0.38121197591388195</v>
      </c>
      <c r="BA200" s="14">
        <v>0.34500462668121251</v>
      </c>
      <c r="BB200" s="14">
        <v>-0.50494199204647272</v>
      </c>
      <c r="BC200" s="14">
        <v>0.33468487807321617</v>
      </c>
      <c r="BD200" s="14">
        <v>0.51644262304600441</v>
      </c>
      <c r="BE200" s="14">
        <v>0.66072874250683278</v>
      </c>
      <c r="BF200" s="14">
        <v>-0.69067611597828027</v>
      </c>
      <c r="BK200" s="16">
        <v>-0.61276522793575372</v>
      </c>
      <c r="BL200" s="16">
        <v>0.48847456046714488</v>
      </c>
      <c r="BN200" s="17">
        <f t="shared" si="8"/>
        <v>1</v>
      </c>
    </row>
    <row r="201" spans="1:66" x14ac:dyDescent="0.2">
      <c r="A201">
        <v>6.1377037733588977E-2</v>
      </c>
      <c r="B201">
        <v>0.30172267202831038</v>
      </c>
      <c r="C201">
        <v>7.4137512645700718E-2</v>
      </c>
      <c r="D201">
        <v>-6.115541171358041E-2</v>
      </c>
      <c r="E201">
        <v>0.28995292802649691</v>
      </c>
      <c r="F201">
        <v>0.33003313560535918</v>
      </c>
      <c r="G201">
        <v>0.24152055026660429</v>
      </c>
      <c r="H201">
        <v>0.38923224164356968</v>
      </c>
      <c r="I201">
        <v>0.25712748305645422</v>
      </c>
      <c r="J201">
        <v>0.99715005206725515</v>
      </c>
      <c r="M201" s="13">
        <v>1</v>
      </c>
      <c r="O201" s="10">
        <f t="shared" si="9"/>
        <v>0</v>
      </c>
      <c r="P201" s="10">
        <f t="shared" si="10"/>
        <v>1</v>
      </c>
      <c r="R201" s="14">
        <v>0.28634405968629995</v>
      </c>
      <c r="S201" s="14">
        <v>0.33745042010456272</v>
      </c>
      <c r="T201" s="14">
        <v>0.26310417522453444</v>
      </c>
      <c r="U201" s="14">
        <v>-2.293318858781479E-3</v>
      </c>
      <c r="V201" s="14">
        <v>1.2740733197892502</v>
      </c>
      <c r="W201" s="14">
        <v>-0.63017459621829452</v>
      </c>
      <c r="X201" s="14">
        <v>-1.4309181338921719</v>
      </c>
      <c r="Y201" s="14">
        <v>0.39342970356230927</v>
      </c>
      <c r="Z201" s="14">
        <v>1.4854755094993939</v>
      </c>
      <c r="AA201" s="14">
        <v>0.98806716826866625</v>
      </c>
      <c r="AB201" s="14">
        <v>-0.2549983811509815</v>
      </c>
      <c r="AC201" s="14">
        <v>0.98379599723841049</v>
      </c>
      <c r="AD201" s="14">
        <v>-0.49770428964800628</v>
      </c>
      <c r="AE201" s="14">
        <v>1.6011151680645948</v>
      </c>
      <c r="AF201" s="14">
        <v>9.1624073959382546E-2</v>
      </c>
      <c r="AG201" s="14">
        <v>-0.2147059454408608</v>
      </c>
      <c r="AH201" s="14">
        <v>-0.53095172796851042</v>
      </c>
      <c r="AI201" s="14">
        <v>-0.87620045791611822</v>
      </c>
      <c r="AJ201" s="14">
        <v>-0.2422318771723459</v>
      </c>
      <c r="AK201" s="14">
        <v>-1.0837164327149906</v>
      </c>
      <c r="AM201" s="14">
        <v>-0.37242766833688723</v>
      </c>
      <c r="AN201" s="14">
        <v>-1.6243472362753319E-2</v>
      </c>
      <c r="AO201" s="14">
        <v>0.21356537378564208</v>
      </c>
      <c r="AP201" s="14">
        <v>0.4179187290720332</v>
      </c>
      <c r="AQ201" s="14">
        <v>1.3823119244999758E-2</v>
      </c>
      <c r="AR201" s="14">
        <v>-0.30901854545402258</v>
      </c>
      <c r="AS201" s="14">
        <v>-0.40725983521181108</v>
      </c>
      <c r="AT201" s="14">
        <v>0.2731556936138772</v>
      </c>
      <c r="AU201" s="14">
        <v>0.45080947331821281</v>
      </c>
      <c r="AV201" s="14">
        <v>-0.19852436837629878</v>
      </c>
      <c r="AW201" s="14">
        <v>-0.15960309807152706</v>
      </c>
      <c r="AX201" s="14">
        <v>2.2091158475670915E-2</v>
      </c>
      <c r="AY201" s="14">
        <v>-0.32700653807812557</v>
      </c>
      <c r="AZ201" s="14">
        <v>6.1843902116837011E-2</v>
      </c>
      <c r="BA201" s="14">
        <v>0.15952876801040455</v>
      </c>
      <c r="BB201" s="14">
        <v>-0.23924299507250141</v>
      </c>
      <c r="BC201" s="14">
        <v>0.18098306014107785</v>
      </c>
      <c r="BD201" s="14">
        <v>-0.16343303594122949</v>
      </c>
      <c r="BE201" s="14">
        <v>-0.29210049233441415</v>
      </c>
      <c r="BF201" s="14">
        <v>-8.3898049140499822E-2</v>
      </c>
      <c r="BK201" s="16">
        <v>0.7984064145573867</v>
      </c>
      <c r="BL201" s="16">
        <v>-0.28810700107477316</v>
      </c>
      <c r="BN201" s="17">
        <f t="shared" si="8"/>
        <v>0</v>
      </c>
    </row>
    <row r="202" spans="1:66" x14ac:dyDescent="0.2">
      <c r="A202">
        <v>-0.57340181095325571</v>
      </c>
      <c r="B202">
        <v>0.139889210554241</v>
      </c>
      <c r="C202">
        <v>-0.58781433731494115</v>
      </c>
      <c r="D202">
        <v>-0.58417563870727751</v>
      </c>
      <c r="E202">
        <v>-0.44841136198667281</v>
      </c>
      <c r="F202">
        <v>-0.61381928594551338</v>
      </c>
      <c r="G202">
        <v>-0.23721815707732011</v>
      </c>
      <c r="H202">
        <v>-0.41616606799312578</v>
      </c>
      <c r="I202">
        <v>-0.46127842776122352</v>
      </c>
      <c r="J202">
        <v>-0.13798198165790121</v>
      </c>
      <c r="M202" s="13">
        <v>0</v>
      </c>
      <c r="O202" s="10">
        <f t="shared" si="9"/>
        <v>1</v>
      </c>
      <c r="P202" s="10">
        <f t="shared" si="10"/>
        <v>0</v>
      </c>
      <c r="R202" s="14">
        <v>-1.0792964129822344</v>
      </c>
      <c r="S202" s="14">
        <v>1.0339747073676482</v>
      </c>
      <c r="T202" s="14">
        <v>0.40381464857328198</v>
      </c>
      <c r="U202" s="14">
        <v>-1.0442659095563172</v>
      </c>
      <c r="V202" s="14">
        <v>1.4818058647478396</v>
      </c>
      <c r="W202" s="14">
        <v>0.61419732851173792</v>
      </c>
      <c r="X202" s="14">
        <v>-1.4659011054423245</v>
      </c>
      <c r="Y202" s="14">
        <v>-0.8345920755399503</v>
      </c>
      <c r="Z202" s="14">
        <v>1.0866822653018704</v>
      </c>
      <c r="AA202" s="14">
        <v>1.1415474243383517</v>
      </c>
      <c r="AB202" s="14">
        <v>-1.7079577536479817E-2</v>
      </c>
      <c r="AC202" s="14">
        <v>0.99278356402771761</v>
      </c>
      <c r="AD202" s="14">
        <v>-0.81524573783890886</v>
      </c>
      <c r="AE202" s="14">
        <v>1.6878798684943086</v>
      </c>
      <c r="AF202" s="14">
        <v>-5.1244052357583669E-2</v>
      </c>
      <c r="AG202" s="14">
        <v>0.18464992115464152</v>
      </c>
      <c r="AH202" s="14">
        <v>-1.3006143564850696</v>
      </c>
      <c r="AI202" s="14">
        <v>-1.6029558729426534</v>
      </c>
      <c r="AJ202" s="14">
        <v>-0.55618254151529634</v>
      </c>
      <c r="AK202" s="14">
        <v>0.33077667302056202</v>
      </c>
      <c r="AM202" s="14">
        <v>0.7493938438188823</v>
      </c>
      <c r="AN202" s="14">
        <v>0.74058837003011213</v>
      </c>
      <c r="AO202" s="14">
        <v>0.24672499568255765</v>
      </c>
      <c r="AP202" s="14">
        <v>-0.79039532355748554</v>
      </c>
      <c r="AQ202" s="14">
        <v>0.31634859918975183</v>
      </c>
      <c r="AR202" s="14">
        <v>-0.47287599036924499</v>
      </c>
      <c r="AS202" s="14">
        <v>-0.76168199265184744</v>
      </c>
      <c r="AT202" s="14">
        <v>-0.59012588588225656</v>
      </c>
      <c r="AU202" s="14">
        <v>0.68171968780539671</v>
      </c>
      <c r="AV202" s="14">
        <v>0.20620604574813675</v>
      </c>
      <c r="AW202" s="14">
        <v>0.78186145574303356</v>
      </c>
      <c r="AX202" s="14">
        <v>0.78096870929244244</v>
      </c>
      <c r="AY202" s="14">
        <v>-0.52107361718126721</v>
      </c>
      <c r="AZ202" s="14">
        <v>0.83542537050253862</v>
      </c>
      <c r="BA202" s="14">
        <v>9.2387262888597124E-2</v>
      </c>
      <c r="BB202" s="14">
        <v>-0.74838674188390775</v>
      </c>
      <c r="BC202" s="14">
        <v>-0.48971656297663807</v>
      </c>
      <c r="BD202" s="14">
        <v>-0.6296970178619814</v>
      </c>
      <c r="BE202" s="14">
        <v>-0.26743666323033721</v>
      </c>
      <c r="BF202" s="14">
        <v>-0.29918603693180618</v>
      </c>
      <c r="BK202" s="16">
        <v>-9.4816490754400129E-2</v>
      </c>
      <c r="BL202" s="16">
        <v>0.23242292010104107</v>
      </c>
      <c r="BN202" s="17">
        <f t="shared" si="8"/>
        <v>1</v>
      </c>
    </row>
    <row r="203" spans="1:66" x14ac:dyDescent="0.2">
      <c r="A203">
        <v>0.94492057036527854</v>
      </c>
      <c r="B203">
        <v>8.1040679109125269E-2</v>
      </c>
      <c r="C203">
        <v>0.92948720717164668</v>
      </c>
      <c r="D203">
        <v>0.82800775899832368</v>
      </c>
      <c r="E203">
        <v>0.27508528564012558</v>
      </c>
      <c r="F203">
        <v>0.15150331989102109</v>
      </c>
      <c r="G203">
        <v>0.62696527566683824</v>
      </c>
      <c r="H203">
        <v>0.82195267021444296</v>
      </c>
      <c r="I203">
        <v>0.60251494018033758</v>
      </c>
      <c r="J203">
        <v>1.148401154186306</v>
      </c>
      <c r="M203" s="13">
        <v>1</v>
      </c>
      <c r="O203" s="10">
        <f t="shared" si="9"/>
        <v>0</v>
      </c>
      <c r="P203" s="10">
        <f t="shared" si="10"/>
        <v>1</v>
      </c>
      <c r="R203" s="14">
        <v>0.8051268228129983</v>
      </c>
      <c r="S203" s="14">
        <v>-0.99446344472091985</v>
      </c>
      <c r="T203" s="14">
        <v>-0.29132375392667509</v>
      </c>
      <c r="U203" s="14">
        <v>-0.32625913321703542</v>
      </c>
      <c r="V203" s="14">
        <v>0.53665701916191155</v>
      </c>
      <c r="W203" s="14">
        <v>-0.24474716143383285</v>
      </c>
      <c r="X203" s="14">
        <v>0.95026879848959489</v>
      </c>
      <c r="Y203" s="14">
        <v>1.124888044502647</v>
      </c>
      <c r="Z203" s="14">
        <v>0.44841822408648102</v>
      </c>
      <c r="AA203" s="14">
        <v>0.72176562226853624</v>
      </c>
      <c r="AB203" s="14">
        <v>-0.97776227846418606</v>
      </c>
      <c r="AC203" s="14">
        <v>0.76582334285365228</v>
      </c>
      <c r="AD203" s="14">
        <v>1.0405033557076266</v>
      </c>
      <c r="AE203" s="14">
        <v>-0.1904322760215636</v>
      </c>
      <c r="AF203" s="14">
        <v>0.73703647510436499</v>
      </c>
      <c r="AG203" s="14">
        <v>0.22934724912218704</v>
      </c>
      <c r="AH203" s="14">
        <v>-0.34798256086440282</v>
      </c>
      <c r="AI203" s="14">
        <v>0.29596583629076512</v>
      </c>
      <c r="AJ203" s="14">
        <v>1.4404732709093686</v>
      </c>
      <c r="AK203" s="14">
        <v>-1.2859974212991068</v>
      </c>
      <c r="AM203" s="14">
        <v>0.23370283076002027</v>
      </c>
      <c r="AN203" s="14">
        <v>-0.73670914302342816</v>
      </c>
      <c r="AO203" s="14">
        <v>-0.5358733437080172</v>
      </c>
      <c r="AP203" s="14">
        <v>-0.48586579496618809</v>
      </c>
      <c r="AQ203" s="14">
        <v>-0.69987237058289531</v>
      </c>
      <c r="AR203" s="14">
        <v>3.141299568463761E-2</v>
      </c>
      <c r="AS203" s="14">
        <v>0.86236807638195279</v>
      </c>
      <c r="AT203" s="14">
        <v>0.64848266078554695</v>
      </c>
      <c r="AU203" s="14">
        <v>-0.40537376433272043</v>
      </c>
      <c r="AV203" s="14">
        <v>-0.59571415672027539</v>
      </c>
      <c r="AW203" s="14">
        <v>0.15397332499491903</v>
      </c>
      <c r="AX203" s="14">
        <v>-0.17718619574586872</v>
      </c>
      <c r="AY203" s="14">
        <v>0.76848536150198399</v>
      </c>
      <c r="AZ203" s="14">
        <v>-0.76687419716402327</v>
      </c>
      <c r="BA203" s="14">
        <v>3.0859767987863364E-3</v>
      </c>
      <c r="BB203" s="14">
        <v>-0.35806094380155301</v>
      </c>
      <c r="BC203" s="14">
        <v>0.41484855376462948</v>
      </c>
      <c r="BD203" s="14">
        <v>0.74736552936100997</v>
      </c>
      <c r="BE203" s="14">
        <v>0.84400396396057287</v>
      </c>
      <c r="BF203" s="14">
        <v>-0.39809073502262537</v>
      </c>
      <c r="BK203" s="16">
        <v>0.7987289718817403</v>
      </c>
      <c r="BL203" s="16">
        <v>-0.1965228934196499</v>
      </c>
      <c r="BN203" s="17">
        <f t="shared" si="8"/>
        <v>0</v>
      </c>
    </row>
    <row r="204" spans="1:66" x14ac:dyDescent="0.2">
      <c r="A204">
        <v>2.5890549757478731</v>
      </c>
      <c r="B204">
        <v>1.883276954615807</v>
      </c>
      <c r="C204">
        <v>2.7472609393519689</v>
      </c>
      <c r="D204">
        <v>2.9390866499018871</v>
      </c>
      <c r="E204">
        <v>1.9216766799307581</v>
      </c>
      <c r="F204">
        <v>3.2348620121240699</v>
      </c>
      <c r="G204">
        <v>2.8537520446899398</v>
      </c>
      <c r="H204">
        <v>1.7950560263307589</v>
      </c>
      <c r="I204">
        <v>1.925614583624137</v>
      </c>
      <c r="J204">
        <v>2.3374444718350849</v>
      </c>
      <c r="M204" s="13">
        <v>1</v>
      </c>
      <c r="O204" s="10">
        <f t="shared" si="9"/>
        <v>0</v>
      </c>
      <c r="P204" s="10">
        <f t="shared" si="10"/>
        <v>1</v>
      </c>
      <c r="R204" s="14">
        <v>0.93673134957675397</v>
      </c>
      <c r="S204" s="14">
        <v>-1.0759436439999708</v>
      </c>
      <c r="T204" s="14">
        <v>-0.61525076123236411</v>
      </c>
      <c r="U204" s="14">
        <v>-1.0114470300247129</v>
      </c>
      <c r="V204" s="14">
        <v>-0.58920033984688758</v>
      </c>
      <c r="W204" s="14">
        <v>-0.36447354976294816</v>
      </c>
      <c r="X204" s="14">
        <v>1.0596683275648824</v>
      </c>
      <c r="Y204" s="14">
        <v>1.0353089228175743</v>
      </c>
      <c r="Z204" s="14">
        <v>0.13806895258991397</v>
      </c>
      <c r="AA204" s="14">
        <v>-0.20644771538706763</v>
      </c>
      <c r="AB204" s="14">
        <v>0.69575766472734957</v>
      </c>
      <c r="AC204" s="14">
        <v>0.73307965963435406</v>
      </c>
      <c r="AD204" s="14">
        <v>1.1156721422459532</v>
      </c>
      <c r="AE204" s="14">
        <v>-0.47574605178239876</v>
      </c>
      <c r="AF204" s="14">
        <v>0.48059255388690031</v>
      </c>
      <c r="AG204" s="14">
        <v>-0.60045122265698714</v>
      </c>
      <c r="AH204" s="14">
        <v>-0.11538392663515518</v>
      </c>
      <c r="AI204" s="14">
        <v>0.3120972100233862</v>
      </c>
      <c r="AJ204" s="14">
        <v>1.564242285657621</v>
      </c>
      <c r="AK204" s="14">
        <v>-1.4724989840793357</v>
      </c>
      <c r="AM204" s="14">
        <v>-0.17261747124763518</v>
      </c>
      <c r="AN204" s="14">
        <v>-0.87527336942025125</v>
      </c>
      <c r="AO204" s="14">
        <v>-0.57911118393329553</v>
      </c>
      <c r="AP204" s="14">
        <v>-0.45916731787744725</v>
      </c>
      <c r="AQ204" s="14">
        <v>-0.7279754161249341</v>
      </c>
      <c r="AR204" s="14">
        <v>-0.21021682609448569</v>
      </c>
      <c r="AS204" s="14">
        <v>0.91870476975753135</v>
      </c>
      <c r="AT204" s="14">
        <v>0.85932053444488166</v>
      </c>
      <c r="AU204" s="14">
        <v>-0.31974881280539974</v>
      </c>
      <c r="AV204" s="14">
        <v>-0.7489869007308485</v>
      </c>
      <c r="AW204" s="14">
        <v>-0.16888352505208606</v>
      </c>
      <c r="AX204" s="14">
        <v>-0.36376742402342838</v>
      </c>
      <c r="AY204" s="14">
        <v>0.84269790997263705</v>
      </c>
      <c r="AZ204" s="14">
        <v>-0.88481531839891481</v>
      </c>
      <c r="BA204" s="14">
        <v>0.12094548373566753</v>
      </c>
      <c r="BB204" s="14">
        <v>-0.21805294693328325</v>
      </c>
      <c r="BC204" s="14">
        <v>0.57646697411279824</v>
      </c>
      <c r="BD204" s="14">
        <v>0.83936732838488448</v>
      </c>
      <c r="BE204" s="14">
        <v>0.8723066918131841</v>
      </c>
      <c r="BF204" s="14">
        <v>-0.31806150919322151</v>
      </c>
      <c r="BK204" s="16">
        <v>-0.424926591503824</v>
      </c>
      <c r="BL204" s="16">
        <v>0.46715120284328865</v>
      </c>
      <c r="BN204" s="17">
        <f t="shared" si="8"/>
        <v>1</v>
      </c>
    </row>
    <row r="205" spans="1:66" x14ac:dyDescent="0.2">
      <c r="A205">
        <v>-0.1216222699959516</v>
      </c>
      <c r="B205">
        <v>1.167286488700227</v>
      </c>
      <c r="C205">
        <v>-4.7462419666818217E-2</v>
      </c>
      <c r="D205">
        <v>-0.19039926527448869</v>
      </c>
      <c r="E205">
        <v>1.334404805669088</v>
      </c>
      <c r="F205">
        <v>0.79867390185549703</v>
      </c>
      <c r="G205">
        <v>1.0584179921625909</v>
      </c>
      <c r="H205">
        <v>0.56935988415871785</v>
      </c>
      <c r="I205">
        <v>0.45019021550006078</v>
      </c>
      <c r="J205">
        <v>1.2592187933626411</v>
      </c>
      <c r="M205" s="13">
        <v>1</v>
      </c>
      <c r="O205" s="10">
        <f t="shared" si="9"/>
        <v>0</v>
      </c>
      <c r="P205" s="10">
        <f t="shared" si="10"/>
        <v>1</v>
      </c>
      <c r="R205" s="14">
        <v>-0.85860494240378626</v>
      </c>
      <c r="S205" s="14">
        <v>-0.89210332291790528</v>
      </c>
      <c r="T205" s="14">
        <v>-0.10676877362459053</v>
      </c>
      <c r="U205" s="14">
        <v>-3.3439892593398857E-2</v>
      </c>
      <c r="V205" s="14">
        <v>-0.14617255490004577</v>
      </c>
      <c r="W205" s="14">
        <v>-0.36094616584387657</v>
      </c>
      <c r="X205" s="14">
        <v>0.2058084844858678</v>
      </c>
      <c r="Y205" s="14">
        <v>0.673286132223476</v>
      </c>
      <c r="Z205" s="14">
        <v>0.97407537981416614</v>
      </c>
      <c r="AA205" s="14">
        <v>-0.55885513144029986</v>
      </c>
      <c r="AB205" s="14">
        <v>-2.1126499532438503E-2</v>
      </c>
      <c r="AC205" s="14">
        <v>-8.3701683966638588E-2</v>
      </c>
      <c r="AD205" s="14">
        <v>0.10925438186678996</v>
      </c>
      <c r="AE205" s="14">
        <v>-0.25783888003379751</v>
      </c>
      <c r="AF205" s="14">
        <v>-0.11114208571903006</v>
      </c>
      <c r="AG205" s="14">
        <v>-0.83843689760846618</v>
      </c>
      <c r="AH205" s="14">
        <v>-0.10727944503372999</v>
      </c>
      <c r="AI205" s="14">
        <v>-0.2129894295203224</v>
      </c>
      <c r="AJ205" s="14">
        <v>0.65990139719757934</v>
      </c>
      <c r="AK205" s="14">
        <v>-0.75739669614680216</v>
      </c>
      <c r="AM205" s="14">
        <v>-0.29816719003714864</v>
      </c>
      <c r="AN205" s="14">
        <v>-0.90659677370664915</v>
      </c>
      <c r="AO205" s="14">
        <v>-0.72767116262578979</v>
      </c>
      <c r="AP205" s="14">
        <v>-0.60364879881171818</v>
      </c>
      <c r="AQ205" s="14">
        <v>-0.9094651358949235</v>
      </c>
      <c r="AR205" s="14">
        <v>7.4710668668605609E-2</v>
      </c>
      <c r="AS205" s="14">
        <v>0.96188139266075223</v>
      </c>
      <c r="AT205" s="14">
        <v>0.82119474009049942</v>
      </c>
      <c r="AU205" s="14">
        <v>-0.72210990197487357</v>
      </c>
      <c r="AV205" s="14">
        <v>-0.85296187729331985</v>
      </c>
      <c r="AW205" s="14">
        <v>0.34253547358062036</v>
      </c>
      <c r="AX205" s="14">
        <v>-0.62935694091952488</v>
      </c>
      <c r="AY205" s="14">
        <v>0.88807066375332944</v>
      </c>
      <c r="AZ205" s="14">
        <v>-0.94228196400989594</v>
      </c>
      <c r="BA205" s="14">
        <v>-3.4077190875074791E-2</v>
      </c>
      <c r="BB205" s="14">
        <v>-0.40624698273845222</v>
      </c>
      <c r="BC205" s="14">
        <v>0.65316746053244878</v>
      </c>
      <c r="BD205" s="14">
        <v>0.86418141647696678</v>
      </c>
      <c r="BE205" s="14">
        <v>0.93030377144846887</v>
      </c>
      <c r="BF205" s="14">
        <v>-0.22237478615561029</v>
      </c>
      <c r="BK205" s="16">
        <v>0.70977060441385142</v>
      </c>
      <c r="BL205" s="16">
        <v>-0.11861726800254188</v>
      </c>
      <c r="BN205" s="17">
        <f t="shared" si="8"/>
        <v>0</v>
      </c>
    </row>
    <row r="206" spans="1:66" x14ac:dyDescent="0.2">
      <c r="A206">
        <v>-0.5047770705546778</v>
      </c>
      <c r="B206">
        <v>-9.5504915226222883E-2</v>
      </c>
      <c r="C206">
        <v>-0.48198504468800468</v>
      </c>
      <c r="D206">
        <v>-0.52401535943282374</v>
      </c>
      <c r="E206">
        <v>1.490154387862614E-2</v>
      </c>
      <c r="F206">
        <v>-0.1404673162251362</v>
      </c>
      <c r="G206">
        <v>-0.31031974292908859</v>
      </c>
      <c r="H206">
        <v>-0.30643313634596647</v>
      </c>
      <c r="I206">
        <v>-0.39131532747202652</v>
      </c>
      <c r="J206">
        <v>-0.2353217998533301</v>
      </c>
      <c r="M206" s="13">
        <v>0</v>
      </c>
      <c r="O206" s="10">
        <f t="shared" si="9"/>
        <v>1</v>
      </c>
      <c r="P206" s="10">
        <f t="shared" si="10"/>
        <v>0</v>
      </c>
      <c r="R206" s="14">
        <v>0.50285749704492255</v>
      </c>
      <c r="S206" s="14">
        <v>1.0299196413872362</v>
      </c>
      <c r="T206" s="14">
        <v>-7.5094105227266894E-3</v>
      </c>
      <c r="U206" s="14">
        <v>-1.4702005042150157</v>
      </c>
      <c r="V206" s="14">
        <v>0.64125959228668661</v>
      </c>
      <c r="W206" s="14">
        <v>-0.749176704695801</v>
      </c>
      <c r="X206" s="14">
        <v>-1.4630122218456012</v>
      </c>
      <c r="Y206" s="14">
        <v>-0.87328606190790725</v>
      </c>
      <c r="Z206" s="14">
        <v>1.3051269328666923</v>
      </c>
      <c r="AA206" s="14">
        <v>0.53481982048148868</v>
      </c>
      <c r="AB206" s="14">
        <v>1.707451491263696</v>
      </c>
      <c r="AC206" s="14">
        <v>1.0556835597671494</v>
      </c>
      <c r="AD206" s="14">
        <v>-0.65381508007897216</v>
      </c>
      <c r="AE206" s="14">
        <v>1.6892108400765511</v>
      </c>
      <c r="AF206" s="14">
        <v>-0.16823249965342602</v>
      </c>
      <c r="AG206" s="14">
        <v>-1.6536713042531954</v>
      </c>
      <c r="AH206" s="14">
        <v>-1.1538043542063281</v>
      </c>
      <c r="AI206" s="14">
        <v>-1.5794310415916062</v>
      </c>
      <c r="AJ206" s="14">
        <v>0.71405022143377572</v>
      </c>
      <c r="AK206" s="14">
        <v>-1.0009439106560343</v>
      </c>
      <c r="AM206" s="14">
        <v>-0.52637944710508533</v>
      </c>
      <c r="AN206" s="14">
        <v>-0.1245768607914528</v>
      </c>
      <c r="AO206" s="14">
        <v>-0.41056878500919064</v>
      </c>
      <c r="AP206" s="14">
        <v>-0.61381541932115613</v>
      </c>
      <c r="AQ206" s="14">
        <v>-0.72866219152651912</v>
      </c>
      <c r="AR206" s="14">
        <v>0.56609050957453522</v>
      </c>
      <c r="AS206" s="14">
        <v>0.5468461851082097</v>
      </c>
      <c r="AT206" s="14">
        <v>-0.34298472546849534</v>
      </c>
      <c r="AU206" s="14">
        <v>-0.83405403684059631</v>
      </c>
      <c r="AV206" s="14">
        <v>-0.47488069908440156</v>
      </c>
      <c r="AW206" s="14">
        <v>0.73230527450130434</v>
      </c>
      <c r="AX206" s="14">
        <v>-0.65117942025753173</v>
      </c>
      <c r="AY206" s="14">
        <v>0.22827953051652008</v>
      </c>
      <c r="AZ206" s="14">
        <v>-0.50509230108237857</v>
      </c>
      <c r="BA206" s="14">
        <v>-0.40642188368557103</v>
      </c>
      <c r="BB206" s="14">
        <v>-0.29864495110248912</v>
      </c>
      <c r="BC206" s="14">
        <v>-1.0449244408080691E-2</v>
      </c>
      <c r="BD206" s="14">
        <v>-1.2820387359348017E-2</v>
      </c>
      <c r="BE206" s="14">
        <v>0.42247150293980734</v>
      </c>
      <c r="BF206" s="14">
        <v>0.48402441717002126</v>
      </c>
      <c r="BK206" s="16">
        <v>0.67344268257158824</v>
      </c>
      <c r="BL206" s="16">
        <v>-0.36286236596667854</v>
      </c>
      <c r="BN206" s="17">
        <f t="shared" si="8"/>
        <v>0</v>
      </c>
    </row>
    <row r="207" spans="1:66" x14ac:dyDescent="0.2">
      <c r="A207">
        <v>0.25295443801295209</v>
      </c>
      <c r="B207">
        <v>-0.56629316678715247</v>
      </c>
      <c r="C207">
        <v>0.25217973435925312</v>
      </c>
      <c r="D207">
        <v>0.15156442744345969</v>
      </c>
      <c r="E207">
        <v>-0.1694572217123792</v>
      </c>
      <c r="F207">
        <v>-0.19687777882931939</v>
      </c>
      <c r="G207">
        <v>-0.24437495569217871</v>
      </c>
      <c r="H207">
        <v>0.27328801197864722</v>
      </c>
      <c r="I207">
        <v>0.1605961168346508</v>
      </c>
      <c r="J207">
        <v>0.1195941526438494</v>
      </c>
      <c r="M207" s="13">
        <v>1</v>
      </c>
      <c r="O207" s="10">
        <f t="shared" si="9"/>
        <v>0</v>
      </c>
      <c r="P207" s="10">
        <f t="shared" si="10"/>
        <v>1</v>
      </c>
      <c r="R207" s="14">
        <v>1.0383991744969234E-2</v>
      </c>
      <c r="S207" s="14">
        <v>-1.1204058371998569</v>
      </c>
      <c r="T207" s="14">
        <v>-0.80674766323679059</v>
      </c>
      <c r="U207" s="14">
        <v>-1.1853506191841365</v>
      </c>
      <c r="V207" s="14">
        <v>-0.60512122186063133</v>
      </c>
      <c r="W207" s="14">
        <v>-0.11944922528001928</v>
      </c>
      <c r="X207" s="14">
        <v>1.0651485261586591</v>
      </c>
      <c r="Y207" s="14">
        <v>1.1629263859920287</v>
      </c>
      <c r="Z207" s="14">
        <v>3.728689835755794E-2</v>
      </c>
      <c r="AA207" s="14">
        <v>-0.28205930340415042</v>
      </c>
      <c r="AB207" s="14">
        <v>0.718699483792272</v>
      </c>
      <c r="AC207" s="14">
        <v>-0.14197493682881324</v>
      </c>
      <c r="AD207" s="14">
        <v>1.1307703692841642</v>
      </c>
      <c r="AE207" s="14">
        <v>-0.65672720164278031</v>
      </c>
      <c r="AF207" s="14">
        <v>-0.23101262049310178</v>
      </c>
      <c r="AG207" s="14">
        <v>-0.59934275328738373</v>
      </c>
      <c r="AH207" s="14">
        <v>-1.6383906023799577E-2</v>
      </c>
      <c r="AI207" s="14">
        <v>0.3364823187437731</v>
      </c>
      <c r="AJ207" s="14">
        <v>1.567335386952136</v>
      </c>
      <c r="AK207" s="14">
        <v>-1.1698573937068004</v>
      </c>
      <c r="AM207" s="14">
        <v>0.39304749998743577</v>
      </c>
      <c r="AN207" s="14">
        <v>0.70374417741631368</v>
      </c>
      <c r="AO207" s="14">
        <v>0.42488544740674616</v>
      </c>
      <c r="AP207" s="14">
        <v>5.9996991637640766E-2</v>
      </c>
      <c r="AQ207" s="14">
        <v>0.44979438360249924</v>
      </c>
      <c r="AR207" s="14">
        <v>0.31866811707179366</v>
      </c>
      <c r="AS207" s="14">
        <v>-0.67285608099397176</v>
      </c>
      <c r="AT207" s="14">
        <v>-0.7777005140646216</v>
      </c>
      <c r="AU207" s="14">
        <v>-0.14951132827380828</v>
      </c>
      <c r="AV207" s="14">
        <v>0.58620646581967484</v>
      </c>
      <c r="AW207" s="14">
        <v>0.21342790423347111</v>
      </c>
      <c r="AX207" s="14">
        <v>0.30304348252836555</v>
      </c>
      <c r="AY207" s="14">
        <v>-0.57923496363083382</v>
      </c>
      <c r="AZ207" s="14">
        <v>0.70162228979101882</v>
      </c>
      <c r="BA207" s="14">
        <v>-0.20188063375206686</v>
      </c>
      <c r="BB207" s="14">
        <v>5.2636212302672951E-2</v>
      </c>
      <c r="BC207" s="14">
        <v>-0.45680073303459562</v>
      </c>
      <c r="BD207" s="14">
        <v>-0.6129024251965195</v>
      </c>
      <c r="BE207" s="14">
        <v>-0.59196775889834441</v>
      </c>
      <c r="BF207" s="14">
        <v>5.3547405339262798E-2</v>
      </c>
      <c r="BK207" s="16">
        <v>0.75081984468918606</v>
      </c>
      <c r="BL207" s="16">
        <v>-0.33167968033178741</v>
      </c>
      <c r="BN207" s="17">
        <f t="shared" si="8"/>
        <v>0</v>
      </c>
    </row>
    <row r="208" spans="1:66" x14ac:dyDescent="0.2">
      <c r="A208">
        <v>-1.2464961396959739</v>
      </c>
      <c r="B208">
        <v>-0.42162386031790861</v>
      </c>
      <c r="C208">
        <v>-1.236070631759157</v>
      </c>
      <c r="D208">
        <v>-1.060852301283812</v>
      </c>
      <c r="E208">
        <v>-0.60730928999101708</v>
      </c>
      <c r="F208">
        <v>-0.91521232900214955</v>
      </c>
      <c r="G208">
        <v>-0.78803605047089054</v>
      </c>
      <c r="H208">
        <v>-1.2484800023734639</v>
      </c>
      <c r="I208">
        <v>-1.0046880269694669</v>
      </c>
      <c r="J208">
        <v>-0.91849757001878718</v>
      </c>
      <c r="M208" s="13">
        <v>0</v>
      </c>
      <c r="O208" s="10">
        <f t="shared" si="9"/>
        <v>1</v>
      </c>
      <c r="P208" s="10">
        <f t="shared" si="10"/>
        <v>0</v>
      </c>
      <c r="R208" s="14">
        <v>-0.57126377047092236</v>
      </c>
      <c r="S208" s="14">
        <v>-1.1327735595051469</v>
      </c>
      <c r="T208" s="14">
        <v>-0.82792211608849564</v>
      </c>
      <c r="U208" s="14">
        <v>-1.1745837716639445</v>
      </c>
      <c r="V208" s="14">
        <v>-0.61414108659196942</v>
      </c>
      <c r="W208" s="14">
        <v>-0.33220794000466319</v>
      </c>
      <c r="X208" s="14">
        <v>1.0654939088376245</v>
      </c>
      <c r="Y208" s="14">
        <v>1.3242772705876074</v>
      </c>
      <c r="Z208" s="14">
        <v>0.30046494802072066</v>
      </c>
      <c r="AA208" s="14">
        <v>-0.29778006740248664</v>
      </c>
      <c r="AB208" s="14">
        <v>0.57711284612943548</v>
      </c>
      <c r="AC208" s="14">
        <v>-0.32690942674121259</v>
      </c>
      <c r="AD208" s="14">
        <v>1.1380171608074927</v>
      </c>
      <c r="AE208" s="14">
        <v>-0.66209210473052527</v>
      </c>
      <c r="AF208" s="14">
        <v>-0.24682202127653574</v>
      </c>
      <c r="AG208" s="14">
        <v>-0.5720170897496305</v>
      </c>
      <c r="AH208" s="14">
        <v>0.11148766934732335</v>
      </c>
      <c r="AI208" s="14">
        <v>0.34114459191778412</v>
      </c>
      <c r="AJ208" s="14">
        <v>1.5674609357449851</v>
      </c>
      <c r="AK208" s="14">
        <v>-1.0435715744913714</v>
      </c>
      <c r="AM208" s="14">
        <v>-0.65195787582871834</v>
      </c>
      <c r="AN208" s="14">
        <v>-0.78779164474661656</v>
      </c>
      <c r="AO208" s="14">
        <v>-0.23659949160488605</v>
      </c>
      <c r="AP208" s="14">
        <v>0.26467751698446867</v>
      </c>
      <c r="AQ208" s="14">
        <v>-0.15924450685547009</v>
      </c>
      <c r="AR208" s="14">
        <v>0.26011224129406962</v>
      </c>
      <c r="AS208" s="14">
        <v>0.73806491138529218</v>
      </c>
      <c r="AT208" s="14">
        <v>0.83066270331670877</v>
      </c>
      <c r="AU208" s="14">
        <v>9.8039141877087933E-3</v>
      </c>
      <c r="AV208" s="14">
        <v>-0.51740436166782577</v>
      </c>
      <c r="AW208" s="14">
        <v>-0.80975996979715525</v>
      </c>
      <c r="AX208" s="14">
        <v>-0.35666027396051125</v>
      </c>
      <c r="AY208" s="14">
        <v>0.58692811908824949</v>
      </c>
      <c r="AZ208" s="14">
        <v>-0.81536812039969331</v>
      </c>
      <c r="BA208" s="14">
        <v>-0.20592847787103996</v>
      </c>
      <c r="BB208" s="14">
        <v>0.29179385190769203</v>
      </c>
      <c r="BC208" s="14">
        <v>0.44919887720227863</v>
      </c>
      <c r="BD208" s="14">
        <v>0.74367254353666157</v>
      </c>
      <c r="BE208" s="14">
        <v>0.59410528876741808</v>
      </c>
      <c r="BF208" s="14">
        <v>8.4759462608071143E-2</v>
      </c>
      <c r="BK208" s="16">
        <v>-0.25935484959620869</v>
      </c>
      <c r="BL208" s="16">
        <v>0.2300487264526308</v>
      </c>
      <c r="BN208" s="17">
        <f t="shared" si="8"/>
        <v>1</v>
      </c>
    </row>
    <row r="209" spans="1:66" x14ac:dyDescent="0.2">
      <c r="A209">
        <v>0.7933742686517532</v>
      </c>
      <c r="B209">
        <v>0.31153076060249713</v>
      </c>
      <c r="C209">
        <v>0.70537811690284025</v>
      </c>
      <c r="D209">
        <v>0.69185554800877003</v>
      </c>
      <c r="E209">
        <v>-0.59392841184328293</v>
      </c>
      <c r="F209">
        <v>-0.27126520204362692</v>
      </c>
      <c r="G209">
        <v>9.0716579453515522E-2</v>
      </c>
      <c r="H209">
        <v>0.69358584451399252</v>
      </c>
      <c r="I209">
        <v>0.55114962604396511</v>
      </c>
      <c r="J209">
        <v>-0.11402141102518019</v>
      </c>
      <c r="M209" s="13">
        <v>1</v>
      </c>
      <c r="O209" s="10">
        <f t="shared" si="9"/>
        <v>0</v>
      </c>
      <c r="P209" s="10">
        <f t="shared" si="10"/>
        <v>1</v>
      </c>
      <c r="R209" s="14">
        <v>-0.69247622032575351</v>
      </c>
      <c r="S209" s="14">
        <v>-1.1330872257566613</v>
      </c>
      <c r="T209" s="14">
        <v>-0.84267479322287875</v>
      </c>
      <c r="U209" s="14">
        <v>-1.319729350140828</v>
      </c>
      <c r="V209" s="14">
        <v>-0.66771371984073957</v>
      </c>
      <c r="W209" s="14">
        <v>-0.19944131657447667</v>
      </c>
      <c r="X209" s="14">
        <v>1.0655291485067888</v>
      </c>
      <c r="Y209" s="14">
        <v>1.279111115954769</v>
      </c>
      <c r="Z209" s="14">
        <v>-0.19428268934493581</v>
      </c>
      <c r="AA209" s="14">
        <v>-0.30069781423532616</v>
      </c>
      <c r="AB209" s="14">
        <v>0.77152692187087113</v>
      </c>
      <c r="AC209" s="14">
        <v>-0.37507716679062542</v>
      </c>
      <c r="AD209" s="14">
        <v>1.1387815157219927</v>
      </c>
      <c r="AE209" s="14">
        <v>-0.6624313083581419</v>
      </c>
      <c r="AF209" s="14">
        <v>-0.3255790544890742</v>
      </c>
      <c r="AG209" s="14">
        <v>-0.62321750374592755</v>
      </c>
      <c r="AH209" s="14">
        <v>0.17592791976275379</v>
      </c>
      <c r="AI209" s="14">
        <v>0.34121155226634847</v>
      </c>
      <c r="AJ209" s="14">
        <v>1.5681615192747764</v>
      </c>
      <c r="AK209" s="14">
        <v>-0.94247530885717579</v>
      </c>
      <c r="AM209" s="14">
        <v>0.48326832414232973</v>
      </c>
      <c r="AN209" s="14">
        <v>-0.77821365178018564</v>
      </c>
      <c r="AO209" s="14">
        <v>-0.29202449375419065</v>
      </c>
      <c r="AP209" s="14">
        <v>-0.25736212477371928</v>
      </c>
      <c r="AQ209" s="14">
        <v>-0.49982885851406927</v>
      </c>
      <c r="AR209" s="14">
        <v>-0.57310705173024468</v>
      </c>
      <c r="AS209" s="14">
        <v>0.80617030824829172</v>
      </c>
      <c r="AT209" s="14">
        <v>0.84200536891908084</v>
      </c>
      <c r="AU209" s="14">
        <v>0.19457760815845002</v>
      </c>
      <c r="AV209" s="14">
        <v>-0.54541472651504253</v>
      </c>
      <c r="AW209" s="14">
        <v>-0.4039115575503695</v>
      </c>
      <c r="AX209" s="14">
        <v>0.18698991693984046</v>
      </c>
      <c r="AY209" s="14">
        <v>0.75613845139683356</v>
      </c>
      <c r="AZ209" s="14">
        <v>-0.68498038074492884</v>
      </c>
      <c r="BA209" s="14">
        <v>0.39964693580036398</v>
      </c>
      <c r="BB209" s="14">
        <v>-0.30556330452097774</v>
      </c>
      <c r="BC209" s="14">
        <v>0.51054027214766085</v>
      </c>
      <c r="BD209" s="14">
        <v>0.76685285513801371</v>
      </c>
      <c r="BE209" s="14">
        <v>0.79028329091654925</v>
      </c>
      <c r="BF209" s="14">
        <v>-0.7099575752025109</v>
      </c>
      <c r="BK209" s="16">
        <v>0.55361042424109141</v>
      </c>
      <c r="BL209" s="16">
        <v>-0.2604635079180691</v>
      </c>
      <c r="BN209" s="17">
        <f t="shared" si="8"/>
        <v>0</v>
      </c>
    </row>
    <row r="210" spans="1:66" x14ac:dyDescent="0.2">
      <c r="A210">
        <v>-0.3217777628251372</v>
      </c>
      <c r="B210">
        <v>0.87059180933109992</v>
      </c>
      <c r="C210">
        <v>-0.2358800622261486</v>
      </c>
      <c r="D210">
        <v>-0.3872874519908831</v>
      </c>
      <c r="E210">
        <v>0.80474504565460636</v>
      </c>
      <c r="F210">
        <v>-5.3681989141777249E-2</v>
      </c>
      <c r="G210">
        <v>1.7103793700685689E-2</v>
      </c>
      <c r="H210">
        <v>-0.3933913085946586</v>
      </c>
      <c r="I210">
        <v>-0.45968433180526708</v>
      </c>
      <c r="J210">
        <v>-6.9095341088828283E-2</v>
      </c>
      <c r="M210" s="13">
        <v>0</v>
      </c>
      <c r="O210" s="10">
        <f t="shared" si="9"/>
        <v>1</v>
      </c>
      <c r="P210" s="10">
        <f t="shared" si="10"/>
        <v>0</v>
      </c>
      <c r="R210" s="14">
        <v>-0.71368606480481678</v>
      </c>
      <c r="S210" s="14">
        <v>-0.13018262290833366</v>
      </c>
      <c r="T210" s="14">
        <v>-0.73092331590114956</v>
      </c>
      <c r="U210" s="14">
        <v>-1.5013850723056472</v>
      </c>
      <c r="V210" s="14">
        <v>-0.64301335675978988</v>
      </c>
      <c r="W210" s="14">
        <v>1.0559544773109948</v>
      </c>
      <c r="X210" s="14">
        <v>1.0513876967529312</v>
      </c>
      <c r="Y210" s="14">
        <v>-0.47262118735125891</v>
      </c>
      <c r="Z210" s="14">
        <v>-1.1978363890752384</v>
      </c>
      <c r="AA210" s="14">
        <v>-0.24645239832470167</v>
      </c>
      <c r="AB210" s="14">
        <v>0.78787547672981173</v>
      </c>
      <c r="AC210" s="14">
        <v>-0.37087150747089515</v>
      </c>
      <c r="AD210" s="14">
        <v>0.77040034753069442</v>
      </c>
      <c r="AE210" s="14">
        <v>-0.60606345808401474</v>
      </c>
      <c r="AF210" s="14">
        <v>-0.32071050684257119</v>
      </c>
      <c r="AG210" s="14">
        <v>-0.51473508226498899</v>
      </c>
      <c r="AH210" s="14">
        <v>-0.61968139022247182</v>
      </c>
      <c r="AI210" s="14">
        <v>-0.96865480469460885</v>
      </c>
      <c r="AJ210" s="14">
        <v>1.4008020777726751</v>
      </c>
      <c r="AK210" s="14">
        <v>1.5124910896257115E-2</v>
      </c>
      <c r="AM210" s="14">
        <v>0.61491399626689591</v>
      </c>
      <c r="AN210" s="14">
        <v>0.95995263786385254</v>
      </c>
      <c r="AO210" s="14">
        <v>0.72585018423511316</v>
      </c>
      <c r="AP210" s="14">
        <v>7.2281926173767219E-2</v>
      </c>
      <c r="AQ210" s="14">
        <v>0.95762396271023842</v>
      </c>
      <c r="AR210" s="14">
        <v>-0.6103833192373882</v>
      </c>
      <c r="AS210" s="14">
        <v>-0.9853488417169457</v>
      </c>
      <c r="AT210" s="14">
        <v>-0.72032570107608018</v>
      </c>
      <c r="AU210" s="14">
        <v>0.98210574864881328</v>
      </c>
      <c r="AV210" s="14">
        <v>0.83468712071686624</v>
      </c>
      <c r="AW210" s="14">
        <v>-0.32057740174916582</v>
      </c>
      <c r="AX210" s="14">
        <v>0.89540085666555713</v>
      </c>
      <c r="AY210" s="14">
        <v>-0.93964451475529009</v>
      </c>
      <c r="AZ210" s="14">
        <v>0.97896993120011422</v>
      </c>
      <c r="BA210" s="14">
        <v>0.14735776916824769</v>
      </c>
      <c r="BB210" s="14">
        <v>0.40544652805546338</v>
      </c>
      <c r="BC210" s="14">
        <v>-0.69664206950234608</v>
      </c>
      <c r="BD210" s="14">
        <v>-0.93356792614815343</v>
      </c>
      <c r="BE210" s="14">
        <v>-0.95078932625804558</v>
      </c>
      <c r="BF210" s="14">
        <v>0.44682361928943481</v>
      </c>
      <c r="BK210" s="16">
        <v>0.39138667135798427</v>
      </c>
      <c r="BL210" s="16">
        <v>-0.52939540100534199</v>
      </c>
      <c r="BN210" s="17">
        <f t="shared" si="8"/>
        <v>0</v>
      </c>
    </row>
    <row r="211" spans="1:66" x14ac:dyDescent="0.2">
      <c r="A211">
        <v>0.29584490076206332</v>
      </c>
      <c r="B211">
        <v>-1.490705514904185</v>
      </c>
      <c r="C211">
        <v>0.22686370749555451</v>
      </c>
      <c r="D211">
        <v>0.1771829195746864</v>
      </c>
      <c r="E211">
        <v>-0.79352651088031878</v>
      </c>
      <c r="F211">
        <v>-0.40243502497818928</v>
      </c>
      <c r="G211">
        <v>-0.48003811008144631</v>
      </c>
      <c r="H211">
        <v>0.19254113774771869</v>
      </c>
      <c r="I211">
        <v>5.9990949836514602E-2</v>
      </c>
      <c r="J211">
        <v>-0.205371086562429</v>
      </c>
      <c r="M211" s="13">
        <v>0</v>
      </c>
      <c r="O211" s="10">
        <f t="shared" si="9"/>
        <v>1</v>
      </c>
      <c r="P211" s="10">
        <f t="shared" si="10"/>
        <v>0</v>
      </c>
      <c r="R211" s="14">
        <v>0.26739685998662055</v>
      </c>
      <c r="S211" s="14">
        <v>1.0311701878251698</v>
      </c>
      <c r="T211" s="14">
        <v>0.30665228183120019</v>
      </c>
      <c r="U211" s="14">
        <v>-0.61634582551683348</v>
      </c>
      <c r="V211" s="14">
        <v>1.2229732611961199</v>
      </c>
      <c r="W211" s="14">
        <v>0.41129719079572341</v>
      </c>
      <c r="X211" s="14">
        <v>-1.4636747441803286</v>
      </c>
      <c r="Y211" s="14">
        <v>-1.0854611409236996</v>
      </c>
      <c r="Z211" s="14">
        <v>4.3327537649603731E-2</v>
      </c>
      <c r="AA211" s="14">
        <v>1.1914385236520033</v>
      </c>
      <c r="AB211" s="14">
        <v>1.1103873240748785</v>
      </c>
      <c r="AC211" s="14">
        <v>0.82523169073713554</v>
      </c>
      <c r="AD211" s="14">
        <v>-0.75740268830726698</v>
      </c>
      <c r="AE211" s="14">
        <v>1.6865206488887452</v>
      </c>
      <c r="AF211" s="14">
        <v>-0.70283615581063508</v>
      </c>
      <c r="AG211" s="14">
        <v>-0.35660786908796788</v>
      </c>
      <c r="AH211" s="14">
        <v>-1.1111032114335266</v>
      </c>
      <c r="AI211" s="14">
        <v>-1.5824143252844318</v>
      </c>
      <c r="AJ211" s="14">
        <v>-0.51123386049617348</v>
      </c>
      <c r="AK211" s="14">
        <v>-0.47425507439564879</v>
      </c>
      <c r="AM211" s="14">
        <v>0.20851397224825235</v>
      </c>
      <c r="AN211" s="14">
        <v>0.98336276188780924</v>
      </c>
      <c r="AO211" s="14">
        <v>0.57998097058049858</v>
      </c>
      <c r="AP211" s="14">
        <v>0.37310105396448701</v>
      </c>
      <c r="AQ211" s="14">
        <v>0.95564569952749745</v>
      </c>
      <c r="AR211" s="14">
        <v>0.31237302824838459</v>
      </c>
      <c r="AS211" s="14">
        <v>-0.98713770527112765</v>
      </c>
      <c r="AT211" s="14">
        <v>-0.97844941322863299</v>
      </c>
      <c r="AU211" s="14">
        <v>0.56474402727269546</v>
      </c>
      <c r="AV211" s="14">
        <v>0.95274590540455795</v>
      </c>
      <c r="AW211" s="14">
        <v>0.5759549996301121</v>
      </c>
      <c r="AX211" s="14">
        <v>0.50822120606204535</v>
      </c>
      <c r="AY211" s="14">
        <v>-0.94985628795997457</v>
      </c>
      <c r="AZ211" s="14">
        <v>0.98590370119028836</v>
      </c>
      <c r="BA211" s="14">
        <v>-0.12813426393312152</v>
      </c>
      <c r="BB211" s="14">
        <v>0.70606245816228608</v>
      </c>
      <c r="BC211" s="14">
        <v>-0.87250464938654482</v>
      </c>
      <c r="BD211" s="14">
        <v>-0.96637569621577657</v>
      </c>
      <c r="BE211" s="14">
        <v>-0.97751903807874108</v>
      </c>
      <c r="BF211" s="14">
        <v>0.82392450834179221</v>
      </c>
      <c r="BK211" s="16">
        <v>-0.77596070132941808</v>
      </c>
      <c r="BL211" s="16">
        <v>0.53121197440718138</v>
      </c>
      <c r="BN211" s="17">
        <f t="shared" ref="BN211:BN274" si="11">IF(BK211&gt;BL211,0,1)</f>
        <v>1</v>
      </c>
    </row>
    <row r="212" spans="1:66" x14ac:dyDescent="0.2">
      <c r="A212">
        <v>1.8141672820805981</v>
      </c>
      <c r="B212">
        <v>0.77251092358924001</v>
      </c>
      <c r="C212">
        <v>1.7429202014806491</v>
      </c>
      <c r="D212">
        <v>1.8020861564373281</v>
      </c>
      <c r="E212">
        <v>0.55385358038458932</v>
      </c>
      <c r="F212">
        <v>0.90033671358171752</v>
      </c>
      <c r="G212">
        <v>1.156823973116895</v>
      </c>
      <c r="H212">
        <v>1.405814683884232</v>
      </c>
      <c r="I212">
        <v>1.341112733106796</v>
      </c>
      <c r="J212">
        <v>1.11994797655995</v>
      </c>
      <c r="M212" s="13">
        <v>1</v>
      </c>
      <c r="O212" s="10">
        <f t="shared" si="9"/>
        <v>0</v>
      </c>
      <c r="P212" s="10">
        <f t="shared" si="10"/>
        <v>1</v>
      </c>
      <c r="R212" s="14">
        <v>-0.80785618871876874</v>
      </c>
      <c r="S212" s="14">
        <v>-1.1324618893763838</v>
      </c>
      <c r="T212" s="14">
        <v>-0.61197809691517535</v>
      </c>
      <c r="U212" s="14">
        <v>-0.25563420592370378</v>
      </c>
      <c r="V212" s="14">
        <v>-2.9722681109849103E-2</v>
      </c>
      <c r="W212" s="14">
        <v>0.51021995978242152</v>
      </c>
      <c r="X212" s="14">
        <v>1.0642246590324385</v>
      </c>
      <c r="Y212" s="14">
        <v>1.3377456934862755</v>
      </c>
      <c r="Z212" s="14">
        <v>0.28705146837416473</v>
      </c>
      <c r="AA212" s="14">
        <v>-0.26391244303290462</v>
      </c>
      <c r="AB212" s="14">
        <v>-1.1790489611919273</v>
      </c>
      <c r="AC212" s="14">
        <v>-0.34054371018348861</v>
      </c>
      <c r="AD212" s="14">
        <v>1.1010716165066154</v>
      </c>
      <c r="AE212" s="14">
        <v>-0.66239305896038481</v>
      </c>
      <c r="AF212" s="14">
        <v>-0.27544064101833965</v>
      </c>
      <c r="AG212" s="14">
        <v>0.18738680885384201</v>
      </c>
      <c r="AH212" s="14">
        <v>5.3348399592266782E-3</v>
      </c>
      <c r="AI212" s="14">
        <v>0.33976067816762401</v>
      </c>
      <c r="AJ212" s="14">
        <v>1.539396355684356</v>
      </c>
      <c r="AK212" s="14">
        <v>-0.4842993527873044</v>
      </c>
      <c r="AM212" s="14">
        <v>8.1322383663220074E-2</v>
      </c>
      <c r="AN212" s="14">
        <v>0.32246846030098969</v>
      </c>
      <c r="AO212" s="14">
        <v>0.35257095386930049</v>
      </c>
      <c r="AP212" s="14">
        <v>0.62293937724024651</v>
      </c>
      <c r="AQ212" s="14">
        <v>0.4129796116854475</v>
      </c>
      <c r="AR212" s="14">
        <v>-0.36563850718218244</v>
      </c>
      <c r="AS212" s="14">
        <v>-0.60862553437837608</v>
      </c>
      <c r="AT212" s="14">
        <v>2.2123906040578685E-2</v>
      </c>
      <c r="AU212" s="14">
        <v>0.55998105189202751</v>
      </c>
      <c r="AV212" s="14">
        <v>0.30987860195039574</v>
      </c>
      <c r="AW212" s="14">
        <v>-0.32138559402408579</v>
      </c>
      <c r="AX212" s="14">
        <v>0.28844314472144073</v>
      </c>
      <c r="AY212" s="14">
        <v>-0.44811385673720844</v>
      </c>
      <c r="AZ212" s="14">
        <v>0.47574896920563448</v>
      </c>
      <c r="BA212" s="14">
        <v>0.31305978787159472</v>
      </c>
      <c r="BB212" s="14">
        <v>8.2429696516136255E-2</v>
      </c>
      <c r="BC212" s="14">
        <v>6.4759698786599536E-3</v>
      </c>
      <c r="BD212" s="14">
        <v>-0.34142261473274887</v>
      </c>
      <c r="BE212" s="14">
        <v>-0.52092971136994637</v>
      </c>
      <c r="BF212" s="14">
        <v>-0.21953856864330304</v>
      </c>
      <c r="BK212" s="16">
        <v>-0.32528113324285812</v>
      </c>
      <c r="BL212" s="16">
        <v>0.30425709941935553</v>
      </c>
      <c r="BN212" s="17">
        <f t="shared" si="11"/>
        <v>1</v>
      </c>
    </row>
    <row r="213" spans="1:66" x14ac:dyDescent="0.2">
      <c r="A213">
        <v>-0.68491701410094485</v>
      </c>
      <c r="B213">
        <v>-1.2136162345641721E-2</v>
      </c>
      <c r="C213">
        <v>-0.71356443796577163</v>
      </c>
      <c r="D213">
        <v>-0.67916555335115203</v>
      </c>
      <c r="E213">
        <v>-0.66901000589445825</v>
      </c>
      <c r="F213">
        <v>-0.80201946667771151</v>
      </c>
      <c r="G213">
        <v>-0.93091642281752907</v>
      </c>
      <c r="H213">
        <v>-0.65219539266814697</v>
      </c>
      <c r="I213">
        <v>-0.62440758058742685</v>
      </c>
      <c r="J213">
        <v>-0.72007409446656656</v>
      </c>
      <c r="M213" s="13">
        <v>0</v>
      </c>
      <c r="O213" s="10">
        <f t="shared" si="9"/>
        <v>1</v>
      </c>
      <c r="P213" s="10">
        <f t="shared" si="10"/>
        <v>0</v>
      </c>
      <c r="R213" s="14">
        <v>0.55849068094126475</v>
      </c>
      <c r="S213" s="14">
        <v>-1.1303283359119707</v>
      </c>
      <c r="T213" s="14">
        <v>-0.70278486133706064</v>
      </c>
      <c r="U213" s="14">
        <v>-0.93660119557311128</v>
      </c>
      <c r="V213" s="14">
        <v>-0.49634827472780219</v>
      </c>
      <c r="W213" s="14">
        <v>-0.46318934836044695</v>
      </c>
      <c r="X213" s="14">
        <v>1.0647136543338025</v>
      </c>
      <c r="Y213" s="14">
        <v>1.3321958707139108</v>
      </c>
      <c r="Z213" s="14">
        <v>0.5469865964069206</v>
      </c>
      <c r="AA213" s="14">
        <v>-0.27657013405399133</v>
      </c>
      <c r="AB213" s="14">
        <v>-0.1187273714513797</v>
      </c>
      <c r="AC213" s="14">
        <v>0.42384928604508326</v>
      </c>
      <c r="AD213" s="14">
        <v>1.1357875159096094</v>
      </c>
      <c r="AE213" s="14">
        <v>-0.6468999936289932</v>
      </c>
      <c r="AF213" s="14">
        <v>0.18332421607086175</v>
      </c>
      <c r="AG213" s="14">
        <v>-0.58184138771396721</v>
      </c>
      <c r="AH213" s="14">
        <v>6.9639591665828338E-2</v>
      </c>
      <c r="AI213" s="14">
        <v>0.34035895209604194</v>
      </c>
      <c r="AJ213" s="14">
        <v>1.5667804439257962</v>
      </c>
      <c r="AK213" s="14">
        <v>-1.4764398365177889</v>
      </c>
      <c r="AM213" s="14">
        <v>7.8581052714939578E-2</v>
      </c>
      <c r="AN213" s="14">
        <v>-0.60384874231706764</v>
      </c>
      <c r="AO213" s="14">
        <v>-0.3746893178355124</v>
      </c>
      <c r="AP213" s="14">
        <v>-0.48341045795897691</v>
      </c>
      <c r="AQ213" s="14">
        <v>-0.63157197623174521</v>
      </c>
      <c r="AR213" s="14">
        <v>-9.6828014837620643E-2</v>
      </c>
      <c r="AS213" s="14">
        <v>0.75299553040262979</v>
      </c>
      <c r="AT213" s="14">
        <v>0.49968589330843927</v>
      </c>
      <c r="AU213" s="14">
        <v>-0.43165686009237603</v>
      </c>
      <c r="AV213" s="14">
        <v>-0.53260987770288537</v>
      </c>
      <c r="AW213" s="14">
        <v>0.2172040051164624</v>
      </c>
      <c r="AX213" s="14">
        <v>-0.22264861417929002</v>
      </c>
      <c r="AY213" s="14">
        <v>0.62496381739495765</v>
      </c>
      <c r="AZ213" s="14">
        <v>-0.64300084275616365</v>
      </c>
      <c r="BA213" s="14">
        <v>5.8200565412534905E-2</v>
      </c>
      <c r="BB213" s="14">
        <v>-0.31039823311192222</v>
      </c>
      <c r="BC213" s="14">
        <v>0.31941121158042035</v>
      </c>
      <c r="BD213" s="14">
        <v>0.55524576001767822</v>
      </c>
      <c r="BE213" s="14">
        <v>0.69962930878857521</v>
      </c>
      <c r="BF213" s="14">
        <v>-0.28093350137431505</v>
      </c>
      <c r="BK213" s="16">
        <v>0.85426236018968427</v>
      </c>
      <c r="BL213" s="16">
        <v>-0.16320166451656851</v>
      </c>
      <c r="BN213" s="17">
        <f t="shared" si="11"/>
        <v>0</v>
      </c>
    </row>
    <row r="214" spans="1:66" x14ac:dyDescent="0.2">
      <c r="A214">
        <v>3.967268512085977</v>
      </c>
      <c r="B214">
        <v>-0.12738120309232809</v>
      </c>
      <c r="C214">
        <v>3.9757107674920951</v>
      </c>
      <c r="D214">
        <v>5.2821712111174577</v>
      </c>
      <c r="E214">
        <v>0.86607407049838891</v>
      </c>
      <c r="F214">
        <v>2.835649507540619</v>
      </c>
      <c r="G214">
        <v>2.789852057057276</v>
      </c>
      <c r="H214">
        <v>2.4141153954345431</v>
      </c>
      <c r="I214">
        <v>2.8342492785192772</v>
      </c>
      <c r="J214">
        <v>0.63324888558280545</v>
      </c>
      <c r="M214" s="13">
        <v>1</v>
      </c>
      <c r="O214" s="10">
        <f t="shared" si="9"/>
        <v>0</v>
      </c>
      <c r="P214" s="10">
        <f t="shared" si="10"/>
        <v>1</v>
      </c>
      <c r="R214" s="14">
        <v>0.52420108727953474</v>
      </c>
      <c r="S214" s="14">
        <v>1.0359332096032525</v>
      </c>
      <c r="T214" s="14">
        <v>0.45027135349759562</v>
      </c>
      <c r="U214" s="14">
        <v>-0.50076617658606937</v>
      </c>
      <c r="V214" s="14">
        <v>1.5052123652636555</v>
      </c>
      <c r="W214" s="14">
        <v>-0.30628555136169777</v>
      </c>
      <c r="X214" s="14">
        <v>-1.4659127711484277</v>
      </c>
      <c r="Y214" s="14">
        <v>-0.69413439811287558</v>
      </c>
      <c r="Z214" s="14">
        <v>1.7443229466035231</v>
      </c>
      <c r="AA214" s="14">
        <v>1.2163756984467748</v>
      </c>
      <c r="AB214" s="14">
        <v>-0.2883911715862284</v>
      </c>
      <c r="AC214" s="14">
        <v>1.0652146632932546</v>
      </c>
      <c r="AD214" s="14">
        <v>-0.81583632850422672</v>
      </c>
      <c r="AE214" s="14">
        <v>1.6894094608572467</v>
      </c>
      <c r="AF214" s="14">
        <v>0.24898455304373812</v>
      </c>
      <c r="AG214" s="14">
        <v>0.28930454610682699</v>
      </c>
      <c r="AH214" s="14">
        <v>-1.3965007174808348</v>
      </c>
      <c r="AI214" s="14">
        <v>-1.603628064129452</v>
      </c>
      <c r="AJ214" s="14">
        <v>-0.55690819392505553</v>
      </c>
      <c r="AK214" s="14">
        <v>-0.1058307220785441</v>
      </c>
      <c r="AM214" s="14">
        <v>-0.14548356109015079</v>
      </c>
      <c r="AN214" s="14">
        <v>5.8241353033516026E-2</v>
      </c>
      <c r="AO214" s="14">
        <v>0.17262439436345955</v>
      </c>
      <c r="AP214" s="14">
        <v>0.62675301267736427</v>
      </c>
      <c r="AQ214" s="14">
        <v>0.3785891640069699</v>
      </c>
      <c r="AR214" s="14">
        <v>-3.8177913467786644E-2</v>
      </c>
      <c r="AS214" s="14">
        <v>-0.19350065593423171</v>
      </c>
      <c r="AT214" s="14">
        <v>2.082103149950142E-2</v>
      </c>
      <c r="AU214" s="14">
        <v>4.1253264179372945E-2</v>
      </c>
      <c r="AV214" s="14">
        <v>0.36567329962440065</v>
      </c>
      <c r="AW214" s="14">
        <v>-0.53170269406283777</v>
      </c>
      <c r="AX214" s="14">
        <v>-0.13598486781443048</v>
      </c>
      <c r="AY214" s="14">
        <v>-0.13252750059926513</v>
      </c>
      <c r="AZ214" s="14">
        <v>0.12068858518080382</v>
      </c>
      <c r="BA214" s="14">
        <v>0.1696002786691031</v>
      </c>
      <c r="BB214" s="14">
        <v>0.51677354351832583</v>
      </c>
      <c r="BC214" s="14">
        <v>-1.0823943513141469E-2</v>
      </c>
      <c r="BD214" s="14">
        <v>-6.7152417433584868E-2</v>
      </c>
      <c r="BE214" s="14">
        <v>-0.38120221900120083</v>
      </c>
      <c r="BF214" s="14">
        <v>4.0265802943961725E-2</v>
      </c>
      <c r="BK214" s="16">
        <v>-0.55671796760219328</v>
      </c>
      <c r="BL214" s="16">
        <v>0.42662881896804467</v>
      </c>
      <c r="BN214" s="17">
        <f t="shared" si="11"/>
        <v>1</v>
      </c>
    </row>
    <row r="215" spans="1:66" x14ac:dyDescent="0.2">
      <c r="A215">
        <v>0.91060820016599042</v>
      </c>
      <c r="B215">
        <v>1.611102496682145</v>
      </c>
      <c r="C215">
        <v>0.90458619714177946</v>
      </c>
      <c r="D215">
        <v>0.81764522285535557</v>
      </c>
      <c r="E215">
        <v>0.1784456101287113</v>
      </c>
      <c r="F215">
        <v>0.95240790983173262</v>
      </c>
      <c r="G215">
        <v>0.39922571974402099</v>
      </c>
      <c r="H215">
        <v>0.33540099215628449</v>
      </c>
      <c r="I215">
        <v>0.2163894752931243</v>
      </c>
      <c r="J215">
        <v>-0.10952880403154509</v>
      </c>
      <c r="M215" s="13">
        <v>1</v>
      </c>
      <c r="O215" s="10">
        <f t="shared" si="9"/>
        <v>0</v>
      </c>
      <c r="P215" s="10">
        <f t="shared" si="10"/>
        <v>1</v>
      </c>
      <c r="R215" s="14">
        <v>0.3977741936947764</v>
      </c>
      <c r="S215" s="14">
        <v>1.0359329933928492</v>
      </c>
      <c r="T215" s="14">
        <v>0.44446603925114581</v>
      </c>
      <c r="U215" s="14">
        <v>-4.1310468749713669E-2</v>
      </c>
      <c r="V215" s="14">
        <v>1.5049070450406123</v>
      </c>
      <c r="W215" s="14">
        <v>0.65903719856425558</v>
      </c>
      <c r="X215" s="14">
        <v>-1.4659127694760186</v>
      </c>
      <c r="Y215" s="14">
        <v>-1.1215446411451699</v>
      </c>
      <c r="Z215" s="14">
        <v>0.28779296581086228</v>
      </c>
      <c r="AA215" s="14">
        <v>1.2163791766545964</v>
      </c>
      <c r="AB215" s="14">
        <v>-0.1689331774817362</v>
      </c>
      <c r="AC215" s="14">
        <v>1.0538208968870457</v>
      </c>
      <c r="AD215" s="14">
        <v>-0.81582993979855267</v>
      </c>
      <c r="AE215" s="14">
        <v>1.6894094373722304</v>
      </c>
      <c r="AF215" s="14">
        <v>0.24262047471771242</v>
      </c>
      <c r="AG215" s="14">
        <v>0.28970607998218456</v>
      </c>
      <c r="AH215" s="14">
        <v>-1.420730799406976</v>
      </c>
      <c r="AI215" s="14">
        <v>-1.6036288486040482</v>
      </c>
      <c r="AJ215" s="14">
        <v>-0.55690811808511387</v>
      </c>
      <c r="AK215" s="14">
        <v>0.33830969896925633</v>
      </c>
      <c r="AM215" s="14">
        <v>-0.29269176341254133</v>
      </c>
      <c r="AN215" s="14">
        <v>-0.84664434073138706</v>
      </c>
      <c r="AO215" s="14">
        <v>-0.5793436059642546</v>
      </c>
      <c r="AP215" s="14">
        <v>-0.4369613790513775</v>
      </c>
      <c r="AQ215" s="14">
        <v>-0.77202644419196742</v>
      </c>
      <c r="AR215" s="14">
        <v>-0.27046849138380674</v>
      </c>
      <c r="AS215" s="14">
        <v>0.87845103632244381</v>
      </c>
      <c r="AT215" s="14">
        <v>0.81337149605040526</v>
      </c>
      <c r="AU215" s="14">
        <v>-0.29285500038717077</v>
      </c>
      <c r="AV215" s="14">
        <v>-0.77502816165868094</v>
      </c>
      <c r="AW215" s="14">
        <v>0.11074830272330602</v>
      </c>
      <c r="AX215" s="14">
        <v>-0.4388371911176816</v>
      </c>
      <c r="AY215" s="14">
        <v>0.78326977768307415</v>
      </c>
      <c r="AZ215" s="14">
        <v>-0.86389358748914269</v>
      </c>
      <c r="BA215" s="14">
        <v>0.13711899059673394</v>
      </c>
      <c r="BB215" s="14">
        <v>-0.34564238081499421</v>
      </c>
      <c r="BC215" s="14">
        <v>0.57316798893287813</v>
      </c>
      <c r="BD215" s="14">
        <v>0.77700384873585271</v>
      </c>
      <c r="BE215" s="14">
        <v>0.82787116675533046</v>
      </c>
      <c r="BF215" s="14">
        <v>-0.23382118694469953</v>
      </c>
      <c r="BK215" s="16">
        <v>-0.11274358236887842</v>
      </c>
      <c r="BL215" s="16">
        <v>0.49063449106624707</v>
      </c>
      <c r="BN215" s="17">
        <f t="shared" si="11"/>
        <v>1</v>
      </c>
    </row>
    <row r="216" spans="1:66" x14ac:dyDescent="0.2">
      <c r="A216">
        <v>-1.2966431031536951E-2</v>
      </c>
      <c r="B216">
        <v>1.1819986215615059</v>
      </c>
      <c r="C216">
        <v>6.9047855650590864E-3</v>
      </c>
      <c r="D216">
        <v>-0.1532668440955193</v>
      </c>
      <c r="E216">
        <v>0.47579845785613928</v>
      </c>
      <c r="F216">
        <v>0.24944676045652611</v>
      </c>
      <c r="G216">
        <v>0.36471972642238187</v>
      </c>
      <c r="H216">
        <v>8.4878638773147649E-2</v>
      </c>
      <c r="I216">
        <v>-0.1550348824447135</v>
      </c>
      <c r="J216">
        <v>0.89831269820728121</v>
      </c>
      <c r="M216" s="13">
        <v>1</v>
      </c>
      <c r="O216" s="10">
        <f t="shared" si="9"/>
        <v>0</v>
      </c>
      <c r="P216" s="10">
        <f t="shared" si="10"/>
        <v>1</v>
      </c>
      <c r="R216" s="14">
        <v>-7.3676233155874071E-2</v>
      </c>
      <c r="S216" s="14">
        <v>-0.31985142075899303</v>
      </c>
      <c r="T216" s="14">
        <v>0.27447576355845293</v>
      </c>
      <c r="U216" s="14">
        <v>0.26274259243757103</v>
      </c>
      <c r="V216" s="14">
        <v>0.90560465705759596</v>
      </c>
      <c r="W216" s="14">
        <v>-0.44851106147560971</v>
      </c>
      <c r="X216" s="14">
        <v>-1.3047339318443743</v>
      </c>
      <c r="Y216" s="14">
        <v>0.43423644535779421</v>
      </c>
      <c r="Z216" s="14">
        <v>1.137472273054988</v>
      </c>
      <c r="AA216" s="14">
        <v>0.83741108868267822</v>
      </c>
      <c r="AB216" s="14">
        <v>-0.25978528635176912</v>
      </c>
      <c r="AC216" s="14">
        <v>0.68464517461824215</v>
      </c>
      <c r="AD216" s="14">
        <v>-0.56928818615814603</v>
      </c>
      <c r="AE216" s="14">
        <v>1.0274074242963227</v>
      </c>
      <c r="AF216" s="14">
        <v>0.17258464444500388</v>
      </c>
      <c r="AG216" s="14">
        <v>1.2968143269181609E-2</v>
      </c>
      <c r="AH216" s="14">
        <v>-0.34608467389851694</v>
      </c>
      <c r="AI216" s="14">
        <v>-1.0245849222225034</v>
      </c>
      <c r="AJ216" s="14">
        <v>-0.40342617135352404</v>
      </c>
      <c r="AK216" s="14">
        <v>-0.94246031756028192</v>
      </c>
      <c r="AM216" s="14">
        <v>0.55120162047258614</v>
      </c>
      <c r="AN216" s="14">
        <v>0.29030416378589413</v>
      </c>
      <c r="AO216" s="14">
        <v>0.49252504169409522</v>
      </c>
      <c r="AP216" s="14">
        <v>0.60852915411272979</v>
      </c>
      <c r="AQ216" s="14">
        <v>0.60151538950508232</v>
      </c>
      <c r="AR216" s="14">
        <v>-0.6164770622384077</v>
      </c>
      <c r="AS216" s="14">
        <v>-0.57411452876227709</v>
      </c>
      <c r="AT216" s="14">
        <v>0.23428512783618186</v>
      </c>
      <c r="AU216" s="14">
        <v>0.74378453469691497</v>
      </c>
      <c r="AV216" s="14">
        <v>0.45810842752472902</v>
      </c>
      <c r="AW216" s="14">
        <v>-0.68748738237395746</v>
      </c>
      <c r="AX216" s="14">
        <v>0.56997553243774401</v>
      </c>
      <c r="AY216" s="14">
        <v>-0.34956999921525389</v>
      </c>
      <c r="AZ216" s="14">
        <v>0.5669764469967683</v>
      </c>
      <c r="BA216" s="14">
        <v>0.47130795492338501</v>
      </c>
      <c r="BB216" s="14">
        <v>0.22883872872898681</v>
      </c>
      <c r="BC216" s="14">
        <v>-5.3438781644731303E-3</v>
      </c>
      <c r="BD216" s="14">
        <v>-0.2329601784812986</v>
      </c>
      <c r="BE216" s="14">
        <v>-0.4886219737922724</v>
      </c>
      <c r="BF216" s="14">
        <v>-0.5437087595970691</v>
      </c>
      <c r="BK216" s="16">
        <v>-0.74573837639537943</v>
      </c>
      <c r="BL216" s="16">
        <v>0.34268564140316971</v>
      </c>
      <c r="BN216" s="17">
        <f t="shared" si="11"/>
        <v>1</v>
      </c>
    </row>
    <row r="217" spans="1:66" x14ac:dyDescent="0.2">
      <c r="A217">
        <v>-0.1073254490795815</v>
      </c>
      <c r="B217">
        <v>-0.50499261319848976</v>
      </c>
      <c r="C217">
        <v>-7.2363429696685994E-2</v>
      </c>
      <c r="D217">
        <v>-0.24480258002507141</v>
      </c>
      <c r="E217">
        <v>0.86793252579668512</v>
      </c>
      <c r="F217">
        <v>9.459694113207584E-2</v>
      </c>
      <c r="G217">
        <v>0.1449037689660152</v>
      </c>
      <c r="H217">
        <v>-0.1449393878841099</v>
      </c>
      <c r="I217">
        <v>-0.26343340744974758</v>
      </c>
      <c r="J217">
        <v>0.72160348979096389</v>
      </c>
      <c r="M217" s="13">
        <v>1</v>
      </c>
      <c r="O217" s="10">
        <f t="shared" si="9"/>
        <v>0</v>
      </c>
      <c r="P217" s="10">
        <f t="shared" si="10"/>
        <v>1</v>
      </c>
      <c r="R217" s="14">
        <v>-0.11861875601913449</v>
      </c>
      <c r="S217" s="14">
        <v>-1.0740926649158651</v>
      </c>
      <c r="T217" s="14">
        <v>-0.74816193107178708</v>
      </c>
      <c r="U217" s="14">
        <v>-1.3037665060555899</v>
      </c>
      <c r="V217" s="14">
        <v>-0.59292979597059192</v>
      </c>
      <c r="W217" s="14">
        <v>-0.12327543216417886</v>
      </c>
      <c r="X217" s="14">
        <v>1.0633617193964766</v>
      </c>
      <c r="Y217" s="14">
        <v>0.90000618673979704</v>
      </c>
      <c r="Z217" s="14">
        <v>-0.35770631141331022</v>
      </c>
      <c r="AA217" s="14">
        <v>-0.26753959890641155</v>
      </c>
      <c r="AB217" s="14">
        <v>0.7523221308435396</v>
      </c>
      <c r="AC217" s="14">
        <v>-0.17404182395606294</v>
      </c>
      <c r="AD217" s="14">
        <v>1.1138121081071697</v>
      </c>
      <c r="AE217" s="14">
        <v>-0.63270576032735226</v>
      </c>
      <c r="AF217" s="14">
        <v>-0.1583973285719712</v>
      </c>
      <c r="AG217" s="14">
        <v>-0.56658757447677666</v>
      </c>
      <c r="AH217" s="14">
        <v>-0.16752227313531853</v>
      </c>
      <c r="AI217" s="14">
        <v>0.28982733168489938</v>
      </c>
      <c r="AJ217" s="14">
        <v>1.5581208389893093</v>
      </c>
      <c r="AK217" s="14">
        <v>-0.98897993270984008</v>
      </c>
      <c r="AM217" s="14">
        <v>0.15743125719649204</v>
      </c>
      <c r="AN217" s="14">
        <v>-0.44142136582736941</v>
      </c>
      <c r="AO217" s="14">
        <v>-0.16788231754729852</v>
      </c>
      <c r="AP217" s="14">
        <v>0.1726145087861739</v>
      </c>
      <c r="AQ217" s="14">
        <v>-0.61011639935225359</v>
      </c>
      <c r="AR217" s="14">
        <v>0.11065955806096431</v>
      </c>
      <c r="AS217" s="14">
        <v>0.5368539143847566</v>
      </c>
      <c r="AT217" s="14">
        <v>0.20511247830182153</v>
      </c>
      <c r="AU217" s="14">
        <v>-0.48444093805762378</v>
      </c>
      <c r="AV217" s="14">
        <v>-0.33358133181958871</v>
      </c>
      <c r="AW217" s="14">
        <v>0.17378312352495529</v>
      </c>
      <c r="AX217" s="14">
        <v>-0.22728972332948127</v>
      </c>
      <c r="AY217" s="14">
        <v>0.36957932187634462</v>
      </c>
      <c r="AZ217" s="14">
        <v>-0.50785582065940083</v>
      </c>
      <c r="BA217" s="14">
        <v>3.2218312776756665E-2</v>
      </c>
      <c r="BB217" s="14">
        <v>-0.30209614837468152</v>
      </c>
      <c r="BC217" s="14">
        <v>0.35114046704172402</v>
      </c>
      <c r="BD217" s="14">
        <v>0.39172683926778995</v>
      </c>
      <c r="BE217" s="14">
        <v>0.4818470116544033</v>
      </c>
      <c r="BF217" s="14">
        <v>-0.41961048540438589</v>
      </c>
      <c r="BK217" s="16">
        <v>-0.55265158406326664</v>
      </c>
      <c r="BL217" s="16">
        <v>0.42766622159132983</v>
      </c>
      <c r="BN217" s="17">
        <f t="shared" si="11"/>
        <v>1</v>
      </c>
    </row>
    <row r="218" spans="1:66" x14ac:dyDescent="0.2">
      <c r="A218">
        <v>-0.67062019318457422</v>
      </c>
      <c r="B218">
        <v>-0.1568054688148855</v>
      </c>
      <c r="C218">
        <v>-0.63844639104233869</v>
      </c>
      <c r="D218">
        <v>-0.66707592785102254</v>
      </c>
      <c r="E218">
        <v>0.19331325251508291</v>
      </c>
      <c r="F218">
        <v>-0.31019462019244792</v>
      </c>
      <c r="G218">
        <v>-0.48387210933940628</v>
      </c>
      <c r="H218">
        <v>-0.66254755603108662</v>
      </c>
      <c r="I218">
        <v>-0.65115296829291713</v>
      </c>
      <c r="J218">
        <v>-5.1124913114287657E-2</v>
      </c>
      <c r="M218" s="13">
        <v>0</v>
      </c>
      <c r="O218" s="10">
        <f t="shared" si="9"/>
        <v>1</v>
      </c>
      <c r="P218" s="10">
        <f t="shared" si="10"/>
        <v>0</v>
      </c>
      <c r="R218" s="14">
        <v>-0.71014840247441935</v>
      </c>
      <c r="S218" s="14">
        <v>-0.40734151639721161</v>
      </c>
      <c r="T218" s="14">
        <v>-0.16326901837140584</v>
      </c>
      <c r="U218" s="14">
        <v>0.28263873186706534</v>
      </c>
      <c r="V218" s="14">
        <v>1.0112953242938487</v>
      </c>
      <c r="W218" s="14">
        <v>-0.16872081483206852</v>
      </c>
      <c r="X218" s="14">
        <v>-0.3835655960916628</v>
      </c>
      <c r="Y218" s="14">
        <v>-7.5614938065927256E-3</v>
      </c>
      <c r="Z218" s="14">
        <v>0.51901951843865324</v>
      </c>
      <c r="AA218" s="14">
        <v>0.97893129655975564</v>
      </c>
      <c r="AB218" s="14">
        <v>-0.24387667516122125</v>
      </c>
      <c r="AC218" s="14">
        <v>-0.56563159700400312</v>
      </c>
      <c r="AD218" s="14">
        <v>9.405262196070896E-2</v>
      </c>
      <c r="AE218" s="14">
        <v>0.13161799458197354</v>
      </c>
      <c r="AF218" s="14">
        <v>-0.2602554232346227</v>
      </c>
      <c r="AG218" s="14">
        <v>0.17614526063237923</v>
      </c>
      <c r="AH218" s="14">
        <v>-0.36986718730969631</v>
      </c>
      <c r="AI218" s="14">
        <v>-0.48338367821122924</v>
      </c>
      <c r="AJ218" s="14">
        <v>-0.41509392083286728</v>
      </c>
      <c r="AK218" s="14">
        <v>-0.52771006240061658</v>
      </c>
      <c r="AM218" s="14">
        <v>-0.11698585300560237</v>
      </c>
      <c r="AN218" s="14">
        <v>-0.72397081473300318</v>
      </c>
      <c r="AO218" s="14">
        <v>-0.38508165308493547</v>
      </c>
      <c r="AP218" s="14">
        <v>-0.17478176204040266</v>
      </c>
      <c r="AQ218" s="14">
        <v>-0.54194151166203663</v>
      </c>
      <c r="AR218" s="14">
        <v>5.189004116351098E-2</v>
      </c>
      <c r="AS218" s="14">
        <v>0.79985658998708198</v>
      </c>
      <c r="AT218" s="14">
        <v>0.66806102494441655</v>
      </c>
      <c r="AU218" s="14">
        <v>-0.34956593750679482</v>
      </c>
      <c r="AV218" s="14">
        <v>-0.5219929108045489</v>
      </c>
      <c r="AW218" s="14">
        <v>-0.23430401913131635</v>
      </c>
      <c r="AX218" s="14">
        <v>-0.28234079143366358</v>
      </c>
      <c r="AY218" s="14">
        <v>0.67774307305000681</v>
      </c>
      <c r="AZ218" s="14">
        <v>-0.75301575830707079</v>
      </c>
      <c r="BA218" s="14">
        <v>-5.2783499727405364E-3</v>
      </c>
      <c r="BB218" s="14">
        <v>-8.1942286898818731E-2</v>
      </c>
      <c r="BC218" s="14">
        <v>0.41495623114447028</v>
      </c>
      <c r="BD218" s="14">
        <v>0.69496410158953537</v>
      </c>
      <c r="BE218" s="14">
        <v>0.720317348215052</v>
      </c>
      <c r="BF218" s="14">
        <v>-0.2403509639695339</v>
      </c>
      <c r="BK218" s="16">
        <v>0.17917868678138213</v>
      </c>
      <c r="BL218" s="16">
        <v>9.1812730388410563E-2</v>
      </c>
      <c r="BN218" s="17">
        <f t="shared" si="11"/>
        <v>0</v>
      </c>
    </row>
    <row r="219" spans="1:66" x14ac:dyDescent="0.2">
      <c r="A219">
        <v>-1.153852740157894</v>
      </c>
      <c r="B219">
        <v>-0.37013139530343181</v>
      </c>
      <c r="C219">
        <v>-1.1476720461531269</v>
      </c>
      <c r="D219">
        <v>-0.98658745892587318</v>
      </c>
      <c r="E219">
        <v>-0.85355461701529334</v>
      </c>
      <c r="F219">
        <v>-0.41706455154366978</v>
      </c>
      <c r="G219">
        <v>-1.013219606888401</v>
      </c>
      <c r="H219">
        <v>-1.0290141390791461</v>
      </c>
      <c r="I219">
        <v>-0.87698322872007184</v>
      </c>
      <c r="J219">
        <v>-1.2205505135575261</v>
      </c>
      <c r="M219" s="13">
        <v>0</v>
      </c>
      <c r="O219" s="10">
        <f t="shared" si="9"/>
        <v>1</v>
      </c>
      <c r="P219" s="10">
        <f t="shared" si="10"/>
        <v>0</v>
      </c>
      <c r="R219" s="14">
        <v>-0.58427805908767727</v>
      </c>
      <c r="S219" s="14">
        <v>-1.1326096446780158</v>
      </c>
      <c r="T219" s="14">
        <v>-0.82386044932108349</v>
      </c>
      <c r="U219" s="14">
        <v>-1.1614639233542714</v>
      </c>
      <c r="V219" s="14">
        <v>-0.64442234198557691</v>
      </c>
      <c r="W219" s="14">
        <v>-0.29416413616356746</v>
      </c>
      <c r="X219" s="14">
        <v>1.0654879795050347</v>
      </c>
      <c r="Y219" s="14">
        <v>1.3119394206814694</v>
      </c>
      <c r="Z219" s="14">
        <v>0.20354971462267729</v>
      </c>
      <c r="AA219" s="14">
        <v>-0.29883079062329732</v>
      </c>
      <c r="AB219" s="14">
        <v>0.67717060215054981</v>
      </c>
      <c r="AC219" s="14">
        <v>-0.32678296845045329</v>
      </c>
      <c r="AD219" s="14">
        <v>1.1360492854736697</v>
      </c>
      <c r="AE219" s="14">
        <v>-0.66215506204108854</v>
      </c>
      <c r="AF219" s="14">
        <v>-0.1503571148537034</v>
      </c>
      <c r="AG219" s="14">
        <v>-0.57587637088552956</v>
      </c>
      <c r="AH219" s="14">
        <v>0.10100603079195025</v>
      </c>
      <c r="AI219" s="14">
        <v>0.33926461678375552</v>
      </c>
      <c r="AJ219" s="14">
        <v>1.5670174007162851</v>
      </c>
      <c r="AK219" s="14">
        <v>-0.96329525205799094</v>
      </c>
      <c r="AM219" s="14">
        <v>6.7546947270201121E-2</v>
      </c>
      <c r="AN219" s="14">
        <v>-0.65098673645702365</v>
      </c>
      <c r="AO219" s="14">
        <v>-0.33964885927861665</v>
      </c>
      <c r="AP219" s="14">
        <v>-0.30415674995820369</v>
      </c>
      <c r="AQ219" s="14">
        <v>-0.44509355003891055</v>
      </c>
      <c r="AR219" s="14">
        <v>-0.22490996149644282</v>
      </c>
      <c r="AS219" s="14">
        <v>0.74085199281625502</v>
      </c>
      <c r="AT219" s="14">
        <v>0.65543821952563075</v>
      </c>
      <c r="AU219" s="14">
        <v>-0.18136269204326938</v>
      </c>
      <c r="AV219" s="14">
        <v>-0.4508018076158149</v>
      </c>
      <c r="AW219" s="14">
        <v>-0.1858673530406251</v>
      </c>
      <c r="AX219" s="14">
        <v>-0.14561487566625969</v>
      </c>
      <c r="AY219" s="14">
        <v>0.64820897896251439</v>
      </c>
      <c r="AZ219" s="14">
        <v>-0.63548795927118129</v>
      </c>
      <c r="BA219" s="14">
        <v>0.15939731781694055</v>
      </c>
      <c r="BB219" s="14">
        <v>-9.4225535900179208E-2</v>
      </c>
      <c r="BC219" s="14">
        <v>0.33612940084536908</v>
      </c>
      <c r="BD219" s="14">
        <v>0.62289040822322039</v>
      </c>
      <c r="BE219" s="14">
        <v>0.66717991792305187</v>
      </c>
      <c r="BF219" s="14">
        <v>-0.31030312595338949</v>
      </c>
      <c r="BK219" s="16">
        <v>-0.71484987733810113</v>
      </c>
      <c r="BL219" s="16">
        <v>0.33217765575191771</v>
      </c>
      <c r="BN219" s="17">
        <f t="shared" si="11"/>
        <v>1</v>
      </c>
    </row>
    <row r="220" spans="1:66" x14ac:dyDescent="0.2">
      <c r="A220">
        <v>1.59113687578522</v>
      </c>
      <c r="B220">
        <v>0.6302936392635422</v>
      </c>
      <c r="C220">
        <v>1.535411784565087</v>
      </c>
      <c r="D220">
        <v>1.6293772207211921</v>
      </c>
      <c r="E220">
        <v>0.47579845785613928</v>
      </c>
      <c r="F220">
        <v>0.44409385120063111</v>
      </c>
      <c r="G220">
        <v>0.93445201615522111</v>
      </c>
      <c r="H220">
        <v>1.9213524193586211</v>
      </c>
      <c r="I220">
        <v>1.9663525913874671</v>
      </c>
      <c r="J220">
        <v>0.97019441010544405</v>
      </c>
      <c r="M220" s="13">
        <v>1</v>
      </c>
      <c r="O220" s="10">
        <f t="shared" si="9"/>
        <v>0</v>
      </c>
      <c r="P220" s="10">
        <f t="shared" si="10"/>
        <v>1</v>
      </c>
      <c r="R220" s="14">
        <v>0.39824801632840745</v>
      </c>
      <c r="S220" s="14">
        <v>0.29704957708710222</v>
      </c>
      <c r="T220" s="14">
        <v>0.39297008165296021</v>
      </c>
      <c r="U220" s="14">
        <v>0.23479507572571545</v>
      </c>
      <c r="V220" s="14">
        <v>1.4217659458298808</v>
      </c>
      <c r="W220" s="14">
        <v>-0.93705830486209996</v>
      </c>
      <c r="X220" s="14">
        <v>-1.4565249081835254</v>
      </c>
      <c r="Y220" s="14">
        <v>0.59304835358255703</v>
      </c>
      <c r="Z220" s="14">
        <v>1.5676404614673769</v>
      </c>
      <c r="AA220" s="14">
        <v>1.1338157135269227</v>
      </c>
      <c r="AB220" s="14">
        <v>-0.2864099286547771</v>
      </c>
      <c r="AC220" s="14">
        <v>1.031913670426023</v>
      </c>
      <c r="AD220" s="14">
        <v>-0.5286303269098146</v>
      </c>
      <c r="AE220" s="14">
        <v>1.6661790640999643</v>
      </c>
      <c r="AF220" s="14">
        <v>0.18022267935579095</v>
      </c>
      <c r="AG220" s="14">
        <v>5.6660174452802803E-2</v>
      </c>
      <c r="AH220" s="14">
        <v>-0.42029611808510131</v>
      </c>
      <c r="AI220" s="14">
        <v>-0.85703644052857775</v>
      </c>
      <c r="AJ220" s="14">
        <v>-0.46663739861360792</v>
      </c>
      <c r="AK220" s="14">
        <v>-1.3025128469794036</v>
      </c>
      <c r="AM220" s="14">
        <v>-0.31507621546968628</v>
      </c>
      <c r="AN220" s="14">
        <v>0.84501536749747508</v>
      </c>
      <c r="AO220" s="14">
        <v>-3.6923108401329709E-2</v>
      </c>
      <c r="AP220" s="14">
        <v>-0.25191340236332022</v>
      </c>
      <c r="AQ220" s="14">
        <v>0.42459433336288172</v>
      </c>
      <c r="AR220" s="14">
        <v>0.66337004495721918</v>
      </c>
      <c r="AS220" s="14">
        <v>-0.58383425318067583</v>
      </c>
      <c r="AT220" s="14">
        <v>-0.91744999099695612</v>
      </c>
      <c r="AU220" s="14">
        <v>-0.76449509249640613</v>
      </c>
      <c r="AV220" s="14">
        <v>0.72365214117297527</v>
      </c>
      <c r="AW220" s="14">
        <v>0.60171959482308912</v>
      </c>
      <c r="AX220" s="14">
        <v>-0.52849753849457182</v>
      </c>
      <c r="AY220" s="14">
        <v>-0.56755826276237153</v>
      </c>
      <c r="AZ220" s="14">
        <v>0.71853140869295484</v>
      </c>
      <c r="BA220" s="14">
        <v>-0.34852876401400801</v>
      </c>
      <c r="BB220" s="14">
        <v>0.61582623448429086</v>
      </c>
      <c r="BC220" s="14">
        <v>-0.73102517195757788</v>
      </c>
      <c r="BD220" s="14">
        <v>-0.79265505637915357</v>
      </c>
      <c r="BE220" s="14">
        <v>-0.70504728610921652</v>
      </c>
      <c r="BF220" s="14">
        <v>0.81050649138323561</v>
      </c>
      <c r="BK220" s="16">
        <v>-0.41739967827785929</v>
      </c>
      <c r="BL220" s="16">
        <v>0.68773372449496051</v>
      </c>
      <c r="BN220" s="17">
        <f t="shared" si="11"/>
        <v>1</v>
      </c>
    </row>
    <row r="221" spans="1:66" x14ac:dyDescent="0.2">
      <c r="A221">
        <v>1.51393404283682</v>
      </c>
      <c r="B221">
        <v>3.3054497978727801</v>
      </c>
      <c r="C221">
        <v>1.464858922813796</v>
      </c>
      <c r="D221">
        <v>1.6092278448876429</v>
      </c>
      <c r="E221">
        <v>0.1487103253559687</v>
      </c>
      <c r="F221">
        <v>0.28664047206367999</v>
      </c>
      <c r="G221">
        <v>0.4094497177652473</v>
      </c>
      <c r="H221">
        <v>2.3706363093101972</v>
      </c>
      <c r="I221">
        <v>2.795282488484788</v>
      </c>
      <c r="J221">
        <v>0.6781749555191573</v>
      </c>
      <c r="M221" s="13">
        <v>1</v>
      </c>
      <c r="O221" s="10">
        <f t="shared" si="9"/>
        <v>0</v>
      </c>
      <c r="P221" s="10">
        <f t="shared" si="10"/>
        <v>1</v>
      </c>
      <c r="R221" s="14">
        <v>0.20316839175328305</v>
      </c>
      <c r="S221" s="14">
        <v>-1.0843994321851287</v>
      </c>
      <c r="T221" s="14">
        <v>-0.40458288707967816</v>
      </c>
      <c r="U221" s="14">
        <v>-0.33148763235227913</v>
      </c>
      <c r="V221" s="14">
        <v>-0.61204882704870933</v>
      </c>
      <c r="W221" s="14">
        <v>0.40061046539813394</v>
      </c>
      <c r="X221" s="14">
        <v>1.0590702731366373</v>
      </c>
      <c r="Y221" s="14">
        <v>0.68400433852382814</v>
      </c>
      <c r="Z221" s="14">
        <v>-0.72799530733289053</v>
      </c>
      <c r="AA221" s="14">
        <v>-0.14455066946874129</v>
      </c>
      <c r="AB221" s="14">
        <v>0.40737975605081211</v>
      </c>
      <c r="AC221" s="14">
        <v>-6.0560199744399967E-2</v>
      </c>
      <c r="AD221" s="14">
        <v>1.0203377705077394</v>
      </c>
      <c r="AE221" s="14">
        <v>-0.64737315591380518</v>
      </c>
      <c r="AF221" s="14">
        <v>0.217943564250276</v>
      </c>
      <c r="AG221" s="14">
        <v>-0.44131415403505736</v>
      </c>
      <c r="AH221" s="14">
        <v>-8.5752871964851263E-2</v>
      </c>
      <c r="AI221" s="14">
        <v>0.27317899930892064</v>
      </c>
      <c r="AJ221" s="14">
        <v>1.5414406208785725</v>
      </c>
      <c r="AK221" s="14">
        <v>-1.212487923566083</v>
      </c>
      <c r="AM221" s="14">
        <v>-0.44195769592774042</v>
      </c>
      <c r="AN221" s="14">
        <v>-0.58581267326142594</v>
      </c>
      <c r="AO221" s="14">
        <v>-0.32001527579150124</v>
      </c>
      <c r="AP221" s="14">
        <v>1.2318892475243516E-2</v>
      </c>
      <c r="AQ221" s="14">
        <v>-0.18903204453108477</v>
      </c>
      <c r="AR221" s="14">
        <v>0.39026056002883952</v>
      </c>
      <c r="AS221" s="14">
        <v>0.59552377215495733</v>
      </c>
      <c r="AT221" s="14">
        <v>0.46510211744312707</v>
      </c>
      <c r="AU221" s="14">
        <v>-0.21199994439446118</v>
      </c>
      <c r="AV221" s="14">
        <v>-0.33526792888941542</v>
      </c>
      <c r="AW221" s="14">
        <v>-0.35837656484527719</v>
      </c>
      <c r="AX221" s="14">
        <v>-0.32186431692119777</v>
      </c>
      <c r="AY221" s="14">
        <v>0.4679315774544448</v>
      </c>
      <c r="AZ221" s="14">
        <v>-0.65128077713463772</v>
      </c>
      <c r="BA221" s="14">
        <v>-0.28027171501898662</v>
      </c>
      <c r="BB221" s="14">
        <v>0.1564532056527988</v>
      </c>
      <c r="BC221" s="14">
        <v>0.23195889662406402</v>
      </c>
      <c r="BD221" s="14">
        <v>0.58095842041900003</v>
      </c>
      <c r="BE221" s="14">
        <v>0.48372409974892211</v>
      </c>
      <c r="BF221" s="14">
        <v>0.203015595951756</v>
      </c>
      <c r="BK221" s="16">
        <v>-0.30970865030078065</v>
      </c>
      <c r="BL221" s="16">
        <v>0.70829577620576245</v>
      </c>
      <c r="BN221" s="17">
        <f t="shared" si="11"/>
        <v>1</v>
      </c>
    </row>
    <row r="222" spans="1:66" x14ac:dyDescent="0.2">
      <c r="A222">
        <v>-0.16737209692833679</v>
      </c>
      <c r="B222">
        <v>-1.429404961315522</v>
      </c>
      <c r="C222">
        <v>-0.200188614516672</v>
      </c>
      <c r="D222">
        <v>-0.27358740264442732</v>
      </c>
      <c r="E222">
        <v>-0.33244375137297572</v>
      </c>
      <c r="F222">
        <v>-0.65088901851397674</v>
      </c>
      <c r="G222">
        <v>-0.63186448069665779</v>
      </c>
      <c r="H222">
        <v>-0.22982712746021411</v>
      </c>
      <c r="I222">
        <v>-0.34118986574584231</v>
      </c>
      <c r="J222">
        <v>-0.54890576800906588</v>
      </c>
      <c r="M222" s="13">
        <v>0</v>
      </c>
      <c r="O222" s="10">
        <f t="shared" si="9"/>
        <v>1</v>
      </c>
      <c r="P222" s="10">
        <f t="shared" si="10"/>
        <v>0</v>
      </c>
      <c r="R222" s="14">
        <v>-0.44434478061373517</v>
      </c>
      <c r="S222" s="14">
        <v>-1.1231289196444094</v>
      </c>
      <c r="T222" s="14">
        <v>-0.74471214302663824</v>
      </c>
      <c r="U222" s="14">
        <v>-0.80238148411155497</v>
      </c>
      <c r="V222" s="14">
        <v>-0.51372293621611009</v>
      </c>
      <c r="W222" s="14">
        <v>3.8874994400028062E-2</v>
      </c>
      <c r="X222" s="14">
        <v>1.0646258413500453</v>
      </c>
      <c r="Y222" s="14">
        <v>1.1986614313034241</v>
      </c>
      <c r="Z222" s="14">
        <v>-8.2246888888014735E-2</v>
      </c>
      <c r="AA222" s="14">
        <v>-0.26154136964540853</v>
      </c>
      <c r="AB222" s="14">
        <v>0.22675309663467624</v>
      </c>
      <c r="AC222" s="14">
        <v>-0.26917618255742237</v>
      </c>
      <c r="AD222" s="14">
        <v>1.1195391425433259</v>
      </c>
      <c r="AE222" s="14">
        <v>-0.65958438601203895</v>
      </c>
      <c r="AF222" s="14">
        <v>-0.1853552469630535</v>
      </c>
      <c r="AG222" s="14">
        <v>-0.42396201641620646</v>
      </c>
      <c r="AH222" s="14">
        <v>-3.7043263081993016E-2</v>
      </c>
      <c r="AI222" s="14">
        <v>0.3322880711940519</v>
      </c>
      <c r="AJ222" s="14">
        <v>1.5593546208027758</v>
      </c>
      <c r="AK222" s="14">
        <v>-0.94498246875518754</v>
      </c>
      <c r="AM222" s="14">
        <v>-0.55306971666470128</v>
      </c>
      <c r="AN222" s="14">
        <v>-0.89216656825525087</v>
      </c>
      <c r="AO222" s="14">
        <v>-0.61376328727343599</v>
      </c>
      <c r="AP222" s="14">
        <v>-0.32059734222722053</v>
      </c>
      <c r="AQ222" s="14">
        <v>-0.82028905899664761</v>
      </c>
      <c r="AR222" s="14">
        <v>0.4127271499397836</v>
      </c>
      <c r="AS222" s="14">
        <v>0.94265782800419362</v>
      </c>
      <c r="AT222" s="14">
        <v>0.82193489054351399</v>
      </c>
      <c r="AU222" s="14">
        <v>-0.67151475927434157</v>
      </c>
      <c r="AV222" s="14">
        <v>-0.79904267617633884</v>
      </c>
      <c r="AW222" s="14">
        <v>-0.1994563353191289</v>
      </c>
      <c r="AX222" s="14">
        <v>-0.61708469909151065</v>
      </c>
      <c r="AY222" s="14">
        <v>0.83369950939127746</v>
      </c>
      <c r="AZ222" s="14">
        <v>-0.93798924469744427</v>
      </c>
      <c r="BA222" s="14">
        <v>-0.26954214331121762</v>
      </c>
      <c r="BB222" s="14">
        <v>-0.1758701071045527</v>
      </c>
      <c r="BC222" s="14">
        <v>0.61416531989569279</v>
      </c>
      <c r="BD222" s="14">
        <v>0.85409549737357571</v>
      </c>
      <c r="BE222" s="14">
        <v>0.89268401643153972</v>
      </c>
      <c r="BF222" s="14">
        <v>-3.9334464854242079E-2</v>
      </c>
      <c r="BK222" s="16">
        <v>4.5370084683712203E-2</v>
      </c>
      <c r="BL222" s="16">
        <v>1.1826669264790373E-2</v>
      </c>
      <c r="BN222" s="17">
        <f t="shared" si="11"/>
        <v>0</v>
      </c>
    </row>
    <row r="223" spans="1:66" x14ac:dyDescent="0.2">
      <c r="A223">
        <v>-0.1931063745778035</v>
      </c>
      <c r="B223">
        <v>-1.2479553226930811</v>
      </c>
      <c r="C223">
        <v>-0.17072241931466189</v>
      </c>
      <c r="D223">
        <v>-0.29546386783513778</v>
      </c>
      <c r="E223">
        <v>0.26393455385034698</v>
      </c>
      <c r="F223">
        <v>-0.15844427683526041</v>
      </c>
      <c r="G223">
        <v>-0.1492917740947734</v>
      </c>
      <c r="H223">
        <v>-0.30436270367337859</v>
      </c>
      <c r="I223">
        <v>-0.37590573323111481</v>
      </c>
      <c r="J223">
        <v>-0.39406058029510682</v>
      </c>
      <c r="M223" s="13">
        <v>0</v>
      </c>
      <c r="O223" s="10">
        <f t="shared" si="9"/>
        <v>1</v>
      </c>
      <c r="P223" s="10">
        <f t="shared" si="10"/>
        <v>0</v>
      </c>
      <c r="R223" s="14">
        <v>-0.15809721611380825</v>
      </c>
      <c r="S223" s="14">
        <v>-1.1091101168631359</v>
      </c>
      <c r="T223" s="14">
        <v>-0.73051580456691256</v>
      </c>
      <c r="U223" s="14">
        <v>-1.0443532813778287</v>
      </c>
      <c r="V223" s="14">
        <v>-0.45579262893574768</v>
      </c>
      <c r="W223" s="14">
        <v>-0.23548613497514331</v>
      </c>
      <c r="X223" s="14">
        <v>1.0634300233081071</v>
      </c>
      <c r="Y223" s="14">
        <v>1.1722383797110325</v>
      </c>
      <c r="Z223" s="14">
        <v>5.1482994231579426E-2</v>
      </c>
      <c r="AA223" s="14">
        <v>-0.24506120124227626</v>
      </c>
      <c r="AB223" s="14">
        <v>0.46580605809699505</v>
      </c>
      <c r="AC223" s="14">
        <v>-0.17878433580798492</v>
      </c>
      <c r="AD223" s="14">
        <v>1.1206780031262942</v>
      </c>
      <c r="AE223" s="14">
        <v>-0.64395431080184395</v>
      </c>
      <c r="AF223" s="14">
        <v>-5.4991569572215293E-2</v>
      </c>
      <c r="AG223" s="14">
        <v>-0.4351063300062501</v>
      </c>
      <c r="AH223" s="14">
        <v>-0.12699003246818541</v>
      </c>
      <c r="AI223" s="14">
        <v>0.32051512568966056</v>
      </c>
      <c r="AJ223" s="14">
        <v>1.5523684351021134</v>
      </c>
      <c r="AK223" s="14">
        <v>-1.0281312624914851</v>
      </c>
      <c r="AM223" s="14">
        <v>-0.83151747734568981</v>
      </c>
      <c r="AN223" s="14">
        <v>0.37236292166081303</v>
      </c>
      <c r="AO223" s="14">
        <v>5.0888452282847614E-2</v>
      </c>
      <c r="AP223" s="14">
        <v>0.48758608095877226</v>
      </c>
      <c r="AQ223" s="14">
        <v>-9.8175473828406249E-3</v>
      </c>
      <c r="AR223" s="14">
        <v>0.74781764626681202</v>
      </c>
      <c r="AS223" s="14">
        <v>-0.42909183052094102</v>
      </c>
      <c r="AT223" s="14">
        <v>-0.70310518748693263</v>
      </c>
      <c r="AU223" s="14">
        <v>-0.68944091585477585</v>
      </c>
      <c r="AV223" s="14">
        <v>0.16240838610833169</v>
      </c>
      <c r="AW223" s="14">
        <v>0.32251724487997629</v>
      </c>
      <c r="AX223" s="14">
        <v>-0.69092965764115688</v>
      </c>
      <c r="AY223" s="14">
        <v>-0.53909381915491883</v>
      </c>
      <c r="AZ223" s="14">
        <v>7.1115386231547758E-3</v>
      </c>
      <c r="BA223" s="14">
        <v>-0.50498650058986672</v>
      </c>
      <c r="BB223" s="14">
        <v>0.36094910326188723</v>
      </c>
      <c r="BC223" s="14">
        <v>-0.19990570647228537</v>
      </c>
      <c r="BD223" s="14">
        <v>-0.50135946557563638</v>
      </c>
      <c r="BE223" s="14">
        <v>-0.60589566452540944</v>
      </c>
      <c r="BF223" s="14">
        <v>0.77074071219869411</v>
      </c>
      <c r="BK223" s="16">
        <v>4.1042577693410333E-2</v>
      </c>
      <c r="BL223" s="16">
        <v>6.1808183642196188E-2</v>
      </c>
      <c r="BN223" s="17">
        <f t="shared" si="11"/>
        <v>1</v>
      </c>
    </row>
    <row r="224" spans="1:66" x14ac:dyDescent="0.2">
      <c r="A224">
        <v>-1.159571468524442</v>
      </c>
      <c r="B224">
        <v>-0.35787128458569911</v>
      </c>
      <c r="C224">
        <v>-1.1447669283163091</v>
      </c>
      <c r="D224">
        <v>-1.009903165247551</v>
      </c>
      <c r="E224">
        <v>-0.37128546710737109</v>
      </c>
      <c r="F224">
        <v>-0.91372458053786343</v>
      </c>
      <c r="G224">
        <v>-0.79749324864052495</v>
      </c>
      <c r="H224">
        <v>-1.0931975519293711</v>
      </c>
      <c r="I224">
        <v>-0.9267544469004878</v>
      </c>
      <c r="J224">
        <v>-0.92044436638269567</v>
      </c>
      <c r="M224" s="13">
        <v>0</v>
      </c>
      <c r="O224" s="10">
        <f t="shared" si="9"/>
        <v>1</v>
      </c>
      <c r="P224" s="10">
        <f t="shared" si="10"/>
        <v>0</v>
      </c>
      <c r="R224" s="14">
        <v>-0.99160961631478906</v>
      </c>
      <c r="S224" s="14">
        <v>1.035093429224808</v>
      </c>
      <c r="T224" s="14">
        <v>-0.67329320381997126</v>
      </c>
      <c r="U224" s="14">
        <v>-1.015157102186961</v>
      </c>
      <c r="V224" s="14">
        <v>1.0209754588214524</v>
      </c>
      <c r="W224" s="14">
        <v>0.61659913594990967</v>
      </c>
      <c r="X224" s="14">
        <v>-1.4269131397637931</v>
      </c>
      <c r="Y224" s="14">
        <v>-1.1208069846718918</v>
      </c>
      <c r="Z224" s="14">
        <v>-0.24002092286087406</v>
      </c>
      <c r="AA224" s="14">
        <v>1.1975592829482644</v>
      </c>
      <c r="AB224" s="14">
        <v>1.7057621357037371</v>
      </c>
      <c r="AC224" s="14">
        <v>-0.88616126677864893</v>
      </c>
      <c r="AD224" s="14">
        <v>-0.73394834108622486</v>
      </c>
      <c r="AE224" s="14">
        <v>1.6784667797333164</v>
      </c>
      <c r="AF224" s="14">
        <v>-1.3210450706261294</v>
      </c>
      <c r="AG224" s="14">
        <v>0.19591986452034593</v>
      </c>
      <c r="AH224" s="14">
        <v>-1.2851669588261301</v>
      </c>
      <c r="AI224" s="14">
        <v>-1.6022256507364023</v>
      </c>
      <c r="AJ224" s="14">
        <v>-0.55471642993850212</v>
      </c>
      <c r="AK224" s="14">
        <v>0.33974259534729545</v>
      </c>
      <c r="AM224" s="14">
        <v>-0.11294460894660799</v>
      </c>
      <c r="AN224" s="14">
        <v>0.64728594460566824</v>
      </c>
      <c r="AO224" s="14">
        <v>3.5898252982059904E-2</v>
      </c>
      <c r="AP224" s="14">
        <v>-0.21189665216196255</v>
      </c>
      <c r="AQ224" s="14">
        <v>0.41599105017133964</v>
      </c>
      <c r="AR224" s="14">
        <v>0.69534259561501588</v>
      </c>
      <c r="AS224" s="14">
        <v>-0.5082773475280935</v>
      </c>
      <c r="AT224" s="14">
        <v>-0.87428003732910431</v>
      </c>
      <c r="AU224" s="14">
        <v>-0.57096960751107906</v>
      </c>
      <c r="AV224" s="14">
        <v>0.57000541368406643</v>
      </c>
      <c r="AW224" s="14">
        <v>0.58400054035665083</v>
      </c>
      <c r="AX224" s="14">
        <v>-0.16209042798696269</v>
      </c>
      <c r="AY224" s="14">
        <v>-0.43804621527150545</v>
      </c>
      <c r="AZ224" s="14">
        <v>0.53402305858661536</v>
      </c>
      <c r="BA224" s="14">
        <v>-0.49229813037434778</v>
      </c>
      <c r="BB224" s="14">
        <v>0.32130422312465617</v>
      </c>
      <c r="BC224" s="14">
        <v>-0.55654975530754103</v>
      </c>
      <c r="BD224" s="14">
        <v>-0.52774981433438117</v>
      </c>
      <c r="BE224" s="14">
        <v>-0.53575182868930804</v>
      </c>
      <c r="BF224" s="14">
        <v>0.64784888225356307</v>
      </c>
      <c r="BK224" s="16">
        <v>0.37121669983182926</v>
      </c>
      <c r="BL224" s="16">
        <v>-0.56188100114387385</v>
      </c>
      <c r="BN224" s="17">
        <f t="shared" si="11"/>
        <v>0</v>
      </c>
    </row>
    <row r="225" spans="1:66" x14ac:dyDescent="0.2">
      <c r="A225">
        <v>0.43309438155921909</v>
      </c>
      <c r="B225">
        <v>0.30907873845895018</v>
      </c>
      <c r="C225">
        <v>0.41071616488274199</v>
      </c>
      <c r="D225">
        <v>0.28023258455198052</v>
      </c>
      <c r="E225">
        <v>0.28623601742990401</v>
      </c>
      <c r="F225">
        <v>0.28912005283749009</v>
      </c>
      <c r="G225">
        <v>0.36471972642238187</v>
      </c>
      <c r="H225">
        <v>0.64389546037188239</v>
      </c>
      <c r="I225">
        <v>0.33506106312543299</v>
      </c>
      <c r="J225">
        <v>0.45953474849557829</v>
      </c>
      <c r="M225" s="13">
        <v>1</v>
      </c>
      <c r="O225" s="10">
        <f t="shared" si="9"/>
        <v>0</v>
      </c>
      <c r="P225" s="10">
        <f t="shared" si="10"/>
        <v>1</v>
      </c>
      <c r="R225" s="14">
        <v>-0.6592093179978924</v>
      </c>
      <c r="S225" s="14">
        <v>-1.0871138113650214</v>
      </c>
      <c r="T225" s="14">
        <v>-0.66021021455669415</v>
      </c>
      <c r="U225" s="14">
        <v>-0.53651603388792268</v>
      </c>
      <c r="V225" s="14">
        <v>-2.4076984142414548E-2</v>
      </c>
      <c r="W225" s="14">
        <v>0.8266656668951714</v>
      </c>
      <c r="X225" s="14">
        <v>1.0550024153069872</v>
      </c>
      <c r="Y225" s="14">
        <v>1.0435838044897765</v>
      </c>
      <c r="Z225" s="14">
        <v>-0.10946528799969868</v>
      </c>
      <c r="AA225" s="14">
        <v>-9.3095235527789866E-2</v>
      </c>
      <c r="AB225" s="14">
        <v>-0.59883893318537362</v>
      </c>
      <c r="AC225" s="14">
        <v>-0.28823414261836477</v>
      </c>
      <c r="AD225" s="14">
        <v>1.0077184292023746</v>
      </c>
      <c r="AE225" s="14">
        <v>-0.65851873670048366</v>
      </c>
      <c r="AF225" s="14">
        <v>-0.23440175854236278</v>
      </c>
      <c r="AG225" s="14">
        <v>0.17950180165134244</v>
      </c>
      <c r="AH225" s="14">
        <v>-0.31560583729158459</v>
      </c>
      <c r="AI225" s="14">
        <v>0.30954118139918751</v>
      </c>
      <c r="AJ225" s="14">
        <v>1.4969334562611123</v>
      </c>
      <c r="AK225" s="14">
        <v>-0.33809186999528879</v>
      </c>
      <c r="AM225" s="14">
        <v>0.24206465769660224</v>
      </c>
      <c r="AN225" s="14">
        <v>-0.57426313535748863</v>
      </c>
      <c r="AO225" s="14">
        <v>-0.10975928244632543</v>
      </c>
      <c r="AP225" s="14">
        <v>5.2991957327489993E-2</v>
      </c>
      <c r="AQ225" s="14">
        <v>-0.42998892718267584</v>
      </c>
      <c r="AR225" s="14">
        <v>-0.17514860209620164</v>
      </c>
      <c r="AS225" s="14">
        <v>0.62479474024997561</v>
      </c>
      <c r="AT225" s="14">
        <v>0.56921183431525413</v>
      </c>
      <c r="AU225" s="14">
        <v>-0.17054814090597231</v>
      </c>
      <c r="AV225" s="14">
        <v>-0.35044903140119044</v>
      </c>
      <c r="AW225" s="14">
        <v>-0.29753249011519611</v>
      </c>
      <c r="AX225" s="14">
        <v>-1.0666810505623604E-2</v>
      </c>
      <c r="AY225" s="14">
        <v>0.51060151274060495</v>
      </c>
      <c r="AZ225" s="14">
        <v>-0.54279857509535967</v>
      </c>
      <c r="BA225" s="14">
        <v>0.16583732100734883</v>
      </c>
      <c r="BB225" s="14">
        <v>-0.17786486013726874</v>
      </c>
      <c r="BC225" s="14">
        <v>0.37967197415580589</v>
      </c>
      <c r="BD225" s="14">
        <v>0.54520182701048625</v>
      </c>
      <c r="BE225" s="14">
        <v>0.56507265598578071</v>
      </c>
      <c r="BF225" s="14">
        <v>-0.52254936425052922</v>
      </c>
      <c r="BK225" s="16">
        <v>-0.33668459287103553</v>
      </c>
      <c r="BL225" s="16">
        <v>0.46431019255827666</v>
      </c>
      <c r="BN225" s="17">
        <f t="shared" si="11"/>
        <v>1</v>
      </c>
    </row>
    <row r="226" spans="1:66" x14ac:dyDescent="0.2">
      <c r="A226">
        <v>-0.27602793589275187</v>
      </c>
      <c r="B226">
        <v>-0.48292441390657131</v>
      </c>
      <c r="C226">
        <v>-0.33838922018243622</v>
      </c>
      <c r="D226">
        <v>-0.33835325353797813</v>
      </c>
      <c r="E226">
        <v>-1.0232315857497569</v>
      </c>
      <c r="F226">
        <v>-0.6922980174366079</v>
      </c>
      <c r="G226">
        <v>-0.65921367540343845</v>
      </c>
      <c r="H226">
        <v>-0.27123578091197209</v>
      </c>
      <c r="I226">
        <v>-0.33658469965085741</v>
      </c>
      <c r="J226">
        <v>-0.30600548321985699</v>
      </c>
      <c r="M226" s="13">
        <v>0</v>
      </c>
      <c r="O226" s="10">
        <f t="shared" si="9"/>
        <v>1</v>
      </c>
      <c r="P226" s="10">
        <f t="shared" si="10"/>
        <v>0</v>
      </c>
      <c r="R226" s="14">
        <v>-0.80465510510206129</v>
      </c>
      <c r="S226" s="14">
        <v>-1.1332986745001339</v>
      </c>
      <c r="T226" s="14">
        <v>-0.82716374068648035</v>
      </c>
      <c r="U226" s="14">
        <v>-0.95064433038266594</v>
      </c>
      <c r="V226" s="14">
        <v>-0.64431018920187466</v>
      </c>
      <c r="W226" s="14">
        <v>0.34266883171836393</v>
      </c>
      <c r="X226" s="14">
        <v>1.0655150469273242</v>
      </c>
      <c r="Y226" s="14">
        <v>1.3026211381057395</v>
      </c>
      <c r="Z226" s="14">
        <v>-0.25219654562784666</v>
      </c>
      <c r="AA226" s="14">
        <v>-0.29941373592842802</v>
      </c>
      <c r="AB226" s="14">
        <v>0.46677782489219644</v>
      </c>
      <c r="AC226" s="14">
        <v>-0.38464174644298599</v>
      </c>
      <c r="AD226" s="14">
        <v>1.1349992701648017</v>
      </c>
      <c r="AE226" s="14">
        <v>-0.66250366335900734</v>
      </c>
      <c r="AF226" s="14">
        <v>-0.35717429323586913</v>
      </c>
      <c r="AG226" s="14">
        <v>-0.56709300876976898</v>
      </c>
      <c r="AH226" s="14">
        <v>0.15493166363992361</v>
      </c>
      <c r="AI226" s="14">
        <v>0.34148220900931803</v>
      </c>
      <c r="AJ226" s="14">
        <v>1.567667509929197</v>
      </c>
      <c r="AK226" s="14">
        <v>-0.67198965602262362</v>
      </c>
      <c r="AM226" s="14">
        <v>-0.37707538464372986</v>
      </c>
      <c r="AN226" s="14">
        <v>0.49724690393839949</v>
      </c>
      <c r="AO226" s="14">
        <v>0.2583736435290902</v>
      </c>
      <c r="AP226" s="14">
        <v>0.19904221586344797</v>
      </c>
      <c r="AQ226" s="14">
        <v>0.11772941932912127</v>
      </c>
      <c r="AR226" s="14">
        <v>0.49059119335796209</v>
      </c>
      <c r="AS226" s="14">
        <v>-0.57835748653321517</v>
      </c>
      <c r="AT226" s="14">
        <v>-0.67565483528380677</v>
      </c>
      <c r="AU226" s="14">
        <v>-0.3254342211488358</v>
      </c>
      <c r="AV226" s="14">
        <v>0.22220507273365603</v>
      </c>
      <c r="AW226" s="14">
        <v>0.33461590746869607</v>
      </c>
      <c r="AX226" s="14">
        <v>-0.18090107655679508</v>
      </c>
      <c r="AY226" s="14">
        <v>-0.56288525849502868</v>
      </c>
      <c r="AZ226" s="14">
        <v>0.36585338689118752</v>
      </c>
      <c r="BA226" s="14">
        <v>-0.35692340527556365</v>
      </c>
      <c r="BB226" s="14">
        <v>-6.0643550559509783E-2</v>
      </c>
      <c r="BC226" s="14">
        <v>-0.26359058678825453</v>
      </c>
      <c r="BD226" s="14">
        <v>-0.52592314141309315</v>
      </c>
      <c r="BE226" s="14">
        <v>-0.53765544635256368</v>
      </c>
      <c r="BF226" s="14">
        <v>0.39458940260757891</v>
      </c>
      <c r="BK226" s="16">
        <v>0.16564391280047061</v>
      </c>
      <c r="BL226" s="16">
        <v>-9.1994175411291151E-2</v>
      </c>
      <c r="BN226" s="17">
        <f t="shared" si="11"/>
        <v>0</v>
      </c>
    </row>
    <row r="227" spans="1:66" x14ac:dyDescent="0.2">
      <c r="A227">
        <v>2.9924031717574299E-2</v>
      </c>
      <c r="B227">
        <v>-1.3533922748655809</v>
      </c>
      <c r="C227">
        <v>-8.0358204528613447E-3</v>
      </c>
      <c r="D227">
        <v>-6.5473135106483796E-2</v>
      </c>
      <c r="E227">
        <v>-0.53445784229779714</v>
      </c>
      <c r="F227">
        <v>-0.42326350347819552</v>
      </c>
      <c r="G227">
        <v>-0.1104405816141132</v>
      </c>
      <c r="H227">
        <v>6.6244744719856516E-2</v>
      </c>
      <c r="I227">
        <v>-4.5396505029490858E-2</v>
      </c>
      <c r="J227">
        <v>-0.12749923200608571</v>
      </c>
      <c r="M227" s="13">
        <v>0</v>
      </c>
      <c r="O227" s="10">
        <f t="shared" si="9"/>
        <v>1</v>
      </c>
      <c r="P227" s="10">
        <f t="shared" si="10"/>
        <v>0</v>
      </c>
      <c r="R227" s="14">
        <v>-1.4141992344420729</v>
      </c>
      <c r="S227" s="14">
        <v>0.59928549070789427</v>
      </c>
      <c r="T227" s="14">
        <v>-0.39377502658761787</v>
      </c>
      <c r="U227" s="14">
        <v>7.9018846012647082E-2</v>
      </c>
      <c r="V227" s="14">
        <v>4.6971608945195975E-2</v>
      </c>
      <c r="W227" s="14">
        <v>0.70402695364919055</v>
      </c>
      <c r="X227" s="14">
        <v>-0.45129246420075625</v>
      </c>
      <c r="Y227" s="14">
        <v>-1.0427124285035048</v>
      </c>
      <c r="Z227" s="14">
        <v>-0.21479173054208622</v>
      </c>
      <c r="AA227" s="14">
        <v>0.70165724120401962</v>
      </c>
      <c r="AB227" s="14">
        <v>1.1031889304928857</v>
      </c>
      <c r="AC227" s="14">
        <v>-0.90986702283816789</v>
      </c>
      <c r="AD227" s="14">
        <v>-0.70648413699424906</v>
      </c>
      <c r="AE227" s="14">
        <v>-0.25569481107953329</v>
      </c>
      <c r="AF227" s="14">
        <v>-1.1867618927285244</v>
      </c>
      <c r="AG227" s="14">
        <v>0.15856567535415844</v>
      </c>
      <c r="AH227" s="14">
        <v>-0.7516209040712245</v>
      </c>
      <c r="AI227" s="14">
        <v>-1.5246076005235185</v>
      </c>
      <c r="AJ227" s="14">
        <v>-0.52308823001321003</v>
      </c>
      <c r="AK227" s="14">
        <v>0.30705494983387305</v>
      </c>
      <c r="AM227" s="14">
        <v>-0.14023464151184109</v>
      </c>
      <c r="AN227" s="14">
        <v>0.10352487385589375</v>
      </c>
      <c r="AO227" s="14">
        <v>0.2924673286752319</v>
      </c>
      <c r="AP227" s="14">
        <v>0.12586506276127024</v>
      </c>
      <c r="AQ227" s="14">
        <v>0.70340883661688025</v>
      </c>
      <c r="AR227" s="14">
        <v>-8.5805105226712822E-2</v>
      </c>
      <c r="AS227" s="14">
        <v>-0.37432102404099649</v>
      </c>
      <c r="AT227" s="14">
        <v>0.36231089283435247</v>
      </c>
      <c r="AU227" s="14">
        <v>0.71760343302262208</v>
      </c>
      <c r="AV227" s="14">
        <v>0.24774201507343357</v>
      </c>
      <c r="AW227" s="14">
        <v>-0.79999986333183348</v>
      </c>
      <c r="AX227" s="14">
        <v>0.3878431194965889</v>
      </c>
      <c r="AY227" s="14">
        <v>-0.2156077895164164</v>
      </c>
      <c r="AZ227" s="14">
        <v>0.25320179409610932</v>
      </c>
      <c r="BA227" s="14">
        <v>-0.10374482507371192</v>
      </c>
      <c r="BB227" s="14">
        <v>0.38327084708212805</v>
      </c>
      <c r="BC227" s="14">
        <v>-0.17998727723378244</v>
      </c>
      <c r="BD227" s="14">
        <v>-4.5919222102144145E-3</v>
      </c>
      <c r="BE227" s="14">
        <v>-0.29621751878419977</v>
      </c>
      <c r="BF227" s="14">
        <v>0.1598169103749382</v>
      </c>
      <c r="BK227" s="16">
        <v>0.28231070312522688</v>
      </c>
      <c r="BL227" s="16">
        <v>-0.26431454483395439</v>
      </c>
      <c r="BN227" s="17">
        <f t="shared" si="11"/>
        <v>0</v>
      </c>
    </row>
    <row r="228" spans="1:66" x14ac:dyDescent="0.2">
      <c r="A228">
        <v>-1.0852279997593159</v>
      </c>
      <c r="B228">
        <v>-0.86543986829982589</v>
      </c>
      <c r="C228">
        <v>-1.0825144032416409</v>
      </c>
      <c r="D228">
        <v>-0.96240820792561421</v>
      </c>
      <c r="E228">
        <v>-0.51624498037449229</v>
      </c>
      <c r="F228">
        <v>-1.050560245540582</v>
      </c>
      <c r="G228">
        <v>-0.97615761406145551</v>
      </c>
      <c r="H228">
        <v>-1.020732408388795</v>
      </c>
      <c r="I228">
        <v>-0.8916843358694474</v>
      </c>
      <c r="J228">
        <v>-1.086820578713652</v>
      </c>
      <c r="M228" s="13">
        <v>0</v>
      </c>
      <c r="O228" s="10">
        <f t="shared" si="9"/>
        <v>1</v>
      </c>
      <c r="P228" s="10">
        <f t="shared" si="10"/>
        <v>0</v>
      </c>
      <c r="R228" s="14">
        <v>-0.4875556611524407</v>
      </c>
      <c r="S228" s="14">
        <v>1.0340605447028137</v>
      </c>
      <c r="T228" s="14">
        <v>-0.5103501727478974</v>
      </c>
      <c r="U228" s="14">
        <v>-0.85322312809515766</v>
      </c>
      <c r="V228" s="14">
        <v>1.229933860275819</v>
      </c>
      <c r="W228" s="14">
        <v>0.66008817811841003</v>
      </c>
      <c r="X228" s="14">
        <v>-1.451130202889148</v>
      </c>
      <c r="Y228" s="14">
        <v>-1.1162431261654191</v>
      </c>
      <c r="Z228" s="14">
        <v>-0.14893253421622143</v>
      </c>
      <c r="AA228" s="14">
        <v>1.1979700248979492</v>
      </c>
      <c r="AB228" s="14">
        <v>1.6646479689044738</v>
      </c>
      <c r="AC228" s="14">
        <v>-0.4606461805231149</v>
      </c>
      <c r="AD228" s="14">
        <v>-0.74186619286931044</v>
      </c>
      <c r="AE228" s="14">
        <v>1.672137461424799</v>
      </c>
      <c r="AF228" s="14">
        <v>-1.3466362976929003</v>
      </c>
      <c r="AG228" s="14">
        <v>5.5452924795418745E-2</v>
      </c>
      <c r="AH228" s="14">
        <v>-1.2505769324449763</v>
      </c>
      <c r="AI228" s="14">
        <v>-1.5910580549136499</v>
      </c>
      <c r="AJ228" s="14">
        <v>-0.53042858591145725</v>
      </c>
      <c r="AK228" s="14">
        <v>0.23342122852750069</v>
      </c>
      <c r="AM228" s="14">
        <v>0.14954710626454729</v>
      </c>
      <c r="AN228" s="14">
        <v>0.46234005988903276</v>
      </c>
      <c r="AO228" s="14">
        <v>0.49446278448703734</v>
      </c>
      <c r="AP228" s="14">
        <v>0.64751928517061264</v>
      </c>
      <c r="AQ228" s="14">
        <v>0.77260237503481799</v>
      </c>
      <c r="AR228" s="14">
        <v>-0.46277846655540689</v>
      </c>
      <c r="AS228" s="14">
        <v>-0.70707773295990706</v>
      </c>
      <c r="AT228" s="14">
        <v>-0.16664032413150817</v>
      </c>
      <c r="AU228" s="14">
        <v>0.63213539655504158</v>
      </c>
      <c r="AV228" s="14">
        <v>0.62671976269985208</v>
      </c>
      <c r="AW228" s="14">
        <v>-0.57766127402506595</v>
      </c>
      <c r="AX228" s="14">
        <v>0.38213365855621301</v>
      </c>
      <c r="AY228" s="14">
        <v>-0.50982662392562261</v>
      </c>
      <c r="AZ228" s="14">
        <v>0.65423688007344316</v>
      </c>
      <c r="BA228" s="14">
        <v>0.37569015230433594</v>
      </c>
      <c r="BB228" s="14">
        <v>0.61564170767520365</v>
      </c>
      <c r="BC228" s="14">
        <v>-0.16765814160006198</v>
      </c>
      <c r="BD228" s="14">
        <v>-0.45564201775404212</v>
      </c>
      <c r="BE228" s="14">
        <v>-0.75267680216879618</v>
      </c>
      <c r="BF228" s="14">
        <v>2.4937657674052829E-2</v>
      </c>
      <c r="BK228" s="16">
        <v>-0.68728598635354743</v>
      </c>
      <c r="BL228" s="16">
        <v>0.34236004997538239</v>
      </c>
      <c r="BN228" s="17">
        <f t="shared" si="11"/>
        <v>1</v>
      </c>
    </row>
    <row r="229" spans="1:66" x14ac:dyDescent="0.2">
      <c r="A229">
        <v>0.21864206781366341</v>
      </c>
      <c r="B229">
        <v>-0.85317975758209363</v>
      </c>
      <c r="C229">
        <v>0.19698249545971369</v>
      </c>
      <c r="D229">
        <v>5.9165146835327177E-2</v>
      </c>
      <c r="E229">
        <v>8.5522845213890239E-2</v>
      </c>
      <c r="F229">
        <v>-0.32643587426090509</v>
      </c>
      <c r="G229">
        <v>-0.32079934090084572</v>
      </c>
      <c r="H229">
        <v>-8.2908314933080145E-3</v>
      </c>
      <c r="I229">
        <v>-0.1605256574041187</v>
      </c>
      <c r="J229">
        <v>0.30978118204107208</v>
      </c>
      <c r="M229" s="13">
        <v>0</v>
      </c>
      <c r="O229" s="10">
        <f t="shared" si="9"/>
        <v>1</v>
      </c>
      <c r="P229" s="10">
        <f t="shared" si="10"/>
        <v>0</v>
      </c>
      <c r="R229" s="14">
        <v>0.22822765557990662</v>
      </c>
      <c r="S229" s="14">
        <v>-1.1066569568908484</v>
      </c>
      <c r="T229" s="14">
        <v>-0.39991597177694005</v>
      </c>
      <c r="U229" s="14">
        <v>-0.54742025944155503</v>
      </c>
      <c r="V229" s="14">
        <v>-0.4676586570194492</v>
      </c>
      <c r="W229" s="14">
        <v>-0.10694710358954501</v>
      </c>
      <c r="X229" s="14">
        <v>1.0572207863850334</v>
      </c>
      <c r="Y229" s="14">
        <v>1.1477637360957686</v>
      </c>
      <c r="Z229" s="14">
        <v>-7.7994908370921101E-2</v>
      </c>
      <c r="AA229" s="14">
        <v>-0.17457813612428708</v>
      </c>
      <c r="AB229" s="14">
        <v>-0.24470524015434678</v>
      </c>
      <c r="AC229" s="14">
        <v>0.16001287203338793</v>
      </c>
      <c r="AD229" s="14">
        <v>1.0890061918272085</v>
      </c>
      <c r="AE229" s="14">
        <v>-0.63424529750947056</v>
      </c>
      <c r="AF229" s="14">
        <v>0.16403599277175435</v>
      </c>
      <c r="AG229" s="14">
        <v>-0.43548003354500608</v>
      </c>
      <c r="AH229" s="14">
        <v>-6.7188130115152234E-2</v>
      </c>
      <c r="AI229" s="14">
        <v>0.31620191302555056</v>
      </c>
      <c r="AJ229" s="14">
        <v>1.5460556134092256</v>
      </c>
      <c r="AK229" s="14">
        <v>-1.2976698881228348</v>
      </c>
      <c r="AM229" s="14">
        <v>-2.7406096630123191E-2</v>
      </c>
      <c r="AN229" s="14">
        <v>0.53258535067845558</v>
      </c>
      <c r="AO229" s="14">
        <v>0.37665792851913488</v>
      </c>
      <c r="AP229" s="14">
        <v>0.43080189370596167</v>
      </c>
      <c r="AQ229" s="14">
        <v>0.19635837896638877</v>
      </c>
      <c r="AR229" s="14">
        <v>-1.8823697704908535E-2</v>
      </c>
      <c r="AS229" s="14">
        <v>-0.65979087548436866</v>
      </c>
      <c r="AT229" s="14">
        <v>-0.52450880884909556</v>
      </c>
      <c r="AU229" s="14">
        <v>1.7051069836609027E-2</v>
      </c>
      <c r="AV229" s="14">
        <v>0.3197284953385835</v>
      </c>
      <c r="AW229" s="14">
        <v>0.23081493461197763</v>
      </c>
      <c r="AX229" s="14">
        <v>7.6221936848127364E-2</v>
      </c>
      <c r="AY229" s="14">
        <v>-0.5792560434408035</v>
      </c>
      <c r="AZ229" s="14">
        <v>0.54389841885470125</v>
      </c>
      <c r="BA229" s="14">
        <v>7.5565725834017258E-2</v>
      </c>
      <c r="BB229" s="14">
        <v>-7.9530258215214922E-2</v>
      </c>
      <c r="BC229" s="14">
        <v>-0.15889477350718836</v>
      </c>
      <c r="BD229" s="14">
        <v>-0.57145764268121624</v>
      </c>
      <c r="BE229" s="14">
        <v>-0.59955535457290732</v>
      </c>
      <c r="BF229" s="14">
        <v>-2.8006225216677654E-3</v>
      </c>
      <c r="BK229" s="16">
        <v>0.77063346527518584</v>
      </c>
      <c r="BL229" s="16">
        <v>-0.19511725153071924</v>
      </c>
      <c r="BN229" s="17">
        <f t="shared" si="11"/>
        <v>0</v>
      </c>
    </row>
    <row r="230" spans="1:66" x14ac:dyDescent="0.2">
      <c r="A230">
        <v>-0.46188660780556701</v>
      </c>
      <c r="B230">
        <v>1.22123097585825</v>
      </c>
      <c r="C230">
        <v>-0.47119460700839583</v>
      </c>
      <c r="D230">
        <v>-0.48227736663475762</v>
      </c>
      <c r="E230">
        <v>-0.55211316763161333</v>
      </c>
      <c r="F230">
        <v>-0.4587215085436821</v>
      </c>
      <c r="G230">
        <v>-0.76656565462631521</v>
      </c>
      <c r="H230">
        <v>-0.46585645213523558</v>
      </c>
      <c r="I230">
        <v>-0.48678396305652549</v>
      </c>
      <c r="J230">
        <v>1.177158479660485E-2</v>
      </c>
      <c r="M230" s="13">
        <v>0</v>
      </c>
      <c r="O230" s="10">
        <f t="shared" si="9"/>
        <v>1</v>
      </c>
      <c r="P230" s="10">
        <f t="shared" si="10"/>
        <v>0</v>
      </c>
      <c r="R230" s="14">
        <v>-0.85393525029673656</v>
      </c>
      <c r="S230" s="14">
        <v>0.88076026077753899</v>
      </c>
      <c r="T230" s="14">
        <v>1.1612526398866008E-2</v>
      </c>
      <c r="U230" s="14">
        <v>-0.4110412229483833</v>
      </c>
      <c r="V230" s="14">
        <v>0.21004035441354579</v>
      </c>
      <c r="W230" s="14">
        <v>0.59422481413410355</v>
      </c>
      <c r="X230" s="14">
        <v>-1.2645327154236277</v>
      </c>
      <c r="Y230" s="14">
        <v>-1.0067912952260745</v>
      </c>
      <c r="Z230" s="14">
        <v>-9.6420865587022786E-2</v>
      </c>
      <c r="AA230" s="14">
        <v>0.7744623908064141</v>
      </c>
      <c r="AB230" s="14">
        <v>1.3484182633170128</v>
      </c>
      <c r="AC230" s="14">
        <v>-0.37979527207547376</v>
      </c>
      <c r="AD230" s="14">
        <v>-0.66913758733340745</v>
      </c>
      <c r="AE230" s="14">
        <v>0.81263775564787244</v>
      </c>
      <c r="AF230" s="14">
        <v>-1.0353136843759059</v>
      </c>
      <c r="AG230" s="14">
        <v>-0.51671792532879479</v>
      </c>
      <c r="AH230" s="14">
        <v>-0.85671685146627685</v>
      </c>
      <c r="AI230" s="14">
        <v>-1.5070630218914309</v>
      </c>
      <c r="AJ230" s="14">
        <v>-0.36011280033555798</v>
      </c>
      <c r="AK230" s="14">
        <v>-5.419973653996657E-2</v>
      </c>
      <c r="AM230" s="14">
        <v>-0.13190187232726322</v>
      </c>
      <c r="AN230" s="14">
        <v>-0.23434734178060751</v>
      </c>
      <c r="AO230" s="14">
        <v>-0.17366036604834065</v>
      </c>
      <c r="AP230" s="14">
        <v>0.20832705743050395</v>
      </c>
      <c r="AQ230" s="14">
        <v>-0.34695157244166941</v>
      </c>
      <c r="AR230" s="14">
        <v>0.19027929680663902</v>
      </c>
      <c r="AS230" s="14">
        <v>0.19619875881162005</v>
      </c>
      <c r="AT230" s="14">
        <v>-5.3696854937707924E-3</v>
      </c>
      <c r="AU230" s="14">
        <v>-0.26148994052174851</v>
      </c>
      <c r="AV230" s="14">
        <v>-0.18495131285058841</v>
      </c>
      <c r="AW230" s="14">
        <v>0.21995689306668334</v>
      </c>
      <c r="AX230" s="14">
        <v>-0.25171714653751009</v>
      </c>
      <c r="AY230" s="14">
        <v>0.12534575330558528</v>
      </c>
      <c r="AZ230" s="14">
        <v>-0.30412429005284952</v>
      </c>
      <c r="BA230" s="14">
        <v>-7.4462757295399043E-2</v>
      </c>
      <c r="BB230" s="14">
        <v>-0.15535798482044613</v>
      </c>
      <c r="BC230" s="14">
        <v>0.17338488962940432</v>
      </c>
      <c r="BD230" s="14">
        <v>0.19545952213903237</v>
      </c>
      <c r="BE230" s="14">
        <v>0.17896311166232168</v>
      </c>
      <c r="BF230" s="14">
        <v>-4.0972399552385887E-2</v>
      </c>
      <c r="BK230" s="16">
        <v>-0.71582252284782566</v>
      </c>
      <c r="BL230" s="16">
        <v>0.55415185878642326</v>
      </c>
      <c r="BN230" s="17">
        <f t="shared" si="11"/>
        <v>1</v>
      </c>
    </row>
    <row r="231" spans="1:66" x14ac:dyDescent="0.2">
      <c r="A231">
        <v>-0.40183995995681121</v>
      </c>
      <c r="B231">
        <v>0.81909934431662301</v>
      </c>
      <c r="C231">
        <v>-0.30892302498042601</v>
      </c>
      <c r="D231">
        <v>-0.46270368725359562</v>
      </c>
      <c r="E231">
        <v>1.3920169199162771</v>
      </c>
      <c r="F231">
        <v>0.96852518486149952</v>
      </c>
      <c r="G231">
        <v>0.46670410668411511</v>
      </c>
      <c r="H231">
        <v>-0.25881318487644489</v>
      </c>
      <c r="I231">
        <v>-0.3415441092916105</v>
      </c>
      <c r="J231">
        <v>1.2053075094390191</v>
      </c>
      <c r="M231" s="13">
        <v>1</v>
      </c>
      <c r="O231" s="10">
        <f t="shared" si="9"/>
        <v>0</v>
      </c>
      <c r="P231" s="10">
        <f t="shared" si="10"/>
        <v>1</v>
      </c>
      <c r="R231" s="14">
        <v>-0.63350582605889805</v>
      </c>
      <c r="S231" s="14">
        <v>0.45962617461559047</v>
      </c>
      <c r="T231" s="14">
        <v>0.19307822853620149</v>
      </c>
      <c r="U231" s="14">
        <v>-0.48126054215506553</v>
      </c>
      <c r="V231" s="14">
        <v>1.4783617559589637</v>
      </c>
      <c r="W231" s="14">
        <v>-0.24834530378358971</v>
      </c>
      <c r="X231" s="14">
        <v>-1.4493246686805721</v>
      </c>
      <c r="Y231" s="14">
        <v>0.6178759612543463</v>
      </c>
      <c r="Z231" s="14">
        <v>1.603297722538279</v>
      </c>
      <c r="AA231" s="14">
        <v>0.93034571677826972</v>
      </c>
      <c r="AB231" s="14">
        <v>-0.28367713350584733</v>
      </c>
      <c r="AC231" s="14">
        <v>0.89513551868211994</v>
      </c>
      <c r="AD231" s="14">
        <v>-0.44110529371265739</v>
      </c>
      <c r="AE231" s="14">
        <v>1.5065371204010938</v>
      </c>
      <c r="AF231" s="14">
        <v>-0.92961170041132946</v>
      </c>
      <c r="AG231" s="14">
        <v>-1.9990570266295138E-2</v>
      </c>
      <c r="AH231" s="14">
        <v>-0.75581625403167341</v>
      </c>
      <c r="AI231" s="14">
        <v>-0.51087195252831152</v>
      </c>
      <c r="AJ231" s="14">
        <v>-0.35096467094396627</v>
      </c>
      <c r="AK231" s="14">
        <v>-0.34665337256906348</v>
      </c>
      <c r="AM231" s="14">
        <v>0.57449556958989978</v>
      </c>
      <c r="AN231" s="14">
        <v>0.55056048462479668</v>
      </c>
      <c r="AO231" s="14">
        <v>0.49302916833206051</v>
      </c>
      <c r="AP231" s="14">
        <v>0.5844952921369827</v>
      </c>
      <c r="AQ231" s="14">
        <v>0.55945900134781246</v>
      </c>
      <c r="AR231" s="14">
        <v>-0.40729154258964423</v>
      </c>
      <c r="AS231" s="14">
        <v>-0.74382350354242399</v>
      </c>
      <c r="AT231" s="14">
        <v>-0.45443612620343266</v>
      </c>
      <c r="AU231" s="14">
        <v>0.52589628767726382</v>
      </c>
      <c r="AV231" s="14">
        <v>0.5876621272849587</v>
      </c>
      <c r="AW231" s="14">
        <v>-0.21310976168104528</v>
      </c>
      <c r="AX231" s="14">
        <v>0.47273998437032755</v>
      </c>
      <c r="AY231" s="14">
        <v>-0.54946599258303941</v>
      </c>
      <c r="AZ231" s="14">
        <v>0.71173982703778693</v>
      </c>
      <c r="BA231" s="14">
        <v>0.32167133092761657</v>
      </c>
      <c r="BB231" s="14">
        <v>0.12759033520908117</v>
      </c>
      <c r="BC231" s="14">
        <v>-0.19693737873807624</v>
      </c>
      <c r="BD231" s="14">
        <v>-0.48996168572713727</v>
      </c>
      <c r="BE231" s="14">
        <v>-0.66827797247051435</v>
      </c>
      <c r="BF231" s="14">
        <v>-0.39393124156145504</v>
      </c>
      <c r="BK231" s="16">
        <v>-0.4534770624564145</v>
      </c>
      <c r="BL231" s="16">
        <v>0.25627763074086429</v>
      </c>
      <c r="BN231" s="17">
        <f t="shared" si="11"/>
        <v>1</v>
      </c>
    </row>
    <row r="232" spans="1:66" x14ac:dyDescent="0.2">
      <c r="A232">
        <v>0.80481172538484924</v>
      </c>
      <c r="B232">
        <v>2.2192147664008639E-2</v>
      </c>
      <c r="C232">
        <v>0.85893434542035607</v>
      </c>
      <c r="D232">
        <v>0.66508566297276916</v>
      </c>
      <c r="E232">
        <v>0.97014756720298856</v>
      </c>
      <c r="F232">
        <v>1.235080118046102</v>
      </c>
      <c r="G232">
        <v>1.499072306877447</v>
      </c>
      <c r="H232">
        <v>0.65010675838964638</v>
      </c>
      <c r="I232">
        <v>0.51395405373831615</v>
      </c>
      <c r="J232">
        <v>2.052912695571524</v>
      </c>
      <c r="M232" s="13">
        <v>1</v>
      </c>
      <c r="O232" s="10">
        <f t="shared" si="9"/>
        <v>0</v>
      </c>
      <c r="P232" s="10">
        <f t="shared" si="10"/>
        <v>1</v>
      </c>
      <c r="R232" s="14">
        <v>0.11737928216718585</v>
      </c>
      <c r="S232" s="14">
        <v>0.99569236892115731</v>
      </c>
      <c r="T232" s="14">
        <v>0.40907808293747705</v>
      </c>
      <c r="U232" s="14">
        <v>0.28790927666606048</v>
      </c>
      <c r="V232" s="14">
        <v>1.496768845157223</v>
      </c>
      <c r="W232" s="14">
        <v>-0.55131265508068195</v>
      </c>
      <c r="X232" s="14">
        <v>-1.4657110393253092</v>
      </c>
      <c r="Y232" s="14">
        <v>-0.21485532869887841</v>
      </c>
      <c r="Z232" s="14">
        <v>1.4267688132601057</v>
      </c>
      <c r="AA232" s="14">
        <v>1.2109987040224335</v>
      </c>
      <c r="AB232" s="14">
        <v>-0.2871709338682833</v>
      </c>
      <c r="AC232" s="14">
        <v>0.99741001647882999</v>
      </c>
      <c r="AD232" s="14">
        <v>-0.7952558450257039</v>
      </c>
      <c r="AE232" s="14">
        <v>1.6880024450883897</v>
      </c>
      <c r="AF232" s="14">
        <v>0.22162326479281391</v>
      </c>
      <c r="AG232" s="14">
        <v>0.28124195550729214</v>
      </c>
      <c r="AH232" s="14">
        <v>-0.88798729956628697</v>
      </c>
      <c r="AI232" s="14">
        <v>-1.5732318937187388</v>
      </c>
      <c r="AJ232" s="14">
        <v>-0.5563928150831341</v>
      </c>
      <c r="AK232" s="14">
        <v>-0.51779806954624497</v>
      </c>
      <c r="AM232" s="14">
        <v>-0.14068583995416137</v>
      </c>
      <c r="AN232" s="14">
        <v>0.95041713229645075</v>
      </c>
      <c r="AO232" s="14">
        <v>0.81061190220890367</v>
      </c>
      <c r="AP232" s="14">
        <v>-6.2407689544796585E-2</v>
      </c>
      <c r="AQ232" s="14">
        <v>0.9152587417480782</v>
      </c>
      <c r="AR232" s="14">
        <v>0.6596653182147858</v>
      </c>
      <c r="AS232" s="14">
        <v>-0.9716821854090002</v>
      </c>
      <c r="AT232" s="14">
        <v>-0.95227698645136216</v>
      </c>
      <c r="AU232" s="14">
        <v>0.47771954773477554</v>
      </c>
      <c r="AV232" s="14">
        <v>0.8132623542146864</v>
      </c>
      <c r="AW232" s="14">
        <v>-0.16669235789472003</v>
      </c>
      <c r="AX232" s="14">
        <v>0.58127401630033348</v>
      </c>
      <c r="AY232" s="14">
        <v>-0.946833654151232</v>
      </c>
      <c r="AZ232" s="14">
        <v>0.93976514543566914</v>
      </c>
      <c r="BA232" s="14">
        <v>-0.69380362711989085</v>
      </c>
      <c r="BB232" s="14">
        <v>0.42406841627990621</v>
      </c>
      <c r="BC232" s="14">
        <v>-0.78263992663623394</v>
      </c>
      <c r="BD232" s="14">
        <v>-0.93233616787937845</v>
      </c>
      <c r="BE232" s="14">
        <v>-0.95269654467668086</v>
      </c>
      <c r="BF232" s="14">
        <v>0.77095944760556723</v>
      </c>
      <c r="BK232" s="16">
        <v>-0.5641329974039303</v>
      </c>
      <c r="BL232" s="16">
        <v>0.52433114155830218</v>
      </c>
      <c r="BN232" s="17">
        <f t="shared" si="11"/>
        <v>1</v>
      </c>
    </row>
    <row r="233" spans="1:66" x14ac:dyDescent="0.2">
      <c r="A233">
        <v>-0.8336039516311966</v>
      </c>
      <c r="B233">
        <v>1.9838098625012131</v>
      </c>
      <c r="C233">
        <v>-0.86919575065244303</v>
      </c>
      <c r="D233">
        <v>-0.77214053041167163</v>
      </c>
      <c r="E233">
        <v>-1.242715156478565</v>
      </c>
      <c r="F233">
        <v>-0.93046175076108273</v>
      </c>
      <c r="G233">
        <v>-1.207092169365906</v>
      </c>
      <c r="H233">
        <v>-0.90478817872387174</v>
      </c>
      <c r="I233">
        <v>-0.79090204709842704</v>
      </c>
      <c r="J233">
        <v>-1.443383820441831</v>
      </c>
      <c r="M233" s="13">
        <v>0</v>
      </c>
      <c r="O233" s="10">
        <f t="shared" si="9"/>
        <v>1</v>
      </c>
      <c r="P233" s="10">
        <f t="shared" si="10"/>
        <v>0</v>
      </c>
      <c r="R233" s="14">
        <v>-0.21752920886954535</v>
      </c>
      <c r="S233" s="14">
        <v>0.69468204742167206</v>
      </c>
      <c r="T233" s="14">
        <v>0.23846932952340438</v>
      </c>
      <c r="U233" s="14">
        <v>-3.3395397477426314E-2</v>
      </c>
      <c r="V233" s="14">
        <v>0.24542101415930784</v>
      </c>
      <c r="W233" s="14">
        <v>0.13756169009091868</v>
      </c>
      <c r="X233" s="14">
        <v>-1.3379271667074801</v>
      </c>
      <c r="Y233" s="14">
        <v>-0.77242613695655149</v>
      </c>
      <c r="Z233" s="14">
        <v>0.10192459209462923</v>
      </c>
      <c r="AA233" s="14">
        <v>0.86576292737276961</v>
      </c>
      <c r="AB233" s="14">
        <v>0.68357318380957977</v>
      </c>
      <c r="AC233" s="14">
        <v>0.22006050502995761</v>
      </c>
      <c r="AD233" s="14">
        <v>-0.67362354476008868</v>
      </c>
      <c r="AE233" s="14">
        <v>1.3362675170532623</v>
      </c>
      <c r="AF233" s="14">
        <v>-5.6626234053750446E-3</v>
      </c>
      <c r="AG233" s="14">
        <v>-0.30163050834004013</v>
      </c>
      <c r="AH233" s="14">
        <v>-0.64448056730433589</v>
      </c>
      <c r="AI233" s="14">
        <v>-1.5126542961962153</v>
      </c>
      <c r="AJ233" s="14">
        <v>-0.45298537937958877</v>
      </c>
      <c r="AK233" s="14">
        <v>-0.60539286206321852</v>
      </c>
      <c r="AM233" s="14">
        <v>-0.51289299637128527</v>
      </c>
      <c r="AN233" s="14">
        <v>0.83730017051173267</v>
      </c>
      <c r="AO233" s="14">
        <v>0.19388838724201815</v>
      </c>
      <c r="AP233" s="14">
        <v>0.15577413463966461</v>
      </c>
      <c r="AQ233" s="14">
        <v>0.41467262342336336</v>
      </c>
      <c r="AR233" s="14">
        <v>0.48242651978854978</v>
      </c>
      <c r="AS233" s="14">
        <v>-0.89247197138130652</v>
      </c>
      <c r="AT233" s="14">
        <v>-0.8887007264455582</v>
      </c>
      <c r="AU233" s="14">
        <v>-1.3721894609004821E-2</v>
      </c>
      <c r="AV233" s="14">
        <v>0.47948786573599395</v>
      </c>
      <c r="AW233" s="14">
        <v>0.78219444394750715</v>
      </c>
      <c r="AX233" s="14">
        <v>-0.13542146521704848</v>
      </c>
      <c r="AY233" s="14">
        <v>-0.82291213540541996</v>
      </c>
      <c r="AZ233" s="14">
        <v>0.78194565073812705</v>
      </c>
      <c r="BA233" s="14">
        <v>-0.34701028100457498</v>
      </c>
      <c r="BB233" s="14">
        <v>-8.0390671403902061E-2</v>
      </c>
      <c r="BC233" s="14">
        <v>-0.54359746942102705</v>
      </c>
      <c r="BD233" s="14">
        <v>-0.83358301598631313</v>
      </c>
      <c r="BE233" s="14">
        <v>-0.82245892627746142</v>
      </c>
      <c r="BF233" s="14">
        <v>0.73137098887135232</v>
      </c>
      <c r="BK233" s="16">
        <v>5.5206869269816217E-2</v>
      </c>
      <c r="BL233" s="16">
        <v>-2.1834737852253362E-2</v>
      </c>
      <c r="BN233" s="17">
        <f t="shared" si="11"/>
        <v>0</v>
      </c>
    </row>
    <row r="234" spans="1:66" x14ac:dyDescent="0.2">
      <c r="A234">
        <v>-0.86219759346393732</v>
      </c>
      <c r="B234">
        <v>3.634020765108013</v>
      </c>
      <c r="C234">
        <v>-0.90945238353406199</v>
      </c>
      <c r="D234">
        <v>-0.79775902254289832</v>
      </c>
      <c r="E234">
        <v>-1.2871322381078489</v>
      </c>
      <c r="F234">
        <v>-1.071339132425112</v>
      </c>
      <c r="G234">
        <v>-1.1225141457353109</v>
      </c>
      <c r="H234">
        <v>-0.84681606389141051</v>
      </c>
      <c r="I234">
        <v>-0.75795739734199508</v>
      </c>
      <c r="J234">
        <v>-1.3057602928701399</v>
      </c>
      <c r="M234" s="13">
        <v>0</v>
      </c>
      <c r="O234" s="10">
        <f t="shared" si="9"/>
        <v>1</v>
      </c>
      <c r="P234" s="10">
        <f t="shared" si="10"/>
        <v>0</v>
      </c>
      <c r="R234" s="14">
        <v>-7.9560925945112076E-2</v>
      </c>
      <c r="S234" s="14">
        <v>-0.98357399976834636</v>
      </c>
      <c r="T234" s="14">
        <v>-0.36272165760202379</v>
      </c>
      <c r="U234" s="14">
        <v>-0.2877649075159992</v>
      </c>
      <c r="V234" s="14">
        <v>-0.47251429519861532</v>
      </c>
      <c r="W234" s="14">
        <v>0.77817588438227081</v>
      </c>
      <c r="X234" s="14">
        <v>1.0304122309895469</v>
      </c>
      <c r="Y234" s="14">
        <v>0.47692633712506344</v>
      </c>
      <c r="Z234" s="14">
        <v>-0.62080206961752649</v>
      </c>
      <c r="AA234" s="14">
        <v>9.8182980558069621E-2</v>
      </c>
      <c r="AB234" s="14">
        <v>0.19506214824309925</v>
      </c>
      <c r="AC234" s="14">
        <v>-0.11542811450053525</v>
      </c>
      <c r="AD234" s="14">
        <v>0.74418987638071754</v>
      </c>
      <c r="AE234" s="14">
        <v>-0.63533595638276585</v>
      </c>
      <c r="AF234" s="14">
        <v>0.37644908456496384</v>
      </c>
      <c r="AG234" s="14">
        <v>3.2259253277597266E-3</v>
      </c>
      <c r="AH234" s="14">
        <v>-0.3531312961546404</v>
      </c>
      <c r="AI234" s="14">
        <v>0.1126816634299711</v>
      </c>
      <c r="AJ234" s="14">
        <v>1.4073936508565357</v>
      </c>
      <c r="AK234" s="14">
        <v>-0.7396287713380032</v>
      </c>
      <c r="AM234" s="14">
        <v>-0.22880430385118194</v>
      </c>
      <c r="AN234" s="14">
        <v>-0.13054269636305049</v>
      </c>
      <c r="AO234" s="14">
        <v>-0.13134874965380036</v>
      </c>
      <c r="AP234" s="14">
        <v>-0.12098194924269019</v>
      </c>
      <c r="AQ234" s="14">
        <v>-0.24470508407123784</v>
      </c>
      <c r="AR234" s="14">
        <v>1.8247682359617396E-2</v>
      </c>
      <c r="AS234" s="14">
        <v>0.11421909746018066</v>
      </c>
      <c r="AT234" s="14">
        <v>-9.4721783571550706E-3</v>
      </c>
      <c r="AU234" s="14">
        <v>-0.19899300993734417</v>
      </c>
      <c r="AV234" s="14">
        <v>-0.20234371834713646</v>
      </c>
      <c r="AW234" s="14">
        <v>0.26832008423738912</v>
      </c>
      <c r="AX234" s="14">
        <v>-0.22751869004243605</v>
      </c>
      <c r="AY234" s="14">
        <v>7.0611110700348298E-2</v>
      </c>
      <c r="AZ234" s="14">
        <v>-0.18246199788705308</v>
      </c>
      <c r="BA234" s="14">
        <v>-3.2449447984907363E-2</v>
      </c>
      <c r="BB234" s="14">
        <v>-0.13687429943377269</v>
      </c>
      <c r="BC234" s="14">
        <v>5.4276155751157816E-2</v>
      </c>
      <c r="BD234" s="14">
        <v>4.5986249174869792E-2</v>
      </c>
      <c r="BE234" s="14">
        <v>8.3853846115269567E-2</v>
      </c>
      <c r="BF234" s="14">
        <v>0.11022054409734282</v>
      </c>
      <c r="BK234" s="16">
        <v>0.5696488135980371</v>
      </c>
      <c r="BL234" s="16">
        <v>-0.25448125008019873</v>
      </c>
      <c r="BN234" s="17">
        <f t="shared" si="11"/>
        <v>0</v>
      </c>
    </row>
    <row r="235" spans="1:66" x14ac:dyDescent="0.2">
      <c r="A235">
        <v>1.7941517327976799</v>
      </c>
      <c r="B235">
        <v>2.1628074789801079</v>
      </c>
      <c r="C235">
        <v>1.730469696465716</v>
      </c>
      <c r="D235">
        <v>1.8855621420334601</v>
      </c>
      <c r="E235">
        <v>4.4636828651368747E-2</v>
      </c>
      <c r="F235">
        <v>0.7937147403078767</v>
      </c>
      <c r="G235">
        <v>0.84473643351895988</v>
      </c>
      <c r="H235">
        <v>1.6604779026125449</v>
      </c>
      <c r="I235">
        <v>1.7236957625363289</v>
      </c>
      <c r="J235">
        <v>0.58532774431736334</v>
      </c>
      <c r="M235" s="13">
        <v>1</v>
      </c>
      <c r="O235" s="10">
        <f t="shared" si="9"/>
        <v>0</v>
      </c>
      <c r="P235" s="10">
        <f t="shared" si="10"/>
        <v>1</v>
      </c>
      <c r="R235" s="14">
        <v>0.45472199633892119</v>
      </c>
      <c r="S235" s="14">
        <v>0.93901605061909987</v>
      </c>
      <c r="T235" s="14">
        <v>0.38463372943307106</v>
      </c>
      <c r="U235" s="14">
        <v>0.20800186488402117</v>
      </c>
      <c r="V235" s="14">
        <v>1.3438985076498864</v>
      </c>
      <c r="W235" s="14">
        <v>-0.4026898994922628</v>
      </c>
      <c r="X235" s="14">
        <v>-1.4616440635240484</v>
      </c>
      <c r="Y235" s="14">
        <v>-0.60395804139986797</v>
      </c>
      <c r="Z235" s="14">
        <v>1.0266622502120344</v>
      </c>
      <c r="AA235" s="14">
        <v>1.1958301753746938</v>
      </c>
      <c r="AB235" s="14">
        <v>-0.2510534754351339</v>
      </c>
      <c r="AC235" s="14">
        <v>1.001203177867338</v>
      </c>
      <c r="AD235" s="14">
        <v>-0.69056075354600088</v>
      </c>
      <c r="AE235" s="14">
        <v>1.6817912100158967</v>
      </c>
      <c r="AF235" s="14">
        <v>0.15299240991994434</v>
      </c>
      <c r="AG235" s="14">
        <v>6.0046561149519673E-2</v>
      </c>
      <c r="AH235" s="14">
        <v>-0.78554161479450046</v>
      </c>
      <c r="AI235" s="14">
        <v>-1.4386648295149458</v>
      </c>
      <c r="AJ235" s="14">
        <v>-0.51421951665720189</v>
      </c>
      <c r="AK235" s="14">
        <v>-1.1449457594706822</v>
      </c>
      <c r="AM235" s="14">
        <v>0.38511500411203092</v>
      </c>
      <c r="AN235" s="14">
        <v>-0.11363225385445991</v>
      </c>
      <c r="AO235" s="14">
        <v>0.20271382503445448</v>
      </c>
      <c r="AP235" s="14">
        <v>0.20092812201011134</v>
      </c>
      <c r="AQ235" s="14">
        <v>0.10885850604575009</v>
      </c>
      <c r="AR235" s="14">
        <v>-0.5266351749675775</v>
      </c>
      <c r="AS235" s="14">
        <v>-4.3240001724327765E-2</v>
      </c>
      <c r="AT235" s="14">
        <v>0.2804830371626954</v>
      </c>
      <c r="AU235" s="14">
        <v>0.31229836043434739</v>
      </c>
      <c r="AV235" s="14">
        <v>5.9164749968611249E-2</v>
      </c>
      <c r="AW235" s="14">
        <v>-0.248990281579096</v>
      </c>
      <c r="AX235" s="14">
        <v>0.28831711250726183</v>
      </c>
      <c r="AY235" s="14">
        <v>6.3733547995920486E-2</v>
      </c>
      <c r="AZ235" s="14">
        <v>0.11439856906218962</v>
      </c>
      <c r="BA235" s="14">
        <v>0.39150627746787131</v>
      </c>
      <c r="BB235" s="14">
        <v>-2.283233685434281E-2</v>
      </c>
      <c r="BC235" s="14">
        <v>0.1477844935244301</v>
      </c>
      <c r="BD235" s="14">
        <v>7.3617665108278107E-2</v>
      </c>
      <c r="BE235" s="14">
        <v>-4.8827221763703452E-2</v>
      </c>
      <c r="BF235" s="14">
        <v>-0.47362603550651688</v>
      </c>
      <c r="BK235" s="16">
        <v>0.86285152566617318</v>
      </c>
      <c r="BL235" s="16">
        <v>-0.19691773256401529</v>
      </c>
      <c r="BN235" s="17">
        <f t="shared" si="11"/>
        <v>0</v>
      </c>
    </row>
    <row r="236" spans="1:66" x14ac:dyDescent="0.2">
      <c r="A236">
        <v>-1.334850492959142</v>
      </c>
      <c r="B236">
        <v>-0.75509887184023328</v>
      </c>
      <c r="C236">
        <v>-1.3485401937273911</v>
      </c>
      <c r="D236">
        <v>-1.1063323210223941</v>
      </c>
      <c r="E236">
        <v>-1.1917934813052431</v>
      </c>
      <c r="F236">
        <v>-0.928106149025963</v>
      </c>
      <c r="G236">
        <v>-0.86088203637212835</v>
      </c>
      <c r="H236">
        <v>-1.229846108320173</v>
      </c>
      <c r="I236">
        <v>-0.99707179073545282</v>
      </c>
      <c r="J236">
        <v>-0.673800242432124</v>
      </c>
      <c r="M236" s="13">
        <v>0</v>
      </c>
      <c r="O236" s="10">
        <f t="shared" si="9"/>
        <v>1</v>
      </c>
      <c r="P236" s="10">
        <f t="shared" si="10"/>
        <v>0</v>
      </c>
      <c r="R236" s="14">
        <v>0.15664458706150031</v>
      </c>
      <c r="S236" s="14">
        <v>1.0359332586422543</v>
      </c>
      <c r="T236" s="14">
        <v>0.44995364378176905</v>
      </c>
      <c r="U236" s="14">
        <v>-1.0677679082885954</v>
      </c>
      <c r="V236" s="14">
        <v>1.5051416617691387</v>
      </c>
      <c r="W236" s="14">
        <v>0.7208009734898404</v>
      </c>
      <c r="X236" s="14">
        <v>-1.4659127711291391</v>
      </c>
      <c r="Y236" s="14">
        <v>-1.1199785955341568</v>
      </c>
      <c r="Z236" s="14">
        <v>0.73393255485288222</v>
      </c>
      <c r="AA236" s="14">
        <v>1.216347878818409</v>
      </c>
      <c r="AB236" s="14">
        <v>-0.283325623942279</v>
      </c>
      <c r="AC236" s="14">
        <v>1.0650023636406609</v>
      </c>
      <c r="AD236" s="14">
        <v>-0.81583337854821902</v>
      </c>
      <c r="AE236" s="14">
        <v>1.6894094529599797</v>
      </c>
      <c r="AF236" s="14">
        <v>-0.44565586188736245</v>
      </c>
      <c r="AG236" s="14">
        <v>0.27703531989414965</v>
      </c>
      <c r="AH236" s="14">
        <v>-1.4197876252759893</v>
      </c>
      <c r="AI236" s="14">
        <v>-1.6036266024752823</v>
      </c>
      <c r="AJ236" s="14">
        <v>-0.55690724501533206</v>
      </c>
      <c r="AK236" s="14">
        <v>0.32203100498639758</v>
      </c>
      <c r="AM236" s="14">
        <v>-0.162655173219594</v>
      </c>
      <c r="AN236" s="14">
        <v>-0.73618940527345877</v>
      </c>
      <c r="AO236" s="14">
        <v>-0.59751039169545928</v>
      </c>
      <c r="AP236" s="14">
        <v>-0.26362317567604054</v>
      </c>
      <c r="AQ236" s="14">
        <v>-0.81046813236994719</v>
      </c>
      <c r="AR236" s="14">
        <v>0.36156913825566328</v>
      </c>
      <c r="AS236" s="14">
        <v>0.88116416708014966</v>
      </c>
      <c r="AT236" s="14">
        <v>0.42061878478209752</v>
      </c>
      <c r="AU236" s="14">
        <v>-0.77360810985967321</v>
      </c>
      <c r="AV236" s="14">
        <v>-0.60115232254779827</v>
      </c>
      <c r="AW236" s="14">
        <v>0.39862155968020552</v>
      </c>
      <c r="AX236" s="14">
        <v>-0.59419065221799028</v>
      </c>
      <c r="AY236" s="14">
        <v>0.74075566041360874</v>
      </c>
      <c r="AZ236" s="14">
        <v>-0.83447456020722555</v>
      </c>
      <c r="BA236" s="14">
        <v>-0.12936324708860616</v>
      </c>
      <c r="BB236" s="14">
        <v>-0.18102508927585151</v>
      </c>
      <c r="BC236" s="14">
        <v>0.45079781020876869</v>
      </c>
      <c r="BD236" s="14">
        <v>0.69685257500137099</v>
      </c>
      <c r="BE236" s="14">
        <v>0.79858948546343733</v>
      </c>
      <c r="BF236" s="14">
        <v>-9.6367438494748089E-2</v>
      </c>
      <c r="BK236" s="16">
        <v>-0.38958719070112968</v>
      </c>
      <c r="BL236" s="16">
        <v>0.6739955141136561</v>
      </c>
      <c r="BN236" s="17">
        <f t="shared" si="11"/>
        <v>1</v>
      </c>
    </row>
    <row r="237" spans="1:66" x14ac:dyDescent="0.2">
      <c r="A237">
        <v>-5.8716257963922207E-2</v>
      </c>
      <c r="B237">
        <v>0.55428095281360079</v>
      </c>
      <c r="C237">
        <v>-0.1209203992549269</v>
      </c>
      <c r="D237">
        <v>-0.17427976460764941</v>
      </c>
      <c r="E237">
        <v>-0.66064695705212451</v>
      </c>
      <c r="F237">
        <v>-0.95166216637716039</v>
      </c>
      <c r="G237">
        <v>-0.80234964770060735</v>
      </c>
      <c r="H237">
        <v>-0.23189756013280199</v>
      </c>
      <c r="I237">
        <v>-0.32471754086762639</v>
      </c>
      <c r="J237">
        <v>-0.562832849689335</v>
      </c>
      <c r="M237" s="13">
        <v>0</v>
      </c>
      <c r="O237" s="10">
        <f t="shared" si="9"/>
        <v>1</v>
      </c>
      <c r="P237" s="10">
        <f t="shared" si="10"/>
        <v>0</v>
      </c>
      <c r="R237" s="14">
        <v>-0.77765285941253159</v>
      </c>
      <c r="S237" s="14">
        <v>1.0267064292866623</v>
      </c>
      <c r="T237" s="14">
        <v>0.12458250000729454</v>
      </c>
      <c r="U237" s="14">
        <v>-0.39798868996404213</v>
      </c>
      <c r="V237" s="14">
        <v>0.63390782415268654</v>
      </c>
      <c r="W237" s="14">
        <v>0.67003291927795638</v>
      </c>
      <c r="X237" s="14">
        <v>-1.459990772802638</v>
      </c>
      <c r="Y237" s="14">
        <v>-1.0939543005708712</v>
      </c>
      <c r="Z237" s="14">
        <v>-9.7786370936744249E-2</v>
      </c>
      <c r="AA237" s="14">
        <v>1.1189001239716154</v>
      </c>
      <c r="AB237" s="14">
        <v>1.5989759863936781</v>
      </c>
      <c r="AC237" s="14">
        <v>-0.11097723305722264</v>
      </c>
      <c r="AD237" s="14">
        <v>-0.81011006660927987</v>
      </c>
      <c r="AE237" s="14">
        <v>1.6168495735500337</v>
      </c>
      <c r="AF237" s="14">
        <v>-1.6037904478882314E-2</v>
      </c>
      <c r="AG237" s="14">
        <v>0.10379966387790518</v>
      </c>
      <c r="AH237" s="14">
        <v>-1.1866986579694565</v>
      </c>
      <c r="AI237" s="14">
        <v>-1.6017006538225478</v>
      </c>
      <c r="AJ237" s="14">
        <v>-0.55009364064823063</v>
      </c>
      <c r="AK237" s="14">
        <v>0.26124370671632535</v>
      </c>
      <c r="AM237" s="14">
        <v>0.10615267254146464</v>
      </c>
      <c r="AN237" s="14">
        <v>6.8400306850610243E-2</v>
      </c>
      <c r="AO237" s="14">
        <v>0.28399182510775883</v>
      </c>
      <c r="AP237" s="14">
        <v>0.38351400755762777</v>
      </c>
      <c r="AQ237" s="14">
        <v>0.57255361278119521</v>
      </c>
      <c r="AR237" s="14">
        <v>-0.35100609433135382</v>
      </c>
      <c r="AS237" s="14">
        <v>-0.4339856308765031</v>
      </c>
      <c r="AT237" s="14">
        <v>0.36827088105551209</v>
      </c>
      <c r="AU237" s="14">
        <v>0.74385046461883886</v>
      </c>
      <c r="AV237" s="14">
        <v>0.21326382555401749</v>
      </c>
      <c r="AW237" s="14">
        <v>-0.66925726316110545</v>
      </c>
      <c r="AX237" s="14">
        <v>0.42938838891323677</v>
      </c>
      <c r="AY237" s="14">
        <v>-0.22414468340511587</v>
      </c>
      <c r="AZ237" s="14">
        <v>0.2989926709631972</v>
      </c>
      <c r="BA237" s="14">
        <v>0.16375436540782121</v>
      </c>
      <c r="BB237" s="14">
        <v>0.16704037911248226</v>
      </c>
      <c r="BC237" s="14">
        <v>-1.8184295366242737E-2</v>
      </c>
      <c r="BD237" s="14">
        <v>-8.3689909717605537E-3</v>
      </c>
      <c r="BE237" s="14">
        <v>-0.29748895335590769</v>
      </c>
      <c r="BF237" s="14">
        <v>-0.18361416028194741</v>
      </c>
      <c r="BK237" s="16">
        <v>-0.90354513283279225</v>
      </c>
      <c r="BL237" s="16">
        <v>0.76146516299181655</v>
      </c>
      <c r="BN237" s="17">
        <f t="shared" si="11"/>
        <v>1</v>
      </c>
    </row>
    <row r="238" spans="1:66" x14ac:dyDescent="0.2">
      <c r="A238">
        <v>2.5661800622816799</v>
      </c>
      <c r="B238">
        <v>1.9568376189222021</v>
      </c>
      <c r="C238">
        <v>2.5231518490831619</v>
      </c>
      <c r="D238">
        <v>2.8959094159728531</v>
      </c>
      <c r="E238">
        <v>1.1745776500155951</v>
      </c>
      <c r="F238">
        <v>1.284671733522307</v>
      </c>
      <c r="G238">
        <v>1.874804234157516</v>
      </c>
      <c r="H238">
        <v>3.0145408704850358</v>
      </c>
      <c r="I238">
        <v>3.6224411678532671</v>
      </c>
      <c r="J238">
        <v>2.1277894787987761</v>
      </c>
      <c r="M238" s="13">
        <v>1</v>
      </c>
      <c r="O238" s="10">
        <f t="shared" si="9"/>
        <v>0</v>
      </c>
      <c r="P238" s="10">
        <f t="shared" si="10"/>
        <v>1</v>
      </c>
      <c r="R238" s="14">
        <v>-0.23518500661624067</v>
      </c>
      <c r="S238" s="14">
        <v>-0.69747617542064022</v>
      </c>
      <c r="T238" s="14">
        <v>-0.39570993553038036</v>
      </c>
      <c r="U238" s="14">
        <v>-0.89385317972764045</v>
      </c>
      <c r="V238" s="14">
        <v>-0.39430952407188058</v>
      </c>
      <c r="W238" s="14">
        <v>0.51483742385180498</v>
      </c>
      <c r="X238" s="14">
        <v>0.97717834254381664</v>
      </c>
      <c r="Y238" s="14">
        <v>0.28418017895501496</v>
      </c>
      <c r="Z238" s="14">
        <v>-0.64116558867911355</v>
      </c>
      <c r="AA238" s="14">
        <v>2.4013028804155789E-2</v>
      </c>
      <c r="AB238" s="14">
        <v>0.6225778501786251</v>
      </c>
      <c r="AC238" s="14">
        <v>-0.13362334899584705</v>
      </c>
      <c r="AD238" s="14">
        <v>0.71015048345574106</v>
      </c>
      <c r="AE238" s="14">
        <v>-0.52403668292565952</v>
      </c>
      <c r="AF238" s="14">
        <v>0.27097616426176308</v>
      </c>
      <c r="AG238" s="14">
        <v>-6.5011008278273053E-2</v>
      </c>
      <c r="AH238" s="14">
        <v>-0.57545951011025975</v>
      </c>
      <c r="AI238" s="14">
        <v>-0.3322848176876686</v>
      </c>
      <c r="AJ238" s="14">
        <v>1.1751167387617458</v>
      </c>
      <c r="AK238" s="14">
        <v>-0.47480919916425196</v>
      </c>
      <c r="AM238" s="14">
        <v>-0.34285865120475228</v>
      </c>
      <c r="AN238" s="14">
        <v>1.527781526255303E-2</v>
      </c>
      <c r="AO238" s="14">
        <v>-0.23951346230207635</v>
      </c>
      <c r="AP238" s="14">
        <v>-4.7485907761433323E-3</v>
      </c>
      <c r="AQ238" s="14">
        <v>-2.7363479917024915E-3</v>
      </c>
      <c r="AR238" s="14">
        <v>0.53416512386674275</v>
      </c>
      <c r="AS238" s="14">
        <v>0.14477261338621145</v>
      </c>
      <c r="AT238" s="14">
        <v>-0.48532574298189818</v>
      </c>
      <c r="AU238" s="14">
        <v>-0.5911868642011251</v>
      </c>
      <c r="AV238" s="14">
        <v>0.17017212862774905</v>
      </c>
      <c r="AW238" s="14">
        <v>0.32917494493240279</v>
      </c>
      <c r="AX238" s="14">
        <v>-0.44232747475791573</v>
      </c>
      <c r="AY238" s="14">
        <v>7.5745282540905304E-2</v>
      </c>
      <c r="AZ238" s="14">
        <v>-0.15225432589802948</v>
      </c>
      <c r="BA238" s="14">
        <v>-0.30674111489296096</v>
      </c>
      <c r="BB238" s="14">
        <v>0.34987513308972795</v>
      </c>
      <c r="BC238" s="14">
        <v>-0.16109044632678199</v>
      </c>
      <c r="BD238" s="14">
        <v>2.1061439303734837E-2</v>
      </c>
      <c r="BE238" s="14">
        <v>-8.1058033865948009E-2</v>
      </c>
      <c r="BF238" s="14">
        <v>0.50764419637395342</v>
      </c>
      <c r="BK238" s="16">
        <v>0.70912321540034651</v>
      </c>
      <c r="BL238" s="16">
        <v>-0.30532475273683646</v>
      </c>
      <c r="BN238" s="17">
        <f t="shared" si="11"/>
        <v>0</v>
      </c>
    </row>
    <row r="239" spans="1:66" x14ac:dyDescent="0.2">
      <c r="A239">
        <v>1.785573640247857</v>
      </c>
      <c r="B239">
        <v>0.6057734178280777</v>
      </c>
      <c r="C239">
        <v>1.6516164980378021</v>
      </c>
      <c r="D239">
        <v>1.848141872628297</v>
      </c>
      <c r="E239">
        <v>-0.39990567870113602</v>
      </c>
      <c r="F239">
        <v>-1.1901053103074519E-2</v>
      </c>
      <c r="G239">
        <v>0.25225574818889213</v>
      </c>
      <c r="H239">
        <v>1.608717085797847</v>
      </c>
      <c r="I239">
        <v>1.507607199617796</v>
      </c>
      <c r="J239">
        <v>0.40861853590104602</v>
      </c>
      <c r="M239" s="13">
        <v>1</v>
      </c>
      <c r="O239" s="10">
        <f t="shared" si="9"/>
        <v>0</v>
      </c>
      <c r="P239" s="10">
        <f t="shared" si="10"/>
        <v>1</v>
      </c>
      <c r="R239" s="14">
        <v>0.157074280544928</v>
      </c>
      <c r="S239" s="14">
        <v>-0.4152596799549565</v>
      </c>
      <c r="T239" s="14">
        <v>-0.20409849688535098</v>
      </c>
      <c r="U239" s="14">
        <v>-0.2585603973895893</v>
      </c>
      <c r="V239" s="14">
        <v>0.56959258913425037</v>
      </c>
      <c r="W239" s="14">
        <v>-0.96270222208876111</v>
      </c>
      <c r="X239" s="14">
        <v>-0.44801679754931656</v>
      </c>
      <c r="Y239" s="14">
        <v>0.38065596183731037</v>
      </c>
      <c r="Z239" s="14">
        <v>1.1734962087082819</v>
      </c>
      <c r="AA239" s="14">
        <v>0.35194863533640408</v>
      </c>
      <c r="AB239" s="14">
        <v>0.1118702252518855</v>
      </c>
      <c r="AC239" s="14">
        <v>0.55474619302880279</v>
      </c>
      <c r="AD239" s="14">
        <v>0.60903199064066915</v>
      </c>
      <c r="AE239" s="14">
        <v>1.1565151332279331</v>
      </c>
      <c r="AF239" s="14">
        <v>-9.931826036197744E-2</v>
      </c>
      <c r="AG239" s="14">
        <v>-0.72370201347954077</v>
      </c>
      <c r="AH239" s="14">
        <v>-0.25082513539139584</v>
      </c>
      <c r="AI239" s="14">
        <v>-0.25879120440681525</v>
      </c>
      <c r="AJ239" s="14">
        <v>0.45408667182623697</v>
      </c>
      <c r="AK239" s="14">
        <v>-1.1907418224135418</v>
      </c>
      <c r="AM239" s="14">
        <v>0.6751348869153353</v>
      </c>
      <c r="AN239" s="14">
        <v>-0.33863796484171121</v>
      </c>
      <c r="AO239" s="14">
        <v>0.20204427077285358</v>
      </c>
      <c r="AP239" s="14">
        <v>2.7270636231907265E-2</v>
      </c>
      <c r="AQ239" s="14">
        <v>-1.067462131052398E-2</v>
      </c>
      <c r="AR239" s="14">
        <v>-0.77370943256420233</v>
      </c>
      <c r="AS239" s="14">
        <v>0.18978674157448003</v>
      </c>
      <c r="AT239" s="14">
        <v>0.66945784194324132</v>
      </c>
      <c r="AU239" s="14">
        <v>0.59964142265567766</v>
      </c>
      <c r="AV239" s="14">
        <v>-0.1352569471011211</v>
      </c>
      <c r="AW239" s="14">
        <v>-0.47148273433446453</v>
      </c>
      <c r="AX239" s="14">
        <v>0.53355362257208505</v>
      </c>
      <c r="AY239" s="14">
        <v>0.3084484695100968</v>
      </c>
      <c r="AZ239" s="14">
        <v>1.596924037497029E-2</v>
      </c>
      <c r="BA239" s="14">
        <v>0.57707097412061925</v>
      </c>
      <c r="BB239" s="14">
        <v>-0.28061813031068383</v>
      </c>
      <c r="BC239" s="14">
        <v>0.29022729720071927</v>
      </c>
      <c r="BD239" s="14">
        <v>0.32247601626340533</v>
      </c>
      <c r="BE239" s="14">
        <v>0.30025763269548905</v>
      </c>
      <c r="BF239" s="14">
        <v>-0.77201484556870115</v>
      </c>
      <c r="BK239" s="16">
        <v>0.7373360822613878</v>
      </c>
      <c r="BL239" s="16">
        <v>-0.32545356662188218</v>
      </c>
      <c r="BN239" s="17">
        <f t="shared" si="11"/>
        <v>0</v>
      </c>
    </row>
    <row r="240" spans="1:66" x14ac:dyDescent="0.2">
      <c r="A240">
        <v>-4.3883384817143909E-3</v>
      </c>
      <c r="B240">
        <v>2.1726155675542951</v>
      </c>
      <c r="C240">
        <v>-6.3757531175371801E-3</v>
      </c>
      <c r="D240">
        <v>-0.11527087823796971</v>
      </c>
      <c r="E240">
        <v>-2.0409106789005919E-2</v>
      </c>
      <c r="F240">
        <v>0.23456927581366449</v>
      </c>
      <c r="G240">
        <v>-0.1602825719675918</v>
      </c>
      <c r="H240">
        <v>-0.1449393878841099</v>
      </c>
      <c r="I240">
        <v>-0.23881348101886571</v>
      </c>
      <c r="J240">
        <v>-0.52449593667698147</v>
      </c>
      <c r="M240" s="13">
        <v>0</v>
      </c>
      <c r="O240" s="10">
        <f t="shared" si="9"/>
        <v>1</v>
      </c>
      <c r="P240" s="10">
        <f t="shared" si="10"/>
        <v>0</v>
      </c>
      <c r="R240" s="14">
        <v>-0.50853698212345422</v>
      </c>
      <c r="S240" s="14">
        <v>-1.1162341976074712</v>
      </c>
      <c r="T240" s="14">
        <v>-0.81526636634523431</v>
      </c>
      <c r="U240" s="14">
        <v>-0.79382662482662258</v>
      </c>
      <c r="V240" s="14">
        <v>-0.64419237288186637</v>
      </c>
      <c r="W240" s="14">
        <v>0.41792989416997162</v>
      </c>
      <c r="X240" s="14">
        <v>1.0653590401873527</v>
      </c>
      <c r="Y240" s="14">
        <v>0.71223338468024178</v>
      </c>
      <c r="Z240" s="14">
        <v>-0.80612240800893586</v>
      </c>
      <c r="AA240" s="14">
        <v>-0.27130117473369864</v>
      </c>
      <c r="AB240" s="14">
        <v>0.74636184076388778</v>
      </c>
      <c r="AC240" s="14">
        <v>-0.36740109268689725</v>
      </c>
      <c r="AD240" s="14">
        <v>1.120662473577871</v>
      </c>
      <c r="AE240" s="14">
        <v>-0.66127549643585959</v>
      </c>
      <c r="AF240" s="14">
        <v>-0.24559302654001924</v>
      </c>
      <c r="AG240" s="14">
        <v>-0.47554646641484355</v>
      </c>
      <c r="AH240" s="14">
        <v>4.5899034799150584E-3</v>
      </c>
      <c r="AI240" s="14">
        <v>0.32478697820397806</v>
      </c>
      <c r="AJ240" s="14">
        <v>1.5629917788668291</v>
      </c>
      <c r="AK240" s="14">
        <v>-0.78230030215830237</v>
      </c>
      <c r="AM240" s="14">
        <v>0.38362804525089189</v>
      </c>
      <c r="AN240" s="14">
        <v>0.78687839570820128</v>
      </c>
      <c r="AO240" s="14">
        <v>0.59376861236300138</v>
      </c>
      <c r="AP240" s="14">
        <v>0.46587812919778243</v>
      </c>
      <c r="AQ240" s="14">
        <v>0.85476273358701094</v>
      </c>
      <c r="AR240" s="14">
        <v>-0.19225721661483849</v>
      </c>
      <c r="AS240" s="14">
        <v>-0.8759380520829414</v>
      </c>
      <c r="AT240" s="14">
        <v>-0.48534303369709347</v>
      </c>
      <c r="AU240" s="14">
        <v>0.77969877359146089</v>
      </c>
      <c r="AV240" s="14">
        <v>0.74385245609965145</v>
      </c>
      <c r="AW240" s="14">
        <v>-0.63762194874290345</v>
      </c>
      <c r="AX240" s="14">
        <v>0.60452799409811542</v>
      </c>
      <c r="AY240" s="14">
        <v>-0.74221926937325489</v>
      </c>
      <c r="AZ240" s="14">
        <v>0.855060138533136</v>
      </c>
      <c r="BA240" s="14">
        <v>7.1670693775078176E-2</v>
      </c>
      <c r="BB240" s="14">
        <v>0.45582483620447051</v>
      </c>
      <c r="BC240" s="14">
        <v>-0.50701426651246984</v>
      </c>
      <c r="BD240" s="14">
        <v>-0.69369509066378698</v>
      </c>
      <c r="BE240" s="14">
        <v>-0.80800507309602276</v>
      </c>
      <c r="BF240" s="14">
        <v>8.5059239851874774E-2</v>
      </c>
      <c r="BK240" s="16">
        <v>0.48337314905748124</v>
      </c>
      <c r="BL240" s="16">
        <v>-0.48123834627592127</v>
      </c>
      <c r="BN240" s="17">
        <f t="shared" si="11"/>
        <v>0</v>
      </c>
    </row>
    <row r="241" spans="1:66" x14ac:dyDescent="0.2">
      <c r="A241">
        <v>0.92204565689908646</v>
      </c>
      <c r="B241">
        <v>4.9752768776279517</v>
      </c>
      <c r="C241">
        <v>0.85893434542035607</v>
      </c>
      <c r="D241">
        <v>0.73877480887832037</v>
      </c>
      <c r="E241">
        <v>0.460930815469768</v>
      </c>
      <c r="F241">
        <v>0.6238634573018742</v>
      </c>
      <c r="G241">
        <v>0.96512401021890004</v>
      </c>
      <c r="H241">
        <v>1.2546730987853161</v>
      </c>
      <c r="I241">
        <v>0.90185073635436985</v>
      </c>
      <c r="J241">
        <v>1.3385881835835289</v>
      </c>
      <c r="M241" s="13">
        <v>1</v>
      </c>
      <c r="O241" s="10">
        <f t="shared" si="9"/>
        <v>0</v>
      </c>
      <c r="P241" s="10">
        <f t="shared" si="10"/>
        <v>1</v>
      </c>
      <c r="R241" s="14">
        <v>-0.11633052001845678</v>
      </c>
      <c r="S241" s="14">
        <v>-0.3551620834269304</v>
      </c>
      <c r="T241" s="14">
        <v>0.17355941460899671</v>
      </c>
      <c r="U241" s="14">
        <v>-2.0464257544600462E-2</v>
      </c>
      <c r="V241" s="14">
        <v>1.3651335925308641</v>
      </c>
      <c r="W241" s="14">
        <v>-0.56516834071679134</v>
      </c>
      <c r="X241" s="14">
        <v>-1.3521514510549997</v>
      </c>
      <c r="Y241" s="14">
        <v>0.71098487278535005</v>
      </c>
      <c r="Z241" s="14">
        <v>1.5965516411730118</v>
      </c>
      <c r="AA241" s="14">
        <v>0.76170266554159571</v>
      </c>
      <c r="AB241" s="14">
        <v>-0.28136722741801745</v>
      </c>
      <c r="AC241" s="14">
        <v>0.89229321016260355</v>
      </c>
      <c r="AD241" s="14">
        <v>-0.2131158699974777</v>
      </c>
      <c r="AE241" s="14">
        <v>1.1325903275304816</v>
      </c>
      <c r="AF241" s="14">
        <v>-0.16908882932918579</v>
      </c>
      <c r="AG241" s="14">
        <v>-0.14756336089205746</v>
      </c>
      <c r="AH241" s="14">
        <v>-0.45779772699896565</v>
      </c>
      <c r="AI241" s="14">
        <v>-0.15607274114129049</v>
      </c>
      <c r="AJ241" s="14">
        <v>-2.5473579003662039E-2</v>
      </c>
      <c r="AK241" s="14">
        <v>-0.87601431320280132</v>
      </c>
      <c r="AM241" s="14">
        <v>-0.24907660305382898</v>
      </c>
      <c r="AN241" s="14">
        <v>-0.57935941705697225</v>
      </c>
      <c r="AO241" s="14">
        <v>-0.27607660978674492</v>
      </c>
      <c r="AP241" s="14">
        <v>0.14827907818102193</v>
      </c>
      <c r="AQ241" s="14">
        <v>-0.48362728231761792</v>
      </c>
      <c r="AR241" s="14">
        <v>8.9685149560803687E-2</v>
      </c>
      <c r="AS241" s="14">
        <v>0.65552376255237288</v>
      </c>
      <c r="AT241" s="14">
        <v>0.4693747599992017</v>
      </c>
      <c r="AU241" s="14">
        <v>-0.44824250716391301</v>
      </c>
      <c r="AV241" s="14">
        <v>-0.36583587494945885</v>
      </c>
      <c r="AW241" s="14">
        <v>-0.17737945456548826</v>
      </c>
      <c r="AX241" s="14">
        <v>-0.41656305463192067</v>
      </c>
      <c r="AY241" s="14">
        <v>0.49428226582200252</v>
      </c>
      <c r="AZ241" s="14">
        <v>-0.64208372502350608</v>
      </c>
      <c r="BA241" s="14">
        <v>3.6230744088750357E-2</v>
      </c>
      <c r="BB241" s="14">
        <v>6.340958232331867E-2</v>
      </c>
      <c r="BC241" s="14">
        <v>0.34872340622876841</v>
      </c>
      <c r="BD241" s="14">
        <v>0.50457432209370456</v>
      </c>
      <c r="BE241" s="14">
        <v>0.48987988089763534</v>
      </c>
      <c r="BF241" s="14">
        <v>-0.11992856644248955</v>
      </c>
      <c r="BK241" s="16">
        <v>-0.61604945333722916</v>
      </c>
      <c r="BL241" s="16">
        <v>0.44354314085249186</v>
      </c>
      <c r="BN241" s="17">
        <f t="shared" si="11"/>
        <v>1</v>
      </c>
    </row>
    <row r="242" spans="1:66" x14ac:dyDescent="0.2">
      <c r="A242">
        <v>-0.1702314611116108</v>
      </c>
      <c r="B242">
        <v>-0.83111155829017513</v>
      </c>
      <c r="C242">
        <v>-0.22093945620822819</v>
      </c>
      <c r="D242">
        <v>-0.25516511616803961</v>
      </c>
      <c r="E242">
        <v>-0.71918829894846181</v>
      </c>
      <c r="F242">
        <v>-0.54959814390382777</v>
      </c>
      <c r="G242">
        <v>-0.33332373847684788</v>
      </c>
      <c r="H242">
        <v>-0.33127832841702159</v>
      </c>
      <c r="I242">
        <v>-0.38157362996340422</v>
      </c>
      <c r="J242">
        <v>-0.3742931095231119</v>
      </c>
      <c r="M242" s="13">
        <v>0</v>
      </c>
      <c r="O242" s="10">
        <f t="shared" si="9"/>
        <v>1</v>
      </c>
      <c r="P242" s="10">
        <f t="shared" si="10"/>
        <v>0</v>
      </c>
      <c r="R242" s="14">
        <v>-0.43131547270980264</v>
      </c>
      <c r="S242" s="14">
        <v>0.51065497172734053</v>
      </c>
      <c r="T242" s="14">
        <v>-0.52352267224903992</v>
      </c>
      <c r="U242" s="14">
        <v>-0.58246456065151819</v>
      </c>
      <c r="V242" s="14">
        <v>0.3376525574221978</v>
      </c>
      <c r="W242" s="14">
        <v>1.1897214953973996</v>
      </c>
      <c r="X242" s="14">
        <v>0.63134212983656257</v>
      </c>
      <c r="Y242" s="14">
        <v>-0.50956898642581672</v>
      </c>
      <c r="Z242" s="14">
        <v>-1.0309002982183584</v>
      </c>
      <c r="AA242" s="14">
        <v>1.3404686518191675</v>
      </c>
      <c r="AB242" s="14">
        <v>0.59757765967985654</v>
      </c>
      <c r="AC242" s="14">
        <v>-0.32609227434239718</v>
      </c>
      <c r="AD242" s="14">
        <v>0.15381108319759654</v>
      </c>
      <c r="AE242" s="14">
        <v>-0.21085135950481987</v>
      </c>
      <c r="AF242" s="14">
        <v>-2.2977024671821278E-2</v>
      </c>
      <c r="AG242" s="14">
        <v>1.0005337240678056</v>
      </c>
      <c r="AH242" s="14">
        <v>-0.99062247700791495</v>
      </c>
      <c r="AI242" s="14">
        <v>-1.0461399109963243</v>
      </c>
      <c r="AJ242" s="14">
        <v>3.0540599469003782E-2</v>
      </c>
      <c r="AK242" s="14">
        <v>4.8783732354888198E-2</v>
      </c>
      <c r="AM242" s="14">
        <v>0.55191597536266912</v>
      </c>
      <c r="AN242" s="14">
        <v>0.71950160770018212</v>
      </c>
      <c r="AO242" s="14">
        <v>0.62073411852000493</v>
      </c>
      <c r="AP242" s="14">
        <v>-0.69310252807318073</v>
      </c>
      <c r="AQ242" s="14">
        <v>0.88794321988589275</v>
      </c>
      <c r="AR242" s="14">
        <v>-0.71631655853226961</v>
      </c>
      <c r="AS242" s="14">
        <v>-0.88759521437668532</v>
      </c>
      <c r="AT242" s="14">
        <v>-0.17358143825791084</v>
      </c>
      <c r="AU242" s="14">
        <v>0.97661911036674787</v>
      </c>
      <c r="AV242" s="14">
        <v>0.3937398648132272</v>
      </c>
      <c r="AW242" s="14">
        <v>-0.81447906757807542</v>
      </c>
      <c r="AX242" s="14">
        <v>0.78752031979420278</v>
      </c>
      <c r="AY242" s="14">
        <v>-0.74479031006221696</v>
      </c>
      <c r="AZ242" s="14">
        <v>0.82804810627899006</v>
      </c>
      <c r="BA242" s="14">
        <v>-0.17065389813480883</v>
      </c>
      <c r="BB242" s="14">
        <v>0.36350116207284044</v>
      </c>
      <c r="BC242" s="14">
        <v>-0.56590537694968968</v>
      </c>
      <c r="BD242" s="14">
        <v>-0.67859970733470887</v>
      </c>
      <c r="BE242" s="14">
        <v>-0.790698632193513</v>
      </c>
      <c r="BF242" s="14">
        <v>0.36019431924913492</v>
      </c>
      <c r="BK242" s="16">
        <v>0.64441484617046962</v>
      </c>
      <c r="BL242" s="16">
        <v>6.8263700368815405E-2</v>
      </c>
      <c r="BN242" s="17">
        <f t="shared" si="11"/>
        <v>0</v>
      </c>
    </row>
    <row r="243" spans="1:66" x14ac:dyDescent="0.2">
      <c r="A243">
        <v>-0.51907389147104832</v>
      </c>
      <c r="B243">
        <v>-0.96842479832877959</v>
      </c>
      <c r="C243">
        <v>-0.58490921947812358</v>
      </c>
      <c r="D243">
        <v>-0.53955916364727585</v>
      </c>
      <c r="E243">
        <v>-1.320770279007015</v>
      </c>
      <c r="F243">
        <v>-1.0023695932015799</v>
      </c>
      <c r="G243">
        <v>-1.0037624087187671</v>
      </c>
      <c r="H243">
        <v>-0.67289971939402637</v>
      </c>
      <c r="I243">
        <v>-0.62954411200106408</v>
      </c>
      <c r="J243">
        <v>-1.1485190480929091</v>
      </c>
      <c r="M243" s="13">
        <v>0</v>
      </c>
      <c r="O243" s="10">
        <f t="shared" si="9"/>
        <v>1</v>
      </c>
      <c r="P243" s="10">
        <f t="shared" si="10"/>
        <v>0</v>
      </c>
      <c r="R243" s="14">
        <v>1.0000619903373886</v>
      </c>
      <c r="S243" s="14">
        <v>-1.0487688500892798</v>
      </c>
      <c r="T243" s="14">
        <v>0.38669077312007732</v>
      </c>
      <c r="U243" s="14">
        <v>-0.71083578147015603</v>
      </c>
      <c r="V243" s="14">
        <v>4.9461585122869911E-2</v>
      </c>
      <c r="W243" s="14">
        <v>-0.48317453656683812</v>
      </c>
      <c r="X243" s="14">
        <v>0.80272408168046527</v>
      </c>
      <c r="Y243" s="14">
        <v>1.283080893675336</v>
      </c>
      <c r="Z243" s="14">
        <v>0.56536051031441559</v>
      </c>
      <c r="AA243" s="14">
        <v>4.7625564729365411E-2</v>
      </c>
      <c r="AB243" s="14">
        <v>-0.8867344199513667</v>
      </c>
      <c r="AC243" s="14">
        <v>1.412397410591129</v>
      </c>
      <c r="AD243" s="14">
        <v>1.0474151942414296</v>
      </c>
      <c r="AE243" s="14">
        <v>0.57664517720319797</v>
      </c>
      <c r="AF243" s="14">
        <v>1.2332212842724151</v>
      </c>
      <c r="AG243" s="14">
        <v>-0.42349351528927226</v>
      </c>
      <c r="AH243" s="14">
        <v>-0.1851015825470449</v>
      </c>
      <c r="AI243" s="14">
        <v>0.2607453979197375</v>
      </c>
      <c r="AJ243" s="14">
        <v>1.479352844119489</v>
      </c>
      <c r="AK243" s="14">
        <v>-1.5247394689256397</v>
      </c>
      <c r="AM243" s="14">
        <v>-0.59249150689010333</v>
      </c>
      <c r="AN243" s="14">
        <v>0.35886465347310115</v>
      </c>
      <c r="AO243" s="14">
        <v>0.35077616792514521</v>
      </c>
      <c r="AP243" s="14">
        <v>1.1712725187578361E-2</v>
      </c>
      <c r="AQ243" s="14">
        <v>0.70540131297824959</v>
      </c>
      <c r="AR243" s="14">
        <v>0.62764877665313856</v>
      </c>
      <c r="AS243" s="14">
        <v>-0.46668382492263094</v>
      </c>
      <c r="AT243" s="14">
        <v>-0.25604405153270626</v>
      </c>
      <c r="AU243" s="14">
        <v>0.19582939406297201</v>
      </c>
      <c r="AV243" s="14">
        <v>0.33859079464201153</v>
      </c>
      <c r="AW243" s="14">
        <v>-0.71658545272033658</v>
      </c>
      <c r="AX243" s="14">
        <v>4.1313387984334995E-2</v>
      </c>
      <c r="AY243" s="14">
        <v>-0.45190977820672612</v>
      </c>
      <c r="AZ243" s="14">
        <v>0.24721003184829973</v>
      </c>
      <c r="BA243" s="14">
        <v>-0.58191420787054304</v>
      </c>
      <c r="BB243" s="14">
        <v>0.49638112281743785</v>
      </c>
      <c r="BC243" s="14">
        <v>-0.40693484010790643</v>
      </c>
      <c r="BD243" s="14">
        <v>-0.27609727776829229</v>
      </c>
      <c r="BE243" s="14">
        <v>-0.48628936867308004</v>
      </c>
      <c r="BF243" s="14">
        <v>0.64311547915898015</v>
      </c>
      <c r="BK243" s="16">
        <v>0.16665449897032969</v>
      </c>
      <c r="BL243" s="16">
        <v>-8.7628714080822803E-2</v>
      </c>
      <c r="BN243" s="17">
        <f t="shared" si="11"/>
        <v>0</v>
      </c>
    </row>
    <row r="244" spans="1:66" x14ac:dyDescent="0.2">
      <c r="A244">
        <v>-0.83932267999774468</v>
      </c>
      <c r="B244">
        <v>-0.19603782311162959</v>
      </c>
      <c r="C244">
        <v>-0.77913709771108908</v>
      </c>
      <c r="D244">
        <v>-0.79027496866186597</v>
      </c>
      <c r="E244">
        <v>0.51110910852377167</v>
      </c>
      <c r="F244">
        <v>0.78627599798644576</v>
      </c>
      <c r="G244">
        <v>-0.55748489509223609</v>
      </c>
      <c r="H244">
        <v>-0.80126654509447637</v>
      </c>
      <c r="I244">
        <v>-0.75441496188431423</v>
      </c>
      <c r="J244">
        <v>6.8677940049317349E-2</v>
      </c>
      <c r="M244" s="13">
        <v>0</v>
      </c>
      <c r="O244" s="10">
        <f t="shared" si="9"/>
        <v>1</v>
      </c>
      <c r="P244" s="10">
        <f t="shared" si="10"/>
        <v>0</v>
      </c>
      <c r="R244" s="14">
        <v>0.3579763759441732</v>
      </c>
      <c r="S244" s="14">
        <v>1.0321403528935316</v>
      </c>
      <c r="T244" s="14">
        <v>0.43877279527501833</v>
      </c>
      <c r="U244" s="14">
        <v>-6.5266404483890206E-3</v>
      </c>
      <c r="V244" s="14">
        <v>1.5017311401432942</v>
      </c>
      <c r="W244" s="14">
        <v>-1.5716920297535769E-2</v>
      </c>
      <c r="X244" s="14">
        <v>-1.4659053925363112</v>
      </c>
      <c r="Y244" s="14">
        <v>-0.56877459283640608</v>
      </c>
      <c r="Z244" s="14">
        <v>1.4664141470141669</v>
      </c>
      <c r="AA244" s="14">
        <v>1.2135658355188781</v>
      </c>
      <c r="AB244" s="14">
        <v>-0.28705929936547792</v>
      </c>
      <c r="AC244" s="14">
        <v>1.0580731103911298</v>
      </c>
      <c r="AD244" s="14">
        <v>-0.81054357492166751</v>
      </c>
      <c r="AE244" s="14">
        <v>1.6893026185442315</v>
      </c>
      <c r="AF244" s="14">
        <v>0.11812961985419757</v>
      </c>
      <c r="AG244" s="14">
        <v>0.24804154784155319</v>
      </c>
      <c r="AH244" s="14">
        <v>-1.1491150228461038</v>
      </c>
      <c r="AI244" s="14">
        <v>-1.5899367931592177</v>
      </c>
      <c r="AJ244" s="14">
        <v>-0.55579329335157235</v>
      </c>
      <c r="AK244" s="14">
        <v>-0.51267459213820377</v>
      </c>
      <c r="AM244" s="14">
        <v>-0.32520086418575289</v>
      </c>
      <c r="AN244" s="14">
        <v>0.57701720503817555</v>
      </c>
      <c r="AO244" s="14">
        <v>0.27304309805596694</v>
      </c>
      <c r="AP244" s="14">
        <v>0.51558354052185595</v>
      </c>
      <c r="AQ244" s="14">
        <v>0.27957790191059234</v>
      </c>
      <c r="AR244" s="14">
        <v>0.49784693043003575</v>
      </c>
      <c r="AS244" s="14">
        <v>-0.68568738261306028</v>
      </c>
      <c r="AT244" s="14">
        <v>-0.75126459043706006</v>
      </c>
      <c r="AU244" s="14">
        <v>-0.28867103339775085</v>
      </c>
      <c r="AV244" s="14">
        <v>0.44279465517984634</v>
      </c>
      <c r="AW244" s="14">
        <v>0.23853819554263597</v>
      </c>
      <c r="AX244" s="14">
        <v>-0.23922751386085317</v>
      </c>
      <c r="AY244" s="14">
        <v>-0.62715121394544626</v>
      </c>
      <c r="AZ244" s="14">
        <v>0.48454641681456712</v>
      </c>
      <c r="BA244" s="14">
        <v>-0.29347469699501666</v>
      </c>
      <c r="BB244" s="14">
        <v>0.15927828171564776</v>
      </c>
      <c r="BC244" s="14">
        <v>-0.31448009194177989</v>
      </c>
      <c r="BD244" s="14">
        <v>-0.57468989907938473</v>
      </c>
      <c r="BE244" s="14">
        <v>-0.67499560567285399</v>
      </c>
      <c r="BF244" s="14">
        <v>0.40578636621623232</v>
      </c>
      <c r="BK244" s="16">
        <v>0.56482942397875713</v>
      </c>
      <c r="BL244" s="16">
        <v>-0.41289607824855723</v>
      </c>
      <c r="BN244" s="17">
        <f t="shared" si="11"/>
        <v>0</v>
      </c>
    </row>
    <row r="245" spans="1:66" x14ac:dyDescent="0.2">
      <c r="A245">
        <v>-0.13877845509559619</v>
      </c>
      <c r="B245">
        <v>1.1721905329873199</v>
      </c>
      <c r="C245">
        <v>-0.17279750348381739</v>
      </c>
      <c r="D245">
        <v>-0.21285142691758621</v>
      </c>
      <c r="E245">
        <v>-0.68629364016861494</v>
      </c>
      <c r="F245">
        <v>-0.55058997621335193</v>
      </c>
      <c r="G245">
        <v>-0.68784086986287218</v>
      </c>
      <c r="H245">
        <v>-0.29815140565561499</v>
      </c>
      <c r="I245">
        <v>-0.3415441092916105</v>
      </c>
      <c r="J245">
        <v>-0.84092522259535285</v>
      </c>
      <c r="M245" s="13">
        <v>0</v>
      </c>
      <c r="O245" s="10">
        <f t="shared" si="9"/>
        <v>1</v>
      </c>
      <c r="P245" s="10">
        <f t="shared" si="10"/>
        <v>0</v>
      </c>
      <c r="R245" s="14">
        <v>-0.50562297436138881</v>
      </c>
      <c r="S245" s="14">
        <v>-1.1131439332384758</v>
      </c>
      <c r="T245" s="14">
        <v>-0.62928269420884198</v>
      </c>
      <c r="U245" s="14">
        <v>-0.37079540446006981</v>
      </c>
      <c r="V245" s="14">
        <v>-0.52429089098500536</v>
      </c>
      <c r="W245" s="14">
        <v>0.28252422119913323</v>
      </c>
      <c r="X245" s="14">
        <v>1.0634080672332735</v>
      </c>
      <c r="Y245" s="14">
        <v>0.99026921634704101</v>
      </c>
      <c r="Z245" s="14">
        <v>-0.5919139283545154</v>
      </c>
      <c r="AA245" s="14">
        <v>-0.18815856425949495</v>
      </c>
      <c r="AB245" s="14">
        <v>1.0892237590216791E-2</v>
      </c>
      <c r="AC245" s="14">
        <v>-0.33134107337622143</v>
      </c>
      <c r="AD245" s="14">
        <v>1.0781270168276609</v>
      </c>
      <c r="AE245" s="14">
        <v>-0.65884624627767185</v>
      </c>
      <c r="AF245" s="14">
        <v>3.1268798822506216E-2</v>
      </c>
      <c r="AG245" s="14">
        <v>-4.8676533439628522E-2</v>
      </c>
      <c r="AH245" s="14">
        <v>-8.8289865074896223E-2</v>
      </c>
      <c r="AI245" s="14">
        <v>0.29902662718734863</v>
      </c>
      <c r="AJ245" s="14">
        <v>1.4984701386495585</v>
      </c>
      <c r="AK245" s="14">
        <v>-0.79637918692627019</v>
      </c>
      <c r="AM245" s="14">
        <v>0.53455569239577228</v>
      </c>
      <c r="AN245" s="14">
        <v>0.36262798717857453</v>
      </c>
      <c r="AO245" s="14">
        <v>1.4281702792937469E-2</v>
      </c>
      <c r="AP245" s="14">
        <v>6.0966237284494906E-2</v>
      </c>
      <c r="AQ245" s="14">
        <v>-5.2200543570219519E-2</v>
      </c>
      <c r="AR245" s="14">
        <v>-0.14035979287719447</v>
      </c>
      <c r="AS245" s="14">
        <v>-0.17036990006153632</v>
      </c>
      <c r="AT245" s="14">
        <v>-0.540072150870745</v>
      </c>
      <c r="AU245" s="14">
        <v>-0.36082912891517932</v>
      </c>
      <c r="AV245" s="14">
        <v>0.38628657562011953</v>
      </c>
      <c r="AW245" s="14">
        <v>0.48086616630402251</v>
      </c>
      <c r="AX245" s="14">
        <v>8.4942073495192297E-3</v>
      </c>
      <c r="AY245" s="14">
        <v>-7.9671501788668053E-2</v>
      </c>
      <c r="AZ245" s="14">
        <v>0.40636266878612842</v>
      </c>
      <c r="BA245" s="14">
        <v>0.24805794376035986</v>
      </c>
      <c r="BB245" s="14">
        <v>2.724567014898301E-2</v>
      </c>
      <c r="BC245" s="14">
        <v>-0.18909298299347885</v>
      </c>
      <c r="BD245" s="14">
        <v>-0.28557758600272082</v>
      </c>
      <c r="BE245" s="14">
        <v>-0.19902657059886328</v>
      </c>
      <c r="BF245" s="14">
        <v>-0.23568528724877399</v>
      </c>
      <c r="BK245" s="16">
        <v>0.68134995959615086</v>
      </c>
      <c r="BL245" s="16">
        <v>1.9501379835117877E-2</v>
      </c>
      <c r="BN245" s="17">
        <f t="shared" si="11"/>
        <v>0</v>
      </c>
    </row>
    <row r="246" spans="1:66" x14ac:dyDescent="0.2">
      <c r="A246">
        <v>1.4767623084542569</v>
      </c>
      <c r="B246">
        <v>1.1059859351115651</v>
      </c>
      <c r="C246">
        <v>1.51051077453522</v>
      </c>
      <c r="D246">
        <v>1.413491051076023</v>
      </c>
      <c r="E246">
        <v>0.9441291930268384</v>
      </c>
      <c r="F246">
        <v>1.407410981825914</v>
      </c>
      <c r="G246">
        <v>0.98429400650869947</v>
      </c>
      <c r="H246">
        <v>1.0766158889427551</v>
      </c>
      <c r="I246">
        <v>0.91779169591393372</v>
      </c>
      <c r="J246">
        <v>0.58682527998190859</v>
      </c>
      <c r="M246" s="13">
        <v>1</v>
      </c>
      <c r="O246" s="10">
        <f t="shared" si="9"/>
        <v>0</v>
      </c>
      <c r="P246" s="10">
        <f t="shared" si="10"/>
        <v>1</v>
      </c>
      <c r="R246" s="14">
        <v>0.51836199476491274</v>
      </c>
      <c r="S246" s="14">
        <v>1.0359329202172627</v>
      </c>
      <c r="T246" s="14">
        <v>0.45002235934007517</v>
      </c>
      <c r="U246" s="14">
        <v>-1.4579423083953487</v>
      </c>
      <c r="V246" s="14">
        <v>1.5052127663666313</v>
      </c>
      <c r="W246" s="14">
        <v>-0.80584857701988377</v>
      </c>
      <c r="X246" s="14">
        <v>-1.4659127711477722</v>
      </c>
      <c r="Y246" s="14">
        <v>-0.24889003389585282</v>
      </c>
      <c r="Z246" s="14">
        <v>1.7458561444419587</v>
      </c>
      <c r="AA246" s="14">
        <v>1.216214370640452</v>
      </c>
      <c r="AB246" s="14">
        <v>-0.28839064710450146</v>
      </c>
      <c r="AC246" s="14">
        <v>1.0652146863146983</v>
      </c>
      <c r="AD246" s="14">
        <v>-0.8157532736385561</v>
      </c>
      <c r="AE246" s="14">
        <v>1.6894094608351475</v>
      </c>
      <c r="AF246" s="14">
        <v>-0.39662108639061583</v>
      </c>
      <c r="AG246" s="14">
        <v>0.24987596497386322</v>
      </c>
      <c r="AH246" s="14">
        <v>-1.3925318561306934</v>
      </c>
      <c r="AI246" s="14">
        <v>-1.6032238133341243</v>
      </c>
      <c r="AJ246" s="14">
        <v>-0.55689419778768312</v>
      </c>
      <c r="AK246" s="14">
        <v>-0.18804271745608975</v>
      </c>
      <c r="AM246" s="14">
        <v>-2.9721167272155342E-3</v>
      </c>
      <c r="AN246" s="14">
        <v>-0.23085825241687974</v>
      </c>
      <c r="AO246" s="14">
        <v>-0.23707709800748913</v>
      </c>
      <c r="AP246" s="14">
        <v>2.7408332035425382E-2</v>
      </c>
      <c r="AQ246" s="14">
        <v>-0.48395548493976237</v>
      </c>
      <c r="AR246" s="14">
        <v>0.18113890605046626</v>
      </c>
      <c r="AS246" s="14">
        <v>0.46849749907060478</v>
      </c>
      <c r="AT246" s="14">
        <v>-0.14193506760308575</v>
      </c>
      <c r="AU246" s="14">
        <v>-0.66256803584609802</v>
      </c>
      <c r="AV246" s="14">
        <v>-0.106077967121651</v>
      </c>
      <c r="AW246" s="14">
        <v>0.34686059283243209</v>
      </c>
      <c r="AX246" s="14">
        <v>-0.43009701139548384</v>
      </c>
      <c r="AY246" s="14">
        <v>0.30758153414711192</v>
      </c>
      <c r="AZ246" s="14">
        <v>-0.35761810718725889</v>
      </c>
      <c r="BA246" s="14">
        <v>2.2676467479834327E-2</v>
      </c>
      <c r="BB246" s="14">
        <v>4.0782412146832758E-2</v>
      </c>
      <c r="BC246" s="14">
        <v>0.12599413935063891</v>
      </c>
      <c r="BD246" s="14">
        <v>0.17802241258021606</v>
      </c>
      <c r="BE246" s="14">
        <v>0.26690672163829599</v>
      </c>
      <c r="BF246" s="14">
        <v>-4.2315118165508009E-2</v>
      </c>
      <c r="BK246" s="16">
        <v>0.49224530078200585</v>
      </c>
      <c r="BL246" s="16">
        <v>0.19191154103075653</v>
      </c>
      <c r="BN246" s="17">
        <f t="shared" si="11"/>
        <v>0</v>
      </c>
    </row>
    <row r="247" spans="1:66" x14ac:dyDescent="0.2">
      <c r="A247">
        <v>-1.0737905430262189</v>
      </c>
      <c r="B247">
        <v>0.21344987486063641</v>
      </c>
      <c r="C247">
        <v>-1.07836423490333</v>
      </c>
      <c r="D247">
        <v>-0.93909250160393598</v>
      </c>
      <c r="E247">
        <v>-0.84166050310619622</v>
      </c>
      <c r="F247">
        <v>-0.53397678502882329</v>
      </c>
      <c r="G247">
        <v>-0.50227530577761359</v>
      </c>
      <c r="H247">
        <v>-1.0290141390791461</v>
      </c>
      <c r="I247">
        <v>-0.87857732467602823</v>
      </c>
      <c r="J247">
        <v>-0.74658047572901409</v>
      </c>
      <c r="M247" s="13">
        <v>0</v>
      </c>
      <c r="O247" s="10">
        <f t="shared" si="9"/>
        <v>1</v>
      </c>
      <c r="P247" s="10">
        <f t="shared" si="10"/>
        <v>0</v>
      </c>
      <c r="R247" s="14">
        <v>-1.2784348551342262</v>
      </c>
      <c r="S247" s="14">
        <v>0.97932364148809503</v>
      </c>
      <c r="T247" s="14">
        <v>0.21187706569733677</v>
      </c>
      <c r="U247" s="14">
        <v>-0.79325412517319727</v>
      </c>
      <c r="V247" s="14">
        <v>1.4742927873453451</v>
      </c>
      <c r="W247" s="14">
        <v>0.61710139546371479</v>
      </c>
      <c r="X247" s="14">
        <v>-1.4607958562476389</v>
      </c>
      <c r="Y247" s="14">
        <v>-0.59978982424958249</v>
      </c>
      <c r="Z247" s="14">
        <v>0.69586858339484636</v>
      </c>
      <c r="AA247" s="14">
        <v>1.0758830040265552</v>
      </c>
      <c r="AB247" s="14">
        <v>-0.24449471186988936</v>
      </c>
      <c r="AC247" s="14">
        <v>0.25160621990466092</v>
      </c>
      <c r="AD247" s="14">
        <v>-0.72689148529132153</v>
      </c>
      <c r="AE247" s="14">
        <v>1.4616855702782896</v>
      </c>
      <c r="AF247" s="14">
        <v>-1.6322253703822629</v>
      </c>
      <c r="AG247" s="14">
        <v>4.6192401878377143E-2</v>
      </c>
      <c r="AH247" s="14">
        <v>-1.0847975702658581</v>
      </c>
      <c r="AI247" s="14">
        <v>-1.3863439402195183</v>
      </c>
      <c r="AJ247" s="14">
        <v>-0.51361547627274984</v>
      </c>
      <c r="AK247" s="14">
        <v>0.23382889517097261</v>
      </c>
      <c r="AM247" s="14">
        <v>-0.56064163239534914</v>
      </c>
      <c r="AN247" s="14">
        <v>-0.7231116128381655</v>
      </c>
      <c r="AO247" s="14">
        <v>-0.43726411527754505</v>
      </c>
      <c r="AP247" s="14">
        <v>-0.45489224320899874</v>
      </c>
      <c r="AQ247" s="14">
        <v>-0.73598298725369371</v>
      </c>
      <c r="AR247" s="14">
        <v>0.24600660335542548</v>
      </c>
      <c r="AS247" s="14">
        <v>0.81307353413929673</v>
      </c>
      <c r="AT247" s="14">
        <v>0.61417890156367383</v>
      </c>
      <c r="AU247" s="14">
        <v>-0.58088134587187035</v>
      </c>
      <c r="AV247" s="14">
        <v>-0.72369038844521238</v>
      </c>
      <c r="AW247" s="14">
        <v>0.10930645176154369</v>
      </c>
      <c r="AX247" s="14">
        <v>-0.53664606826522487</v>
      </c>
      <c r="AY247" s="14">
        <v>0.61737921569136989</v>
      </c>
      <c r="AZ247" s="14">
        <v>-0.82228816078683353</v>
      </c>
      <c r="BA247" s="14">
        <v>-0.22357836258837108</v>
      </c>
      <c r="BB247" s="14">
        <v>-0.29672472504862829</v>
      </c>
      <c r="BC247" s="14">
        <v>0.42178835863916886</v>
      </c>
      <c r="BD247" s="14">
        <v>0.60832329258076678</v>
      </c>
      <c r="BE247" s="14">
        <v>0.73091573373864915</v>
      </c>
      <c r="BF247" s="14">
        <v>0.10101256223139471</v>
      </c>
      <c r="BK247" s="16">
        <v>-4.237385738207286E-2</v>
      </c>
      <c r="BL247" s="16">
        <v>0.71541864399805355</v>
      </c>
      <c r="BN247" s="17">
        <f t="shared" si="11"/>
        <v>1</v>
      </c>
    </row>
    <row r="248" spans="1:66" x14ac:dyDescent="0.2">
      <c r="A248">
        <v>-0.29604348517567058</v>
      </c>
      <c r="B248">
        <v>-0.38239150602116451</v>
      </c>
      <c r="C248">
        <v>-0.35581992720334338</v>
      </c>
      <c r="D248">
        <v>-0.35216996839526882</v>
      </c>
      <c r="E248">
        <v>-1.110578984769689</v>
      </c>
      <c r="F248">
        <v>-0.59534640918062698</v>
      </c>
      <c r="G248">
        <v>-1.004529208570359</v>
      </c>
      <c r="H248">
        <v>-0.5196877016225212</v>
      </c>
      <c r="I248">
        <v>-0.52575075309101493</v>
      </c>
      <c r="J248">
        <v>-1.0110452740876721</v>
      </c>
      <c r="M248" s="13">
        <v>0</v>
      </c>
      <c r="O248" s="10">
        <f t="shared" si="9"/>
        <v>1</v>
      </c>
      <c r="P248" s="10">
        <f t="shared" si="10"/>
        <v>0</v>
      </c>
      <c r="R248" s="14">
        <v>-0.67832280578498816</v>
      </c>
      <c r="S248" s="14">
        <v>0.87078455922421094</v>
      </c>
      <c r="T248" s="14">
        <v>8.7883679209183829E-2</v>
      </c>
      <c r="U248" s="14">
        <v>0.10207626019157257</v>
      </c>
      <c r="V248" s="14">
        <v>0.44066334246266403</v>
      </c>
      <c r="W248" s="14">
        <v>0.63109356633332414</v>
      </c>
      <c r="X248" s="14">
        <v>-1.2676140695913716</v>
      </c>
      <c r="Y248" s="14">
        <v>-1.0378161641153367</v>
      </c>
      <c r="Z248" s="14">
        <v>-0.12401037169330065</v>
      </c>
      <c r="AA248" s="14">
        <v>1.0919973543613271</v>
      </c>
      <c r="AB248" s="14">
        <v>0.71924719581135166</v>
      </c>
      <c r="AC248" s="14">
        <v>-0.53811518040591111</v>
      </c>
      <c r="AD248" s="14">
        <v>-0.68978300543087967</v>
      </c>
      <c r="AE248" s="14">
        <v>0.66446908648202985</v>
      </c>
      <c r="AF248" s="14">
        <v>-0.72332404343280055</v>
      </c>
      <c r="AG248" s="14">
        <v>-1.2631709209750652E-2</v>
      </c>
      <c r="AH248" s="14">
        <v>-0.87876900241487377</v>
      </c>
      <c r="AI248" s="14">
        <v>-1.4931957237577698</v>
      </c>
      <c r="AJ248" s="14">
        <v>-0.47447347701140569</v>
      </c>
      <c r="AK248" s="14">
        <v>-7.0003591169172763E-2</v>
      </c>
      <c r="AM248" s="14">
        <v>0.16695277121441307</v>
      </c>
      <c r="AN248" s="14">
        <v>0.7314805874628818</v>
      </c>
      <c r="AO248" s="14">
        <v>0.53984688500164268</v>
      </c>
      <c r="AP248" s="14">
        <v>0.5604856871975562</v>
      </c>
      <c r="AQ248" s="14">
        <v>0.84480259981014671</v>
      </c>
      <c r="AR248" s="14">
        <v>-0.59822193007698221</v>
      </c>
      <c r="AS248" s="14">
        <v>-0.89711377828821159</v>
      </c>
      <c r="AT248" s="14">
        <v>-0.14602923814185573</v>
      </c>
      <c r="AU248" s="14">
        <v>0.89935432373144886</v>
      </c>
      <c r="AV248" s="14">
        <v>0.63222579818819324</v>
      </c>
      <c r="AW248" s="14">
        <v>-0.48954129184712036</v>
      </c>
      <c r="AX248" s="14">
        <v>0.63300257722825404</v>
      </c>
      <c r="AY248" s="14">
        <v>-0.74599945024662961</v>
      </c>
      <c r="AZ248" s="14">
        <v>0.85070584508079861</v>
      </c>
      <c r="BA248" s="14">
        <v>0.39867332707529352</v>
      </c>
      <c r="BB248" s="14">
        <v>0.37027366376082888</v>
      </c>
      <c r="BC248" s="14">
        <v>-0.32461797969328904</v>
      </c>
      <c r="BD248" s="14">
        <v>-0.69805529539181643</v>
      </c>
      <c r="BE248" s="14">
        <v>-0.82752991437791001</v>
      </c>
      <c r="BF248" s="14">
        <v>9.2988138489775468E-2</v>
      </c>
      <c r="BK248" s="16">
        <v>-0.36101248690299198</v>
      </c>
      <c r="BL248" s="16">
        <v>0.66008295284398655</v>
      </c>
      <c r="BN248" s="17">
        <f t="shared" si="11"/>
        <v>1</v>
      </c>
    </row>
    <row r="249" spans="1:66" x14ac:dyDescent="0.2">
      <c r="A249">
        <v>-0.38468377485716659</v>
      </c>
      <c r="B249">
        <v>-1.1964628576786041</v>
      </c>
      <c r="C249">
        <v>-0.32178854682919089</v>
      </c>
      <c r="D249">
        <v>-0.43679734689617511</v>
      </c>
      <c r="E249">
        <v>0.55013666978799636</v>
      </c>
      <c r="F249">
        <v>0.57055247066495374</v>
      </c>
      <c r="G249">
        <v>-0.26967935079471378</v>
      </c>
      <c r="H249">
        <v>-0.42651823135606509</v>
      </c>
      <c r="I249">
        <v>-0.46003857535103498</v>
      </c>
      <c r="J249">
        <v>0.58233267298827307</v>
      </c>
      <c r="M249" s="13">
        <v>0</v>
      </c>
      <c r="O249" s="10">
        <f t="shared" si="9"/>
        <v>1</v>
      </c>
      <c r="P249" s="10">
        <f t="shared" si="10"/>
        <v>0</v>
      </c>
      <c r="R249" s="14">
        <v>0.31771830268523937</v>
      </c>
      <c r="S249" s="14">
        <v>0.81547728044603296</v>
      </c>
      <c r="T249" s="14">
        <v>-0.65145958484035182</v>
      </c>
      <c r="U249" s="14">
        <v>-0.38348010764704277</v>
      </c>
      <c r="V249" s="14">
        <v>8.0081181270118207E-2</v>
      </c>
      <c r="W249" s="14">
        <v>-0.45881524255841577</v>
      </c>
      <c r="X249" s="14">
        <v>-0.40597515213041768</v>
      </c>
      <c r="Y249" s="14">
        <v>-0.99326626867467405</v>
      </c>
      <c r="Z249" s="14">
        <v>3.8206291947206927E-2</v>
      </c>
      <c r="AA249" s="14">
        <v>0.99011858139517817</v>
      </c>
      <c r="AB249" s="14">
        <v>1.6286656921070986</v>
      </c>
      <c r="AC249" s="14">
        <v>-0.20874992625939498</v>
      </c>
      <c r="AD249" s="14">
        <v>0.34683617139092704</v>
      </c>
      <c r="AE249" s="14">
        <v>1.5495190330241022</v>
      </c>
      <c r="AF249" s="14">
        <v>-0.30318015560193112</v>
      </c>
      <c r="AG249" s="14">
        <v>-0.62821098220521565</v>
      </c>
      <c r="AH249" s="14">
        <v>-0.64583991347188796</v>
      </c>
      <c r="AI249" s="14">
        <v>-1.2655801136684413</v>
      </c>
      <c r="AJ249" s="14">
        <v>5.0160677554816291E-2</v>
      </c>
      <c r="AK249" s="14">
        <v>-0.91765568939689723</v>
      </c>
      <c r="AM249" s="14">
        <v>-0.90915589476706282</v>
      </c>
      <c r="AN249" s="14">
        <v>0.65817000058745911</v>
      </c>
      <c r="AO249" s="14">
        <v>0.59036991876694123</v>
      </c>
      <c r="AP249" s="14">
        <v>0.89626388131184953</v>
      </c>
      <c r="AQ249" s="14">
        <v>0.90758025275185661</v>
      </c>
      <c r="AR249" s="14">
        <v>0.3038539755005909</v>
      </c>
      <c r="AS249" s="14">
        <v>-0.88127932579548396</v>
      </c>
      <c r="AT249" s="14">
        <v>9.1828411281897296E-2</v>
      </c>
      <c r="AU249" s="14">
        <v>0.76622258501791496</v>
      </c>
      <c r="AV249" s="14">
        <v>0.59711935091334656</v>
      </c>
      <c r="AW249" s="14">
        <v>-0.84922570276806764</v>
      </c>
      <c r="AX249" s="14">
        <v>5.4353951412754863E-2</v>
      </c>
      <c r="AY249" s="14">
        <v>-0.83728018480952371</v>
      </c>
      <c r="AZ249" s="14">
        <v>0.63048230309081299</v>
      </c>
      <c r="BA249" s="14">
        <v>-8.9603282507667692E-2</v>
      </c>
      <c r="BB249" s="14">
        <v>0.83844915464037284</v>
      </c>
      <c r="BC249" s="14">
        <v>-0.17186033413590729</v>
      </c>
      <c r="BD249" s="14">
        <v>-0.72081085626114638</v>
      </c>
      <c r="BE249" s="14">
        <v>-0.90813611575199427</v>
      </c>
      <c r="BF249" s="14">
        <v>0.82878505778820444</v>
      </c>
      <c r="BK249" s="16">
        <v>0.72781198562620764</v>
      </c>
      <c r="BL249" s="16">
        <v>-0.50849311465740965</v>
      </c>
      <c r="BN249" s="17">
        <f t="shared" si="11"/>
        <v>0</v>
      </c>
    </row>
    <row r="250" spans="1:66" x14ac:dyDescent="0.2">
      <c r="A250">
        <v>-1.0251813519105599</v>
      </c>
      <c r="B250">
        <v>1.527733743801563</v>
      </c>
      <c r="C250">
        <v>-1.0248270633391141</v>
      </c>
      <c r="D250">
        <v>-0.9123226165679349</v>
      </c>
      <c r="E250">
        <v>-0.60693759893135768</v>
      </c>
      <c r="F250">
        <v>-0.83797338789796039</v>
      </c>
      <c r="G250">
        <v>-0.87417323379972278</v>
      </c>
      <c r="H250">
        <v>-0.86959082328987736</v>
      </c>
      <c r="I250">
        <v>-0.78487990682036957</v>
      </c>
      <c r="J250">
        <v>-0.83643261560171778</v>
      </c>
      <c r="M250" s="13">
        <v>0</v>
      </c>
      <c r="O250" s="10">
        <f t="shared" si="9"/>
        <v>1</v>
      </c>
      <c r="P250" s="10">
        <f t="shared" si="10"/>
        <v>0</v>
      </c>
      <c r="R250" s="14">
        <v>-6.8049756830911912E-2</v>
      </c>
      <c r="S250" s="14">
        <v>-0.68262880597137887</v>
      </c>
      <c r="T250" s="14">
        <v>-0.55418721319075481</v>
      </c>
      <c r="U250" s="14">
        <v>-0.55674103218984572</v>
      </c>
      <c r="V250" s="14">
        <v>-0.52142444829888479</v>
      </c>
      <c r="W250" s="14">
        <v>0.52428697983169403</v>
      </c>
      <c r="X250" s="14">
        <v>1.0453830803398017</v>
      </c>
      <c r="Y250" s="14">
        <v>-0.20253545880878054</v>
      </c>
      <c r="Z250" s="14">
        <v>-1.0478591897755634</v>
      </c>
      <c r="AA250" s="14">
        <v>0.28441684713819276</v>
      </c>
      <c r="AB250" s="14">
        <v>0.70315206577098432</v>
      </c>
      <c r="AC250" s="14">
        <v>-0.3087389046757224</v>
      </c>
      <c r="AD250" s="14">
        <v>0.92964886416962089</v>
      </c>
      <c r="AE250" s="14">
        <v>-0.55530082978593032</v>
      </c>
      <c r="AF250" s="14">
        <v>0.1676261971750781</v>
      </c>
      <c r="AG250" s="14">
        <v>7.8681682940493936E-2</v>
      </c>
      <c r="AH250" s="14">
        <v>-0.40954786627619755</v>
      </c>
      <c r="AI250" s="14">
        <v>-0.18186605447775966</v>
      </c>
      <c r="AJ250" s="14">
        <v>1.2066846874753421</v>
      </c>
      <c r="AK250" s="14">
        <v>-0.68051778070191216</v>
      </c>
      <c r="AM250" s="14">
        <v>0.60349911869185879</v>
      </c>
      <c r="AN250" s="14">
        <v>-0.4597201810410641</v>
      </c>
      <c r="AO250" s="14">
        <v>-0.16511956917461337</v>
      </c>
      <c r="AP250" s="14">
        <v>-0.20010174044853893</v>
      </c>
      <c r="AQ250" s="14">
        <v>-0.23455819521388066</v>
      </c>
      <c r="AR250" s="14">
        <v>-0.67487473787911045</v>
      </c>
      <c r="AS250" s="14">
        <v>0.49944005587979506</v>
      </c>
      <c r="AT250" s="14">
        <v>0.59111654295140847</v>
      </c>
      <c r="AU250" s="14">
        <v>0.26235427959851643</v>
      </c>
      <c r="AV250" s="14">
        <v>-0.19420671692923677</v>
      </c>
      <c r="AW250" s="14">
        <v>-0.11914135632463681</v>
      </c>
      <c r="AX250" s="14">
        <v>0.2494541324422416</v>
      </c>
      <c r="AY250" s="14">
        <v>0.54014350983609849</v>
      </c>
      <c r="AZ250" s="14">
        <v>-0.22691134909543609</v>
      </c>
      <c r="BA250" s="14">
        <v>0.51818566473227523</v>
      </c>
      <c r="BB250" s="14">
        <v>-0.17718560858788873</v>
      </c>
      <c r="BC250" s="14">
        <v>0.26020668738495067</v>
      </c>
      <c r="BD250" s="14">
        <v>0.46586783808677901</v>
      </c>
      <c r="BE250" s="14">
        <v>0.49409840372515235</v>
      </c>
      <c r="BF250" s="14">
        <v>-0.63732288172821427</v>
      </c>
      <c r="BK250" s="16">
        <v>0.95065901932860664</v>
      </c>
      <c r="BL250" s="16">
        <v>-0.23584246823048122</v>
      </c>
      <c r="BN250" s="17">
        <f t="shared" si="11"/>
        <v>0</v>
      </c>
    </row>
    <row r="251" spans="1:66" x14ac:dyDescent="0.2">
      <c r="A251">
        <v>-0.77641666796571529</v>
      </c>
      <c r="B251">
        <v>-0.99539704190779099</v>
      </c>
      <c r="C251">
        <v>-0.78162719871407593</v>
      </c>
      <c r="D251">
        <v>-0.74162861843515437</v>
      </c>
      <c r="E251">
        <v>-0.50026226480914304</v>
      </c>
      <c r="F251">
        <v>-0.59633824149015113</v>
      </c>
      <c r="G251">
        <v>-0.53831489880243666</v>
      </c>
      <c r="H251">
        <v>-0.78677351638636095</v>
      </c>
      <c r="I251">
        <v>-0.7209389468092301</v>
      </c>
      <c r="J251">
        <v>-0.31648823287167249</v>
      </c>
      <c r="M251" s="13">
        <v>0</v>
      </c>
      <c r="O251" s="10">
        <f t="shared" si="9"/>
        <v>1</v>
      </c>
      <c r="P251" s="10">
        <f t="shared" si="10"/>
        <v>0</v>
      </c>
      <c r="R251" s="14">
        <v>-0.77021070901974609</v>
      </c>
      <c r="S251" s="14">
        <v>-1.1224201659672892</v>
      </c>
      <c r="T251" s="14">
        <v>-0.77851952434887306</v>
      </c>
      <c r="U251" s="14">
        <v>-1.308192030409673</v>
      </c>
      <c r="V251" s="14">
        <v>-0.63940833232637029</v>
      </c>
      <c r="W251" s="14">
        <v>0.36164047185685294</v>
      </c>
      <c r="X251" s="14">
        <v>1.065131265551079</v>
      </c>
      <c r="Y251" s="14">
        <v>1.1052593956805947</v>
      </c>
      <c r="Z251" s="14">
        <v>-0.60447273342922703</v>
      </c>
      <c r="AA251" s="14">
        <v>-0.29657808866269963</v>
      </c>
      <c r="AB251" s="14">
        <v>0.73347388228307797</v>
      </c>
      <c r="AC251" s="14">
        <v>-0.35930714525773222</v>
      </c>
      <c r="AD251" s="14">
        <v>1.1108754184192704</v>
      </c>
      <c r="AE251" s="14">
        <v>-0.66177301482016082</v>
      </c>
      <c r="AF251" s="14">
        <v>-0.32043509864320741</v>
      </c>
      <c r="AG251" s="14">
        <v>-0.57076076042221369</v>
      </c>
      <c r="AH251" s="14">
        <v>-4.9411180129231957E-2</v>
      </c>
      <c r="AI251" s="14">
        <v>0.31275707933421304</v>
      </c>
      <c r="AJ251" s="14">
        <v>1.5610011118855112</v>
      </c>
      <c r="AK251" s="14">
        <v>-0.4572099857553914</v>
      </c>
      <c r="AM251" s="14">
        <v>0.54753262473201603</v>
      </c>
      <c r="AN251" s="14">
        <v>-0.2465657791771439</v>
      </c>
      <c r="AO251" s="14">
        <v>-0.23980284582217379</v>
      </c>
      <c r="AP251" s="14">
        <v>-0.50553924430535513</v>
      </c>
      <c r="AQ251" s="14">
        <v>-0.16964249981463073</v>
      </c>
      <c r="AR251" s="14">
        <v>-0.44069114785201419</v>
      </c>
      <c r="AS251" s="14">
        <v>0.40811640029185431</v>
      </c>
      <c r="AT251" s="14">
        <v>0.25898746153855073</v>
      </c>
      <c r="AU251" s="14">
        <v>7.7249841751228981E-2</v>
      </c>
      <c r="AV251" s="14">
        <v>-0.11273379421165021</v>
      </c>
      <c r="AW251" s="14">
        <v>0.25718487408197599</v>
      </c>
      <c r="AX251" s="14">
        <v>0.23167281880862967</v>
      </c>
      <c r="AY251" s="14">
        <v>0.4576651008394757</v>
      </c>
      <c r="AZ251" s="14">
        <v>-8.1627787647735831E-2</v>
      </c>
      <c r="BA251" s="14">
        <v>0.29183807617503077</v>
      </c>
      <c r="BB251" s="14">
        <v>-0.20915142242490228</v>
      </c>
      <c r="BC251" s="14">
        <v>3.7778334639802957E-2</v>
      </c>
      <c r="BD251" s="14">
        <v>0.32201349512148059</v>
      </c>
      <c r="BE251" s="14">
        <v>0.44967261735900493</v>
      </c>
      <c r="BF251" s="14">
        <v>-0.38741736334582888</v>
      </c>
      <c r="BK251" s="16">
        <v>-0.38204390733123927</v>
      </c>
      <c r="BL251" s="16">
        <v>0.81292293182577791</v>
      </c>
      <c r="BN251" s="17">
        <f t="shared" si="11"/>
        <v>1</v>
      </c>
    </row>
    <row r="252" spans="1:66" x14ac:dyDescent="0.2">
      <c r="A252">
        <v>1.917104392678465</v>
      </c>
      <c r="B252">
        <v>1.1206980679728431</v>
      </c>
      <c r="C252">
        <v>1.9172272716897221</v>
      </c>
      <c r="D252">
        <v>2.0150938438205621</v>
      </c>
      <c r="E252">
        <v>1.0333350473450671</v>
      </c>
      <c r="F252">
        <v>2.2293920083440129</v>
      </c>
      <c r="G252">
        <v>2.061392198044897</v>
      </c>
      <c r="H252">
        <v>1.8902959292698021</v>
      </c>
      <c r="I252">
        <v>1.968123809116308</v>
      </c>
      <c r="J252">
        <v>1.396992074500786</v>
      </c>
      <c r="M252" s="13">
        <v>1</v>
      </c>
      <c r="O252" s="10">
        <f t="shared" si="9"/>
        <v>0</v>
      </c>
      <c r="P252" s="10">
        <f t="shared" si="10"/>
        <v>1</v>
      </c>
      <c r="R252" s="14">
        <v>0.25267190392607919</v>
      </c>
      <c r="S252" s="14">
        <v>1.0083880284180122</v>
      </c>
      <c r="T252" s="14">
        <v>0.43645640298674004</v>
      </c>
      <c r="U252" s="14">
        <v>0.181837256143355</v>
      </c>
      <c r="V252" s="14">
        <v>1.4996700552228481</v>
      </c>
      <c r="W252" s="14">
        <v>-0.63230280142620165</v>
      </c>
      <c r="X252" s="14">
        <v>-1.4658994004351031</v>
      </c>
      <c r="Y252" s="14">
        <v>0.37021503736722766</v>
      </c>
      <c r="Z252" s="14">
        <v>1.6655227375811741</v>
      </c>
      <c r="AA252" s="14">
        <v>1.2056008064917856</v>
      </c>
      <c r="AB252" s="14">
        <v>-0.28777724412695638</v>
      </c>
      <c r="AC252" s="14">
        <v>1.0590758420199464</v>
      </c>
      <c r="AD252" s="14">
        <v>-0.81302923648356296</v>
      </c>
      <c r="AE252" s="14">
        <v>1.6891387046494888</v>
      </c>
      <c r="AF252" s="14">
        <v>0.24313915754768156</v>
      </c>
      <c r="AG252" s="14">
        <v>0.27459751082596973</v>
      </c>
      <c r="AH252" s="14">
        <v>-0.97448408992038682</v>
      </c>
      <c r="AI252" s="14">
        <v>-1.5947599921393478</v>
      </c>
      <c r="AJ252" s="14">
        <v>-0.55648637362273523</v>
      </c>
      <c r="AK252" s="14">
        <v>-0.52100691195203375</v>
      </c>
      <c r="AM252" s="14">
        <v>-0.18906309728423196</v>
      </c>
      <c r="AN252" s="14">
        <v>-0.68373644180744353</v>
      </c>
      <c r="AO252" s="14">
        <v>-0.58644251871386288</v>
      </c>
      <c r="AP252" s="14">
        <v>-0.24453132877658068</v>
      </c>
      <c r="AQ252" s="14">
        <v>-0.74677471275770257</v>
      </c>
      <c r="AR252" s="14">
        <v>0.24849308884183635</v>
      </c>
      <c r="AS252" s="14">
        <v>0.83422628902907081</v>
      </c>
      <c r="AT252" s="14">
        <v>0.37069575253996778</v>
      </c>
      <c r="AU252" s="14">
        <v>-0.70650250640543921</v>
      </c>
      <c r="AV252" s="14">
        <v>-0.53317616773614662</v>
      </c>
      <c r="AW252" s="14">
        <v>0.40265853220786985</v>
      </c>
      <c r="AX252" s="14">
        <v>-0.58458495706923397</v>
      </c>
      <c r="AY252" s="14">
        <v>0.6959616143751195</v>
      </c>
      <c r="AZ252" s="14">
        <v>-0.7804932645786854</v>
      </c>
      <c r="BA252" s="14">
        <v>-5.8699955641574715E-2</v>
      </c>
      <c r="BB252" s="14">
        <v>-9.7974675390777199E-2</v>
      </c>
      <c r="BC252" s="14">
        <v>0.38386334955797546</v>
      </c>
      <c r="BD252" s="14">
        <v>0.63726854285207157</v>
      </c>
      <c r="BE252" s="14">
        <v>0.72756720448342171</v>
      </c>
      <c r="BF252" s="14">
        <v>-1.0796607027332806E-2</v>
      </c>
      <c r="BK252" s="16">
        <v>0.59565035144017375</v>
      </c>
      <c r="BL252" s="16">
        <v>-0.42841830261145397</v>
      </c>
      <c r="BN252" s="17">
        <f t="shared" si="11"/>
        <v>0</v>
      </c>
    </row>
    <row r="253" spans="1:66" x14ac:dyDescent="0.2">
      <c r="A253">
        <v>-0.78213539633226337</v>
      </c>
      <c r="B253">
        <v>-0.13228524737942099</v>
      </c>
      <c r="C253">
        <v>-0.80611319191011244</v>
      </c>
      <c r="D253">
        <v>-0.73846228794702529</v>
      </c>
      <c r="E253">
        <v>-0.83794359250960337</v>
      </c>
      <c r="F253">
        <v>-0.80586281687711747</v>
      </c>
      <c r="G253">
        <v>-0.75813085625880339</v>
      </c>
      <c r="H253">
        <v>-0.72051967086354796</v>
      </c>
      <c r="I253">
        <v>-0.69065112364605885</v>
      </c>
      <c r="J253">
        <v>-0.77533316048827927</v>
      </c>
      <c r="M253" s="13">
        <v>0</v>
      </c>
      <c r="O253" s="10">
        <f t="shared" si="9"/>
        <v>1</v>
      </c>
      <c r="P253" s="10">
        <f t="shared" si="10"/>
        <v>0</v>
      </c>
      <c r="R253" s="14">
        <v>-1.4417751688683622</v>
      </c>
      <c r="S253" s="14">
        <v>0.90137099776023433</v>
      </c>
      <c r="T253" s="14">
        <v>0.44581294204357458</v>
      </c>
      <c r="U253" s="14">
        <v>0.45037944438103228</v>
      </c>
      <c r="V253" s="14">
        <v>1.5041751636138891</v>
      </c>
      <c r="W253" s="14">
        <v>0.57275357309797292</v>
      </c>
      <c r="X253" s="14">
        <v>-1.465909383098875</v>
      </c>
      <c r="Y253" s="14">
        <v>0.68462686026177111</v>
      </c>
      <c r="Z253" s="14">
        <v>1.4868933875871788</v>
      </c>
      <c r="AA253" s="14">
        <v>1.206368074859405</v>
      </c>
      <c r="AB253" s="14">
        <v>-0.28839171841317579</v>
      </c>
      <c r="AC253" s="14">
        <v>0.87831098146768927</v>
      </c>
      <c r="AD253" s="14">
        <v>-0.81579665601681461</v>
      </c>
      <c r="AE253" s="14">
        <v>1.6484047113307403</v>
      </c>
      <c r="AF253" s="14">
        <v>0.24610331388273321</v>
      </c>
      <c r="AG253" s="14">
        <v>0.29000096225397198</v>
      </c>
      <c r="AH253" s="14">
        <v>-0.79850277390941904</v>
      </c>
      <c r="AI253" s="14">
        <v>-1.6024389301247517</v>
      </c>
      <c r="AJ253" s="14">
        <v>-0.55690699931318477</v>
      </c>
      <c r="AK253" s="14">
        <v>0.34585729951681099</v>
      </c>
      <c r="AM253" s="14">
        <v>-5.9194991130653796E-2</v>
      </c>
      <c r="AN253" s="14">
        <v>0.55088305465068599</v>
      </c>
      <c r="AO253" s="14">
        <v>0.33417278838129016</v>
      </c>
      <c r="AP253" s="14">
        <v>0.21309300933063358</v>
      </c>
      <c r="AQ253" s="14">
        <v>0.55398306867205904</v>
      </c>
      <c r="AR253" s="14">
        <v>-0.25762771253524414</v>
      </c>
      <c r="AS253" s="14">
        <v>-0.77775146825989316</v>
      </c>
      <c r="AT253" s="14">
        <v>-0.36426513221079954</v>
      </c>
      <c r="AU253" s="14">
        <v>0.61575587510805208</v>
      </c>
      <c r="AV253" s="14">
        <v>0.34664307773264197</v>
      </c>
      <c r="AW253" s="14">
        <v>-4.046277098127328E-2</v>
      </c>
      <c r="AX253" s="14">
        <v>0.28539759933446746</v>
      </c>
      <c r="AY253" s="14">
        <v>-0.60651675296440621</v>
      </c>
      <c r="AZ253" s="14">
        <v>0.65134245107603339</v>
      </c>
      <c r="BA253" s="14">
        <v>6.5169408227728279E-2</v>
      </c>
      <c r="BB253" s="14">
        <v>-3.1994075963866213E-2</v>
      </c>
      <c r="BC253" s="14">
        <v>-0.31363796689780266</v>
      </c>
      <c r="BD253" s="14">
        <v>-0.54351037949177072</v>
      </c>
      <c r="BE253" s="14">
        <v>-0.65447032680875716</v>
      </c>
      <c r="BF253" s="14">
        <v>0.16152302508360547</v>
      </c>
      <c r="BK253" s="16">
        <v>0.69077659677422121</v>
      </c>
      <c r="BL253" s="16">
        <v>2.9060280210685345E-2</v>
      </c>
      <c r="BN253" s="17">
        <f t="shared" si="11"/>
        <v>0</v>
      </c>
    </row>
    <row r="254" spans="1:66" x14ac:dyDescent="0.2">
      <c r="A254">
        <v>1.5711213265023021</v>
      </c>
      <c r="B254">
        <v>0.20364178628645049</v>
      </c>
      <c r="C254">
        <v>1.5769134679481991</v>
      </c>
      <c r="D254">
        <v>1.5602936464347379</v>
      </c>
      <c r="E254">
        <v>1.4849396848310981</v>
      </c>
      <c r="F254">
        <v>1.863653844207001</v>
      </c>
      <c r="G254">
        <v>1.202576364261883</v>
      </c>
      <c r="H254">
        <v>1.8281829490921659</v>
      </c>
      <c r="I254">
        <v>1.8317400439955951</v>
      </c>
      <c r="J254">
        <v>1.9990014116479009</v>
      </c>
      <c r="M254" s="13">
        <v>1</v>
      </c>
      <c r="O254" s="10">
        <f t="shared" si="9"/>
        <v>0</v>
      </c>
      <c r="P254" s="10">
        <f t="shared" si="10"/>
        <v>1</v>
      </c>
      <c r="R254" s="14">
        <v>0.88962605596777078</v>
      </c>
      <c r="S254" s="14">
        <v>-1.0603761691623346</v>
      </c>
      <c r="T254" s="14">
        <v>-0.54313259804916347</v>
      </c>
      <c r="U254" s="14">
        <v>-0.90021458740962035</v>
      </c>
      <c r="V254" s="14">
        <v>-0.29363658903040202</v>
      </c>
      <c r="W254" s="14">
        <v>-0.46267587272025174</v>
      </c>
      <c r="X254" s="14">
        <v>1.0493394049586315</v>
      </c>
      <c r="Y254" s="14">
        <v>1.1571615448446084</v>
      </c>
      <c r="Z254" s="14">
        <v>0.37253375880946638</v>
      </c>
      <c r="AA254" s="14">
        <v>-4.8742356657596408E-2</v>
      </c>
      <c r="AB254" s="14">
        <v>0.32441545143705741</v>
      </c>
      <c r="AC254" s="14">
        <v>0.6091873716645908</v>
      </c>
      <c r="AD254" s="14">
        <v>1.1154761911816684</v>
      </c>
      <c r="AE254" s="14">
        <v>-0.17329432734540956</v>
      </c>
      <c r="AF254" s="14">
        <v>0.86723070177574391</v>
      </c>
      <c r="AG254" s="14">
        <v>-0.39652507803921822</v>
      </c>
      <c r="AH254" s="14">
        <v>-0.21323409252530329</v>
      </c>
      <c r="AI254" s="14">
        <v>0.29217783282557974</v>
      </c>
      <c r="AJ254" s="14">
        <v>1.5307457423785977</v>
      </c>
      <c r="AK254" s="14">
        <v>-1.4158036027818688</v>
      </c>
      <c r="AM254" s="14">
        <v>0.17702311381386987</v>
      </c>
      <c r="AN254" s="14">
        <v>-0.44943625852976193</v>
      </c>
      <c r="AO254" s="14">
        <v>3.1672755188137322E-2</v>
      </c>
      <c r="AP254" s="14">
        <v>0.28789404215209796</v>
      </c>
      <c r="AQ254" s="14">
        <v>-0.30992321106401771</v>
      </c>
      <c r="AR254" s="14">
        <v>-0.28998278609698519</v>
      </c>
      <c r="AS254" s="14">
        <v>0.37027569134708105</v>
      </c>
      <c r="AT254" s="14">
        <v>0.5183197462014737</v>
      </c>
      <c r="AU254" s="14">
        <v>4.8181337879315028E-2</v>
      </c>
      <c r="AV254" s="14">
        <v>-0.26789683442670514</v>
      </c>
      <c r="AW254" s="14">
        <v>-0.34384228986327497</v>
      </c>
      <c r="AX254" s="14">
        <v>3.3381694671220472E-2</v>
      </c>
      <c r="AY254" s="14">
        <v>0.29786911449067938</v>
      </c>
      <c r="AZ254" s="14">
        <v>-0.37579618489997801</v>
      </c>
      <c r="BA254" s="14">
        <v>0.23905937310353942</v>
      </c>
      <c r="BB254" s="14">
        <v>-0.18081893687621034</v>
      </c>
      <c r="BC254" s="14">
        <v>0.35605132446546606</v>
      </c>
      <c r="BD254" s="14">
        <v>0.38360429255406514</v>
      </c>
      <c r="BE254" s="14">
        <v>0.33872163498065394</v>
      </c>
      <c r="BF254" s="14">
        <v>-0.51949384949437305</v>
      </c>
      <c r="BK254" s="16">
        <v>-0.50119555209945421</v>
      </c>
      <c r="BL254" s="16">
        <v>0.40150128453266182</v>
      </c>
      <c r="BN254" s="17">
        <f t="shared" si="11"/>
        <v>1</v>
      </c>
    </row>
    <row r="255" spans="1:66" x14ac:dyDescent="0.2">
      <c r="A255">
        <v>0.87629582996670119</v>
      </c>
      <c r="B255">
        <v>-0.46821228104529261</v>
      </c>
      <c r="C255">
        <v>0.84233367206711096</v>
      </c>
      <c r="D255">
        <v>0.76065127406903099</v>
      </c>
      <c r="E255">
        <v>-1.669219619241322E-2</v>
      </c>
      <c r="F255">
        <v>0.43665510887920012</v>
      </c>
      <c r="G255">
        <v>0.84805923287585816</v>
      </c>
      <c r="H255">
        <v>0.70393800787693228</v>
      </c>
      <c r="I255">
        <v>0.57240423879005031</v>
      </c>
      <c r="J255">
        <v>1.025603229693612</v>
      </c>
      <c r="M255" s="13">
        <v>1</v>
      </c>
      <c r="O255" s="10">
        <f t="shared" si="9"/>
        <v>0</v>
      </c>
      <c r="P255" s="10">
        <f t="shared" si="10"/>
        <v>1</v>
      </c>
      <c r="R255" s="14">
        <v>0.83423897424124904</v>
      </c>
      <c r="S255" s="14">
        <v>-0.43279258693460132</v>
      </c>
      <c r="T255" s="14">
        <v>-0.62323610457300249</v>
      </c>
      <c r="U255" s="14">
        <v>-1.3216308977669131</v>
      </c>
      <c r="V255" s="14">
        <v>-0.10890215665669217</v>
      </c>
      <c r="W255" s="14">
        <v>-0.32737080939936786</v>
      </c>
      <c r="X255" s="14">
        <v>0.9655401064132817</v>
      </c>
      <c r="Y255" s="14">
        <v>0.54332183804857803</v>
      </c>
      <c r="Z255" s="14">
        <v>0.13762024048971511</v>
      </c>
      <c r="AA255" s="14">
        <v>0.18699702589931633</v>
      </c>
      <c r="AB255" s="14">
        <v>0.73099735172488634</v>
      </c>
      <c r="AC255" s="14">
        <v>0.60845255061355752</v>
      </c>
      <c r="AD255" s="14">
        <v>1.0548861768979196</v>
      </c>
      <c r="AE255" s="14">
        <v>0.71273143071605627</v>
      </c>
      <c r="AF255" s="14">
        <v>0.45612066494586329</v>
      </c>
      <c r="AG255" s="14">
        <v>-0.40197849580089151</v>
      </c>
      <c r="AH255" s="14">
        <v>-0.59930365664112528</v>
      </c>
      <c r="AI255" s="14">
        <v>4.8134137224371432E-2</v>
      </c>
      <c r="AJ255" s="14">
        <v>1.4847013096942976</v>
      </c>
      <c r="AK255" s="14">
        <v>-1.128783012292736</v>
      </c>
      <c r="AM255" s="14">
        <v>0.63395871208062304</v>
      </c>
      <c r="AN255" s="14">
        <v>-0.23926333230743269</v>
      </c>
      <c r="AO255" s="14">
        <v>2.8013918236325614E-2</v>
      </c>
      <c r="AP255" s="14">
        <v>-0.13190564870453336</v>
      </c>
      <c r="AQ255" s="14">
        <v>-0.10300749082036852</v>
      </c>
      <c r="AR255" s="14">
        <v>-0.65276804180756753</v>
      </c>
      <c r="AS255" s="14">
        <v>0.10740183192868392</v>
      </c>
      <c r="AT255" s="14">
        <v>0.45845413061556445</v>
      </c>
      <c r="AU255" s="14">
        <v>0.52406799487931643</v>
      </c>
      <c r="AV255" s="14">
        <v>-0.15310137631399359</v>
      </c>
      <c r="AW255" s="14">
        <v>-1.7878246923337025E-2</v>
      </c>
      <c r="AX255" s="14">
        <v>0.47741268784190871</v>
      </c>
      <c r="AY255" s="14">
        <v>0.25790479249047527</v>
      </c>
      <c r="AZ255" s="14">
        <v>5.4873701538510858E-2</v>
      </c>
      <c r="BA255" s="14">
        <v>0.44470627131209001</v>
      </c>
      <c r="BB255" s="14">
        <v>-0.4100979868446975</v>
      </c>
      <c r="BC255" s="14">
        <v>0.20580104420571743</v>
      </c>
      <c r="BD255" s="14">
        <v>0.26568789014673516</v>
      </c>
      <c r="BE255" s="14">
        <v>0.30867796449482277</v>
      </c>
      <c r="BF255" s="14">
        <v>-0.66104560289339642</v>
      </c>
      <c r="BK255" s="16">
        <v>-0.32047487376423045</v>
      </c>
      <c r="BL255" s="16">
        <v>0.89541570720230979</v>
      </c>
      <c r="BN255" s="17">
        <f t="shared" si="11"/>
        <v>1</v>
      </c>
    </row>
    <row r="256" spans="1:66" x14ac:dyDescent="0.2">
      <c r="A256">
        <v>1.491059129370627</v>
      </c>
      <c r="B256">
        <v>8.3492701252671275E-2</v>
      </c>
      <c r="C256">
        <v>1.4026063977391281</v>
      </c>
      <c r="D256">
        <v>1.4537898027431211</v>
      </c>
      <c r="E256">
        <v>0.25650073265716128</v>
      </c>
      <c r="F256">
        <v>0.57675142259947942</v>
      </c>
      <c r="G256">
        <v>0.90889202110215528</v>
      </c>
      <c r="H256">
        <v>1.9151411213408569</v>
      </c>
      <c r="I256">
        <v>1.9008175354203709</v>
      </c>
      <c r="J256">
        <v>1.2382532940590101</v>
      </c>
      <c r="M256" s="13">
        <v>1</v>
      </c>
      <c r="O256" s="10">
        <f t="shared" si="9"/>
        <v>0</v>
      </c>
      <c r="P256" s="10">
        <f t="shared" si="10"/>
        <v>1</v>
      </c>
      <c r="R256" s="14">
        <v>-0.48175730948969264</v>
      </c>
      <c r="S256" s="14">
        <v>-1.1072036249883568</v>
      </c>
      <c r="T256" s="14">
        <v>-0.8143425774791837</v>
      </c>
      <c r="U256" s="14">
        <v>-0.78106753621892178</v>
      </c>
      <c r="V256" s="14">
        <v>-0.62611928622811619</v>
      </c>
      <c r="W256" s="14">
        <v>0.33367966270738619</v>
      </c>
      <c r="X256" s="14">
        <v>1.0652526505891531</v>
      </c>
      <c r="Y256" s="14">
        <v>0.64697904714532262</v>
      </c>
      <c r="Z256" s="14">
        <v>-0.75577591460546234</v>
      </c>
      <c r="AA256" s="14">
        <v>-0.25127349212833017</v>
      </c>
      <c r="AB256" s="14">
        <v>0.74321688190358515</v>
      </c>
      <c r="AC256" s="14">
        <v>-0.37194452935356492</v>
      </c>
      <c r="AD256" s="14">
        <v>1.1168453101925888</v>
      </c>
      <c r="AE256" s="14">
        <v>-0.66028107209029274</v>
      </c>
      <c r="AF256" s="14">
        <v>-0.17439593831691824</v>
      </c>
      <c r="AG256" s="14">
        <v>-0.35185078758283028</v>
      </c>
      <c r="AH256" s="14">
        <v>-7.3000709770478567E-2</v>
      </c>
      <c r="AI256" s="14">
        <v>0.31268575003801491</v>
      </c>
      <c r="AJ256" s="14">
        <v>1.5555676320557505</v>
      </c>
      <c r="AK256" s="14">
        <v>-0.66548093716252565</v>
      </c>
      <c r="AM256" s="14">
        <v>4.0687535102985242E-2</v>
      </c>
      <c r="AN256" s="14">
        <v>-0.75215416842654814</v>
      </c>
      <c r="AO256" s="14">
        <v>-0.57818930716186001</v>
      </c>
      <c r="AP256" s="14">
        <v>-0.30654255389880253</v>
      </c>
      <c r="AQ256" s="14">
        <v>-0.74595201760339203</v>
      </c>
      <c r="AR256" s="14">
        <v>-0.11574464219597776</v>
      </c>
      <c r="AS256" s="14">
        <v>0.8619002985218237</v>
      </c>
      <c r="AT256" s="14">
        <v>0.59034182846099259</v>
      </c>
      <c r="AU256" s="14">
        <v>-0.56608239794222681</v>
      </c>
      <c r="AV256" s="14">
        <v>-0.578695615984546</v>
      </c>
      <c r="AW256" s="14">
        <v>0.29537914745000104</v>
      </c>
      <c r="AX256" s="14">
        <v>-0.46224804579362844</v>
      </c>
      <c r="AY256" s="14">
        <v>0.76428022411473751</v>
      </c>
      <c r="AZ256" s="14">
        <v>-0.78703398398335578</v>
      </c>
      <c r="BA256" s="14">
        <v>0.16782465523052773</v>
      </c>
      <c r="BB256" s="14">
        <v>-0.16520413306441464</v>
      </c>
      <c r="BC256" s="14">
        <v>0.45776484817641744</v>
      </c>
      <c r="BD256" s="14">
        <v>0.7086436286518365</v>
      </c>
      <c r="BE256" s="14">
        <v>0.78015521590277359</v>
      </c>
      <c r="BF256" s="14">
        <v>-0.27750901211818518</v>
      </c>
      <c r="BK256" s="16">
        <v>-0.41602395033447681</v>
      </c>
      <c r="BL256" s="16">
        <v>0.12483995388245228</v>
      </c>
      <c r="BN256" s="17">
        <f t="shared" si="11"/>
        <v>1</v>
      </c>
    </row>
    <row r="257" spans="1:66" x14ac:dyDescent="0.2">
      <c r="A257">
        <v>-7.8731807246840313E-2</v>
      </c>
      <c r="B257">
        <v>-0.47556834747593152</v>
      </c>
      <c r="C257">
        <v>-5.2857638506622631E-2</v>
      </c>
      <c r="D257">
        <v>-0.17715824686958501</v>
      </c>
      <c r="E257">
        <v>0.42562016480213621</v>
      </c>
      <c r="F257">
        <v>8.0711288798738484E-2</v>
      </c>
      <c r="G257">
        <v>5.3910186577100519E-2</v>
      </c>
      <c r="H257">
        <v>-1.243169683848374E-2</v>
      </c>
      <c r="I257">
        <v>-0.12899798183075911</v>
      </c>
      <c r="J257">
        <v>0.30229350371834668</v>
      </c>
      <c r="M257" s="13">
        <v>1</v>
      </c>
      <c r="O257" s="10">
        <f t="shared" si="9"/>
        <v>0</v>
      </c>
      <c r="P257" s="10">
        <f t="shared" si="10"/>
        <v>1</v>
      </c>
      <c r="R257" s="14">
        <v>-0.11355186009175133</v>
      </c>
      <c r="S257" s="14">
        <v>0.73887551282024322</v>
      </c>
      <c r="T257" s="14">
        <v>0.16788907067463998</v>
      </c>
      <c r="U257" s="14">
        <v>-0.39904989360966592</v>
      </c>
      <c r="V257" s="14">
        <v>1.0413422701852535</v>
      </c>
      <c r="W257" s="14">
        <v>-6.9820156123001048E-2</v>
      </c>
      <c r="X257" s="14">
        <v>-1.4131439650569007</v>
      </c>
      <c r="Y257" s="14">
        <v>-0.33587546601164819</v>
      </c>
      <c r="Z257" s="14">
        <v>0.95243911613427701</v>
      </c>
      <c r="AA257" s="14">
        <v>0.89455723663342368</v>
      </c>
      <c r="AB257" s="14">
        <v>0.17393978258483034</v>
      </c>
      <c r="AC257" s="14">
        <v>0.62017184469249254</v>
      </c>
      <c r="AD257" s="14">
        <v>-0.59672780548174342</v>
      </c>
      <c r="AE257" s="14">
        <v>1.500259306151535</v>
      </c>
      <c r="AF257" s="14">
        <v>-0.15098885145535645</v>
      </c>
      <c r="AG257" s="14">
        <v>-0.2696417519761804</v>
      </c>
      <c r="AH257" s="14">
        <v>-0.89408629879092305</v>
      </c>
      <c r="AI257" s="14">
        <v>-1.407566360186483</v>
      </c>
      <c r="AJ257" s="14">
        <v>-0.40425493182144107</v>
      </c>
      <c r="AK257" s="14">
        <v>-0.40277433416499531</v>
      </c>
      <c r="AM257" s="14">
        <v>0.67531955897538054</v>
      </c>
      <c r="AN257" s="14">
        <v>-4.2725748215921282E-2</v>
      </c>
      <c r="AO257" s="14">
        <v>0.13357789798130384</v>
      </c>
      <c r="AP257" s="14">
        <v>0.26440735275349669</v>
      </c>
      <c r="AQ257" s="14">
        <v>1.583596076837767E-2</v>
      </c>
      <c r="AR257" s="14">
        <v>-0.52881955501656108</v>
      </c>
      <c r="AS257" s="14">
        <v>0.11011674603979649</v>
      </c>
      <c r="AT257" s="14">
        <v>9.5814421046890766E-2</v>
      </c>
      <c r="AU257" s="14">
        <v>1.9557467196130333E-2</v>
      </c>
      <c r="AV257" s="14">
        <v>0.27288771786395449</v>
      </c>
      <c r="AW257" s="14">
        <v>-0.18697055776966451</v>
      </c>
      <c r="AX257" s="14">
        <v>0.23211587761247676</v>
      </c>
      <c r="AY257" s="14">
        <v>0.19925386596386147</v>
      </c>
      <c r="AZ257" s="14">
        <v>0.18327912004302999</v>
      </c>
      <c r="BA257" s="14">
        <v>0.48876089314888432</v>
      </c>
      <c r="BB257" s="14">
        <v>9.5278968375904882E-2</v>
      </c>
      <c r="BC257" s="14">
        <v>8.0160981990099606E-2</v>
      </c>
      <c r="BD257" s="14">
        <v>9.3551315547352354E-2</v>
      </c>
      <c r="BE257" s="14">
        <v>2.8315175872131358E-2</v>
      </c>
      <c r="BF257" s="14">
        <v>-0.62092415872972551</v>
      </c>
      <c r="BK257" s="16">
        <v>-0.2792670163986477</v>
      </c>
      <c r="BL257" s="16">
        <v>0.53338399303853579</v>
      </c>
      <c r="BN257" s="17">
        <f t="shared" si="11"/>
        <v>1</v>
      </c>
    </row>
    <row r="258" spans="1:66" x14ac:dyDescent="0.2">
      <c r="A258">
        <v>1.5196527712033681</v>
      </c>
      <c r="B258">
        <v>2.398201604760573</v>
      </c>
      <c r="C258">
        <v>1.697268349759226</v>
      </c>
      <c r="D258">
        <v>1.563172128696674</v>
      </c>
      <c r="E258">
        <v>1.8826491186665331</v>
      </c>
      <c r="F258">
        <v>1.078866529296056</v>
      </c>
      <c r="G258">
        <v>1.637096280164003</v>
      </c>
      <c r="H258">
        <v>1.780562997622644</v>
      </c>
      <c r="I258">
        <v>1.819341519893712</v>
      </c>
      <c r="J258">
        <v>1.151396225515396</v>
      </c>
      <c r="M258" s="13">
        <v>1</v>
      </c>
      <c r="O258" s="10">
        <f t="shared" si="9"/>
        <v>0</v>
      </c>
      <c r="P258" s="10">
        <f t="shared" si="10"/>
        <v>1</v>
      </c>
      <c r="R258" s="14">
        <v>0.28447384791857544</v>
      </c>
      <c r="S258" s="14">
        <v>-1.1086092532966767</v>
      </c>
      <c r="T258" s="14">
        <v>-2.0555228182108198E-2</v>
      </c>
      <c r="U258" s="14">
        <v>-0.26440006326816856</v>
      </c>
      <c r="V258" s="14">
        <v>-0.44252474856050983</v>
      </c>
      <c r="W258" s="14">
        <v>-7.875889609350889E-2</v>
      </c>
      <c r="X258" s="14">
        <v>1.0442859829278732</v>
      </c>
      <c r="Y258" s="14">
        <v>1.1837610783458254</v>
      </c>
      <c r="Z258" s="14">
        <v>-3.8916797263746E-2</v>
      </c>
      <c r="AA258" s="14">
        <v>-0.11869304698071903</v>
      </c>
      <c r="AB258" s="14">
        <v>-0.76423851805836651</v>
      </c>
      <c r="AC258" s="14">
        <v>0.32195273860511531</v>
      </c>
      <c r="AD258" s="14">
        <v>1.0242438384439043</v>
      </c>
      <c r="AE258" s="14">
        <v>-0.63064738078824178</v>
      </c>
      <c r="AF258" s="14">
        <v>0.61490244930182636</v>
      </c>
      <c r="AG258" s="14">
        <v>-0.29782495660920827</v>
      </c>
      <c r="AH258" s="14">
        <v>-8.0796111575727969E-2</v>
      </c>
      <c r="AI258" s="14">
        <v>0.29423336365726471</v>
      </c>
      <c r="AJ258" s="14">
        <v>1.5062859000529549</v>
      </c>
      <c r="AK258" s="14">
        <v>-1.3104342174154178</v>
      </c>
      <c r="AM258" s="14">
        <v>-0.59203055520086778</v>
      </c>
      <c r="AN258" s="14">
        <v>-0.27775354049906437</v>
      </c>
      <c r="AO258" s="14">
        <v>7.7984873342264574E-2</v>
      </c>
      <c r="AP258" s="14">
        <v>0.6493460292456068</v>
      </c>
      <c r="AQ258" s="14">
        <v>-0.29161862466900734</v>
      </c>
      <c r="AR258" s="14">
        <v>0.55198625607627905</v>
      </c>
      <c r="AS258" s="14">
        <v>0.28032397412420296</v>
      </c>
      <c r="AT258" s="14">
        <v>-6.0983182121539775E-2</v>
      </c>
      <c r="AU258" s="14">
        <v>-0.68406710832163309</v>
      </c>
      <c r="AV258" s="14">
        <v>-6.2032026992415376E-2</v>
      </c>
      <c r="AW258" s="14">
        <v>-0.35256663492198842</v>
      </c>
      <c r="AX258" s="14">
        <v>-0.59028087352027103</v>
      </c>
      <c r="AY258" s="14">
        <v>-3.2779598854130857E-3</v>
      </c>
      <c r="AZ258" s="14">
        <v>-0.49092463697941746</v>
      </c>
      <c r="BA258" s="14">
        <v>-0.24282416244284211</v>
      </c>
      <c r="BB258" s="14">
        <v>0.34430842989696397</v>
      </c>
      <c r="BC258" s="14">
        <v>0.23396298218898529</v>
      </c>
      <c r="BD258" s="14">
        <v>0.12089375444097041</v>
      </c>
      <c r="BE258" s="14">
        <v>-8.3714133713442274E-2</v>
      </c>
      <c r="BF258" s="14">
        <v>0.19598077403045724</v>
      </c>
      <c r="BK258" s="16">
        <v>0.71551652855414805</v>
      </c>
      <c r="BL258" s="16">
        <v>-0.10486305026587027</v>
      </c>
      <c r="BN258" s="17">
        <f t="shared" si="11"/>
        <v>0</v>
      </c>
    </row>
    <row r="259" spans="1:66" x14ac:dyDescent="0.2">
      <c r="A259">
        <v>0.3101417216784339</v>
      </c>
      <c r="B259">
        <v>-0.42162386031790861</v>
      </c>
      <c r="C259">
        <v>0.43561717491260982</v>
      </c>
      <c r="D259">
        <v>0.14206543597907209</v>
      </c>
      <c r="E259">
        <v>2.2933677395900429</v>
      </c>
      <c r="F259">
        <v>1.9020873462010599</v>
      </c>
      <c r="G259">
        <v>1.887584231684049</v>
      </c>
      <c r="H259">
        <v>0.26500628128829579</v>
      </c>
      <c r="I259">
        <v>5.308320069403677E-2</v>
      </c>
      <c r="J259">
        <v>1.5826864969043739</v>
      </c>
      <c r="M259" s="13">
        <v>1</v>
      </c>
      <c r="O259" s="10">
        <f t="shared" ref="O259:O322" si="12">IF(M259=0,1,0)</f>
        <v>0</v>
      </c>
      <c r="P259" s="10">
        <f t="shared" ref="P259:P322" si="13">IF(M259=1,1,0)</f>
        <v>1</v>
      </c>
      <c r="R259" s="14">
        <v>0.99643149752502114</v>
      </c>
      <c r="S259" s="14">
        <v>-0.94605708866343052</v>
      </c>
      <c r="T259" s="14">
        <v>2.0580337620150768E-3</v>
      </c>
      <c r="U259" s="14">
        <v>-0.84954626564180868</v>
      </c>
      <c r="V259" s="14">
        <v>-0.15058870059059926</v>
      </c>
      <c r="W259" s="14">
        <v>-0.40118016195704259</v>
      </c>
      <c r="X259" s="14">
        <v>0.82329455187900313</v>
      </c>
      <c r="Y259" s="14">
        <v>1.1580211076319076</v>
      </c>
      <c r="Z259" s="14">
        <v>0.50097403845131117</v>
      </c>
      <c r="AA259" s="14">
        <v>7.2606931893456128E-2</v>
      </c>
      <c r="AB259" s="14">
        <v>-5.9887603398486339E-2</v>
      </c>
      <c r="AC259" s="14">
        <v>1.3534235493590079</v>
      </c>
      <c r="AD259" s="14">
        <v>0.98118147193754079</v>
      </c>
      <c r="AE259" s="14">
        <v>0.49963208415584848</v>
      </c>
      <c r="AF259" s="14">
        <v>1.1738454464650223</v>
      </c>
      <c r="AG259" s="14">
        <v>-0.45557697584922174</v>
      </c>
      <c r="AH259" s="14">
        <v>-0.32961377354687699</v>
      </c>
      <c r="AI259" s="14">
        <v>0.1983343033827224</v>
      </c>
      <c r="AJ259" s="14">
        <v>1.5089868115325518</v>
      </c>
      <c r="AK259" s="14">
        <v>-1.4474139019581211</v>
      </c>
      <c r="AM259" s="14">
        <v>-0.34528697864064084</v>
      </c>
      <c r="AN259" s="14">
        <v>0.71692882445340522</v>
      </c>
      <c r="AO259" s="14">
        <v>0.14084558154211999</v>
      </c>
      <c r="AP259" s="14">
        <v>7.2844562517668465E-2</v>
      </c>
      <c r="AQ259" s="14">
        <v>-4.7391398564291615E-2</v>
      </c>
      <c r="AR259" s="14">
        <v>0.65539894565402512</v>
      </c>
      <c r="AS259" s="14">
        <v>-0.58209310625502453</v>
      </c>
      <c r="AT259" s="14">
        <v>-0.89101239283084388</v>
      </c>
      <c r="AU259" s="14">
        <v>-0.76231904383262405</v>
      </c>
      <c r="AV259" s="14">
        <v>0.43345695985089294</v>
      </c>
      <c r="AW259" s="14">
        <v>0.71654686960878522</v>
      </c>
      <c r="AX259" s="14">
        <v>-0.46589679025803071</v>
      </c>
      <c r="AY259" s="14">
        <v>-0.6144260982203974</v>
      </c>
      <c r="AZ259" s="14">
        <v>0.52157593799123703</v>
      </c>
      <c r="BA259" s="14">
        <v>-0.38616192524324183</v>
      </c>
      <c r="BB259" s="14">
        <v>9.5469089639754257E-2</v>
      </c>
      <c r="BC259" s="14">
        <v>-0.46003465389668369</v>
      </c>
      <c r="BD259" s="14">
        <v>-0.72161183018568176</v>
      </c>
      <c r="BE259" s="14">
        <v>-0.62984102200603853</v>
      </c>
      <c r="BF259" s="14">
        <v>0.58923671315704285</v>
      </c>
      <c r="BK259" s="16">
        <v>0.62905684603038825</v>
      </c>
      <c r="BL259" s="16">
        <v>-0.42333810949101913</v>
      </c>
      <c r="BN259" s="17">
        <f t="shared" si="11"/>
        <v>0</v>
      </c>
    </row>
    <row r="260" spans="1:66" x14ac:dyDescent="0.2">
      <c r="A260">
        <v>0.40736010390975252</v>
      </c>
      <c r="B260">
        <v>1.0324252708051691</v>
      </c>
      <c r="C260">
        <v>0.72612895859439641</v>
      </c>
      <c r="D260">
        <v>0.31535006814759481</v>
      </c>
      <c r="E260">
        <v>3.8358856371760761</v>
      </c>
      <c r="F260">
        <v>2.8046547478679908</v>
      </c>
      <c r="G260">
        <v>2.2326441649004378</v>
      </c>
      <c r="H260">
        <v>0.70393800787693228</v>
      </c>
      <c r="I260">
        <v>0.57948910970541201</v>
      </c>
      <c r="J260">
        <v>1.9316123067433739</v>
      </c>
      <c r="M260" s="13">
        <v>1</v>
      </c>
      <c r="O260" s="10">
        <f t="shared" si="12"/>
        <v>0</v>
      </c>
      <c r="P260" s="10">
        <f t="shared" si="13"/>
        <v>1</v>
      </c>
      <c r="R260" s="14">
        <v>-0.20797154297336709</v>
      </c>
      <c r="S260" s="14">
        <v>-1.1233953849405056</v>
      </c>
      <c r="T260" s="14">
        <v>-0.81937980891437034</v>
      </c>
      <c r="U260" s="14">
        <v>-0.88350215960504452</v>
      </c>
      <c r="V260" s="14">
        <v>-0.62948410800694932</v>
      </c>
      <c r="W260" s="14">
        <v>-0.18803881655762139</v>
      </c>
      <c r="X260" s="14">
        <v>1.0653999173989814</v>
      </c>
      <c r="Y260" s="14">
        <v>1.0360129940727307</v>
      </c>
      <c r="Z260" s="14">
        <v>-0.35106624497641237</v>
      </c>
      <c r="AA260" s="14">
        <v>-0.27298166135855595</v>
      </c>
      <c r="AB260" s="14">
        <v>0.73239651650360027</v>
      </c>
      <c r="AC260" s="14">
        <v>-0.34253035452563507</v>
      </c>
      <c r="AD260" s="14">
        <v>1.1326727172987676</v>
      </c>
      <c r="AE260" s="14">
        <v>-0.65961358369312495</v>
      </c>
      <c r="AF260" s="14">
        <v>-5.7781767765263337E-2</v>
      </c>
      <c r="AG260" s="14">
        <v>-0.46526944931358927</v>
      </c>
      <c r="AH260" s="14">
        <v>1.0394752027350629E-2</v>
      </c>
      <c r="AI260" s="14">
        <v>0.33101994304149895</v>
      </c>
      <c r="AJ260" s="14">
        <v>1.5631371035488368</v>
      </c>
      <c r="AK260" s="14">
        <v>-1.0227750282669452</v>
      </c>
      <c r="AM260" s="14">
        <v>0.62905778419549296</v>
      </c>
      <c r="AN260" s="14">
        <v>0.84542359896067054</v>
      </c>
      <c r="AO260" s="14">
        <v>0.58718246845595978</v>
      </c>
      <c r="AP260" s="14">
        <v>0.25096719028235764</v>
      </c>
      <c r="AQ260" s="14">
        <v>0.49634895824199809</v>
      </c>
      <c r="AR260" s="14">
        <v>0.13516680193960234</v>
      </c>
      <c r="AS260" s="14">
        <v>-0.8713067454361505</v>
      </c>
      <c r="AT260" s="14">
        <v>-0.87545423499998265</v>
      </c>
      <c r="AU260" s="14">
        <v>0.10939261347095296</v>
      </c>
      <c r="AV260" s="14">
        <v>0.68134432435440573</v>
      </c>
      <c r="AW260" s="14">
        <v>0.48375884630162319</v>
      </c>
      <c r="AX260" s="14">
        <v>0.53908059295439592</v>
      </c>
      <c r="AY260" s="14">
        <v>-0.77657367150406498</v>
      </c>
      <c r="AZ260" s="14">
        <v>0.86780678576081904</v>
      </c>
      <c r="BA260" s="14">
        <v>-6.6208817684844323E-2</v>
      </c>
      <c r="BB260" s="14">
        <v>-0.22251974819903048</v>
      </c>
      <c r="BC260" s="14">
        <v>-0.49194963868204894</v>
      </c>
      <c r="BD260" s="14">
        <v>-0.78810212547444403</v>
      </c>
      <c r="BE260" s="14">
        <v>-0.76068205309141657</v>
      </c>
      <c r="BF260" s="14">
        <v>-0.18739302955482029</v>
      </c>
      <c r="BK260" s="16">
        <v>0.46233610342087061</v>
      </c>
      <c r="BL260" s="16">
        <v>-0.32442428463827389</v>
      </c>
      <c r="BN260" s="17">
        <f t="shared" si="11"/>
        <v>0</v>
      </c>
    </row>
    <row r="261" spans="1:66" x14ac:dyDescent="0.2">
      <c r="A261">
        <v>0.37018836952718931</v>
      </c>
      <c r="B261">
        <v>3.5727202115193499</v>
      </c>
      <c r="C261">
        <v>0.45636801660416598</v>
      </c>
      <c r="D261">
        <v>0.23302547545623681</v>
      </c>
      <c r="E261">
        <v>1.094664072188849</v>
      </c>
      <c r="F261">
        <v>1.037953446528187</v>
      </c>
      <c r="G261">
        <v>0.85981683060026859</v>
      </c>
      <c r="H261">
        <v>0.42235916440497628</v>
      </c>
      <c r="I261">
        <v>0.24118652349689029</v>
      </c>
      <c r="J261">
        <v>1.2607163290271859</v>
      </c>
      <c r="M261" s="13">
        <v>1</v>
      </c>
      <c r="O261" s="10">
        <f t="shared" si="12"/>
        <v>0</v>
      </c>
      <c r="P261" s="10">
        <f t="shared" si="13"/>
        <v>1</v>
      </c>
      <c r="R261" s="14">
        <v>1.0017490943435672</v>
      </c>
      <c r="S261" s="14">
        <v>-0.42242023347797636</v>
      </c>
      <c r="T261" s="14">
        <v>0.27068692720758991</v>
      </c>
      <c r="U261" s="14">
        <v>-0.27800540439681892</v>
      </c>
      <c r="V261" s="14">
        <v>0.16072070243447331</v>
      </c>
      <c r="W261" s="14">
        <v>-0.31722573814510241</v>
      </c>
      <c r="X261" s="14">
        <v>0.62760297543442534</v>
      </c>
      <c r="Y261" s="14">
        <v>0.3631576177519405</v>
      </c>
      <c r="Z261" s="14">
        <v>-0.26274461100455182</v>
      </c>
      <c r="AA261" s="14">
        <v>1.2601445295195139</v>
      </c>
      <c r="AB261" s="14">
        <v>-0.37802960395943086</v>
      </c>
      <c r="AC261" s="14">
        <v>0.81376446680588155</v>
      </c>
      <c r="AD261" s="14">
        <v>0.91898910231753972</v>
      </c>
      <c r="AE261" s="14">
        <v>0.98281337865289031</v>
      </c>
      <c r="AF261" s="14">
        <v>1.1761816799885221</v>
      </c>
      <c r="AG261" s="14">
        <v>0.29021903094031354</v>
      </c>
      <c r="AH261" s="14">
        <v>-0.45619140018904647</v>
      </c>
      <c r="AI261" s="14">
        <v>-0.12747078269841206</v>
      </c>
      <c r="AJ261" s="14">
        <v>0.83868022613592652</v>
      </c>
      <c r="AK261" s="14">
        <v>-1.3987893576292907</v>
      </c>
      <c r="AM261" s="14">
        <v>-0.90816534200642873</v>
      </c>
      <c r="AN261" s="14">
        <v>-0.75259685079515226</v>
      </c>
      <c r="AO261" s="14">
        <v>-0.35888952598059426</v>
      </c>
      <c r="AP261" s="14">
        <v>0.39797849331022739</v>
      </c>
      <c r="AQ261" s="14">
        <v>-0.3943180107983203</v>
      </c>
      <c r="AR261" s="14">
        <v>0.81834732605643679</v>
      </c>
      <c r="AS261" s="14">
        <v>0.77272662798780245</v>
      </c>
      <c r="AT261" s="14">
        <v>0.55860433313019386</v>
      </c>
      <c r="AU261" s="14">
        <v>-0.70099898137442851</v>
      </c>
      <c r="AV261" s="14">
        <v>-0.5321243594198003</v>
      </c>
      <c r="AW261" s="14">
        <v>-0.65229482602438027</v>
      </c>
      <c r="AX261" s="14">
        <v>-0.77400329132235945</v>
      </c>
      <c r="AY261" s="14">
        <v>0.47881783701271186</v>
      </c>
      <c r="AZ261" s="14">
        <v>-0.88770860864926404</v>
      </c>
      <c r="BA261" s="14">
        <v>-0.61776538103650414</v>
      </c>
      <c r="BB261" s="14">
        <v>0.47510455494193671</v>
      </c>
      <c r="BC261" s="14">
        <v>0.39099000890440372</v>
      </c>
      <c r="BD261" s="14">
        <v>0.66559026445510938</v>
      </c>
      <c r="BE261" s="14">
        <v>0.4982953206004227</v>
      </c>
      <c r="BF261" s="14">
        <v>0.64888158413870012</v>
      </c>
      <c r="BK261" s="16">
        <v>0.52088074895998104</v>
      </c>
      <c r="BL261" s="16">
        <v>-7.7237281217033049E-2</v>
      </c>
      <c r="BN261" s="17">
        <f t="shared" si="11"/>
        <v>0</v>
      </c>
    </row>
    <row r="262" spans="1:66" x14ac:dyDescent="0.2">
      <c r="A262">
        <v>1.7369644491321981</v>
      </c>
      <c r="B262">
        <v>1.9789058182141199</v>
      </c>
      <c r="C262">
        <v>1.668217171391047</v>
      </c>
      <c r="D262">
        <v>1.796329191913457</v>
      </c>
      <c r="E262">
        <v>7.0655202827518679E-2</v>
      </c>
      <c r="F262">
        <v>0.75032207676619722</v>
      </c>
      <c r="G262">
        <v>1.098547184395904</v>
      </c>
      <c r="H262">
        <v>1.6314918451963141</v>
      </c>
      <c r="I262">
        <v>1.674101666128796</v>
      </c>
      <c r="J262">
        <v>0.7859975233664015</v>
      </c>
      <c r="M262" s="13">
        <v>1</v>
      </c>
      <c r="O262" s="10">
        <f t="shared" si="12"/>
        <v>0</v>
      </c>
      <c r="P262" s="10">
        <f t="shared" si="13"/>
        <v>1</v>
      </c>
      <c r="R262" s="14">
        <v>-0.72909228082301369</v>
      </c>
      <c r="S262" s="14">
        <v>-1.010148198183642</v>
      </c>
      <c r="T262" s="14">
        <v>0.21093270551245985</v>
      </c>
      <c r="U262" s="14">
        <v>0.12034227282335652</v>
      </c>
      <c r="V262" s="14">
        <v>-0.37648723587280508</v>
      </c>
      <c r="W262" s="14">
        <v>1.2187830052093436</v>
      </c>
      <c r="X262" s="14">
        <v>1.0179913197350441</v>
      </c>
      <c r="Y262" s="14">
        <v>0.14212339242086791</v>
      </c>
      <c r="Z262" s="14">
        <v>-1.1403253603993782</v>
      </c>
      <c r="AA262" s="14">
        <v>0.48003806075129662</v>
      </c>
      <c r="AB262" s="14">
        <v>-0.95151599678095045</v>
      </c>
      <c r="AC262" s="14">
        <v>-0.36722298526930042</v>
      </c>
      <c r="AD262" s="14">
        <v>0.38148170996544362</v>
      </c>
      <c r="AE262" s="14">
        <v>-0.65798602899721748</v>
      </c>
      <c r="AF262" s="14">
        <v>4.4199372279667526E-2</v>
      </c>
      <c r="AG262" s="14">
        <v>0.89593188880881525</v>
      </c>
      <c r="AH262" s="14">
        <v>-0.25982227725379026</v>
      </c>
      <c r="AI262" s="14">
        <v>-7.3538038750967316E-2</v>
      </c>
      <c r="AJ262" s="14">
        <v>0.35537728664869372</v>
      </c>
      <c r="AK262" s="14">
        <v>-0.34044577116770192</v>
      </c>
      <c r="AM262" s="14">
        <v>-0.97914115143614988</v>
      </c>
      <c r="AN262" s="14">
        <v>-0.65149401279268515</v>
      </c>
      <c r="AO262" s="14">
        <v>-0.3164830449806707</v>
      </c>
      <c r="AP262" s="14">
        <v>0.75275360092607679</v>
      </c>
      <c r="AQ262" s="14">
        <v>-0.19357327460073268</v>
      </c>
      <c r="AR262" s="14">
        <v>0.95443389660188327</v>
      </c>
      <c r="AS262" s="14">
        <v>0.59257097155214411</v>
      </c>
      <c r="AT262" s="14">
        <v>0.21682849187320224</v>
      </c>
      <c r="AU262" s="14">
        <v>-0.80685788395563451</v>
      </c>
      <c r="AV262" s="14">
        <v>-0.38301145767171935</v>
      </c>
      <c r="AW262" s="14">
        <v>-0.73470105361194693</v>
      </c>
      <c r="AX262" s="14">
        <v>-0.89649009137302571</v>
      </c>
      <c r="AY262" s="14">
        <v>0.12860525563402239</v>
      </c>
      <c r="AZ262" s="14">
        <v>-0.89020582655670466</v>
      </c>
      <c r="BA262" s="14">
        <v>-0.82096671110811104</v>
      </c>
      <c r="BB262" s="14">
        <v>0.70994128886834484</v>
      </c>
      <c r="BC262" s="14">
        <v>0.28537011749126451</v>
      </c>
      <c r="BD262" s="14">
        <v>0.52216136548765757</v>
      </c>
      <c r="BE262" s="14">
        <v>9.7015477982735812E-2</v>
      </c>
      <c r="BF262" s="14">
        <v>0.89161461448990054</v>
      </c>
      <c r="BK262" s="16">
        <v>-0.63321580470431382</v>
      </c>
      <c r="BL262" s="16">
        <v>0.40524245509274237</v>
      </c>
      <c r="BN262" s="17">
        <f t="shared" si="11"/>
        <v>1</v>
      </c>
    </row>
    <row r="263" spans="1:66" x14ac:dyDescent="0.2">
      <c r="A263">
        <v>0.89059265088307171</v>
      </c>
      <c r="B263">
        <v>0.99809696079551813</v>
      </c>
      <c r="C263">
        <v>0.75933030530088619</v>
      </c>
      <c r="D263">
        <v>0.77475583715251528</v>
      </c>
      <c r="E263">
        <v>-0.78237577909054035</v>
      </c>
      <c r="F263">
        <v>-0.77449612008841773</v>
      </c>
      <c r="G263">
        <v>-0.56183009425125729</v>
      </c>
      <c r="H263">
        <v>0.70393800787693228</v>
      </c>
      <c r="I263">
        <v>0.56531936787468862</v>
      </c>
      <c r="J263">
        <v>-0.52209987961370929</v>
      </c>
      <c r="M263" s="13">
        <v>1</v>
      </c>
      <c r="O263" s="10">
        <f t="shared" si="12"/>
        <v>0</v>
      </c>
      <c r="P263" s="10">
        <f t="shared" si="13"/>
        <v>1</v>
      </c>
      <c r="R263" s="14">
        <v>-0.86156923114545469</v>
      </c>
      <c r="S263" s="14">
        <v>1.0229768168521807</v>
      </c>
      <c r="T263" s="14">
        <v>-0.21217077877232637</v>
      </c>
      <c r="U263" s="14">
        <v>-0.5793768622160439</v>
      </c>
      <c r="V263" s="14">
        <v>-6.6413289433979061E-2</v>
      </c>
      <c r="W263" s="14">
        <v>0.65872498019913794</v>
      </c>
      <c r="X263" s="14">
        <v>-1.3017255491571744</v>
      </c>
      <c r="Y263" s="14">
        <v>-1.1160390651113534</v>
      </c>
      <c r="Z263" s="14">
        <v>-0.23741551340055267</v>
      </c>
      <c r="AA263" s="14">
        <v>1.0680545939754942</v>
      </c>
      <c r="AB263" s="14">
        <v>1.6985370629797512</v>
      </c>
      <c r="AC263" s="14">
        <v>-0.78933000785244101</v>
      </c>
      <c r="AD263" s="14">
        <v>-0.73525464177407185</v>
      </c>
      <c r="AE263" s="14">
        <v>1.4523151063418869</v>
      </c>
      <c r="AF263" s="14">
        <v>-1.0864748621441793</v>
      </c>
      <c r="AG263" s="14">
        <v>-0.237765942247955</v>
      </c>
      <c r="AH263" s="14">
        <v>-1.0533622831788094</v>
      </c>
      <c r="AI263" s="14">
        <v>-1.5959534889763711</v>
      </c>
      <c r="AJ263" s="14">
        <v>-0.52359646160876627</v>
      </c>
      <c r="AK263" s="14">
        <v>0.1609371983295721</v>
      </c>
      <c r="AM263" s="14">
        <v>-0.59394726354700167</v>
      </c>
      <c r="AN263" s="14">
        <v>0.65961756886502576</v>
      </c>
      <c r="AO263" s="14">
        <v>0.61382842927056158</v>
      </c>
      <c r="AP263" s="14">
        <v>0.65771620424323562</v>
      </c>
      <c r="AQ263" s="14">
        <v>0.88901888158871156</v>
      </c>
      <c r="AR263" s="14">
        <v>0.2321599890447644</v>
      </c>
      <c r="AS263" s="14">
        <v>-0.86826710547640706</v>
      </c>
      <c r="AT263" s="14">
        <v>-0.17975559854955783</v>
      </c>
      <c r="AU263" s="14">
        <v>0.79617587338674367</v>
      </c>
      <c r="AV263" s="14">
        <v>0.59530576648368516</v>
      </c>
      <c r="AW263" s="14">
        <v>-0.84634946678190415</v>
      </c>
      <c r="AX263" s="14">
        <v>0.34738225544963447</v>
      </c>
      <c r="AY263" s="14">
        <v>-0.78841814876826455</v>
      </c>
      <c r="AZ263" s="14">
        <v>0.68674506861545292</v>
      </c>
      <c r="BA263" s="14">
        <v>-0.27416635306995929</v>
      </c>
      <c r="BB263" s="14">
        <v>0.6551040260502613</v>
      </c>
      <c r="BC263" s="14">
        <v>-0.37873103284221521</v>
      </c>
      <c r="BD263" s="14">
        <v>-0.63538946005670183</v>
      </c>
      <c r="BE263" s="14">
        <v>-0.84665014080055268</v>
      </c>
      <c r="BF263" s="14">
        <v>0.61637766906508384</v>
      </c>
      <c r="BK263" s="16">
        <v>0.75775083308473901</v>
      </c>
      <c r="BL263" s="16">
        <v>-0.22312163002534882</v>
      </c>
      <c r="BN263" s="17">
        <f t="shared" si="11"/>
        <v>0</v>
      </c>
    </row>
    <row r="264" spans="1:66" x14ac:dyDescent="0.2">
      <c r="A264">
        <v>0.8734364657834266</v>
      </c>
      <c r="B264">
        <v>0.77005890144569311</v>
      </c>
      <c r="C264">
        <v>0.90043602880346851</v>
      </c>
      <c r="D264">
        <v>0.81706952640296826</v>
      </c>
      <c r="E264">
        <v>0.41446943301235728</v>
      </c>
      <c r="F264">
        <v>6.9305217239211264E-2</v>
      </c>
      <c r="G264">
        <v>0.63182167472692075</v>
      </c>
      <c r="H264">
        <v>0.81574137219667908</v>
      </c>
      <c r="I264">
        <v>0.70170313299540155</v>
      </c>
      <c r="J264">
        <v>0.53291399605828615</v>
      </c>
      <c r="M264" s="13">
        <v>1</v>
      </c>
      <c r="O264" s="10">
        <f t="shared" si="12"/>
        <v>0</v>
      </c>
      <c r="P264" s="10">
        <f t="shared" si="13"/>
        <v>1</v>
      </c>
      <c r="R264" s="14">
        <v>0.47979254279417138</v>
      </c>
      <c r="S264" s="14">
        <v>1.0346571779492388</v>
      </c>
      <c r="T264" s="14">
        <v>0.4205478208585739</v>
      </c>
      <c r="U264" s="14">
        <v>-0.33664931036538615</v>
      </c>
      <c r="V264" s="14">
        <v>1.2128271937038979</v>
      </c>
      <c r="W264" s="14">
        <v>0.40195556480292932</v>
      </c>
      <c r="X264" s="14">
        <v>-1.4657888786508466</v>
      </c>
      <c r="Y264" s="14">
        <v>-1.0997684536278698</v>
      </c>
      <c r="Z264" s="14">
        <v>9.1989346292132401E-2</v>
      </c>
      <c r="AA264" s="14">
        <v>1.2081464665937649</v>
      </c>
      <c r="AB264" s="14">
        <v>0.94726096583874986</v>
      </c>
      <c r="AC264" s="14">
        <v>1.0359004436700419</v>
      </c>
      <c r="AD264" s="14">
        <v>-0.80708111017079454</v>
      </c>
      <c r="AE264" s="14">
        <v>1.6891909718436651</v>
      </c>
      <c r="AF264" s="14">
        <v>3.5268695535027095E-2</v>
      </c>
      <c r="AG264" s="14">
        <v>-0.37478039268753105</v>
      </c>
      <c r="AH264" s="14">
        <v>-1.15793100043007</v>
      </c>
      <c r="AI264" s="14">
        <v>-1.5998154777078848</v>
      </c>
      <c r="AJ264" s="14">
        <v>-0.54065349547074093</v>
      </c>
      <c r="AK264" s="14">
        <v>-0.85849146062701742</v>
      </c>
      <c r="AM264" s="14">
        <v>-8.6415775978704687E-2</v>
      </c>
      <c r="AN264" s="14">
        <v>-0.75467984812442479</v>
      </c>
      <c r="AO264" s="14">
        <v>-0.46262123664057259</v>
      </c>
      <c r="AP264" s="14">
        <v>-0.10431343652661554</v>
      </c>
      <c r="AQ264" s="14">
        <v>-0.87098352440201676</v>
      </c>
      <c r="AR264" s="14">
        <v>0.20596068604817996</v>
      </c>
      <c r="AS264" s="14">
        <v>0.85661400584294811</v>
      </c>
      <c r="AT264" s="14">
        <v>0.50844850144066389</v>
      </c>
      <c r="AU264" s="14">
        <v>-0.73246394508060408</v>
      </c>
      <c r="AV264" s="14">
        <v>-0.69927397290421789</v>
      </c>
      <c r="AW264" s="14">
        <v>0.37915624165504475</v>
      </c>
      <c r="AX264" s="14">
        <v>-0.52495689526890965</v>
      </c>
      <c r="AY264" s="14">
        <v>0.67971336620179124</v>
      </c>
      <c r="AZ264" s="14">
        <v>-0.83914075996450443</v>
      </c>
      <c r="BA264" s="14">
        <v>-4.4338189889062858E-2</v>
      </c>
      <c r="BB264" s="14">
        <v>-0.46161779306568457</v>
      </c>
      <c r="BC264" s="14">
        <v>0.57363742589304456</v>
      </c>
      <c r="BD264" s="14">
        <v>0.6698946967859728</v>
      </c>
      <c r="BE264" s="14">
        <v>0.79448535220489858</v>
      </c>
      <c r="BF264" s="14">
        <v>-0.39871146529573792</v>
      </c>
      <c r="BK264" s="16">
        <v>0.81380173285621982</v>
      </c>
      <c r="BL264" s="16">
        <v>-0.30099628078449148</v>
      </c>
      <c r="BN264" s="17">
        <f t="shared" si="11"/>
        <v>0</v>
      </c>
    </row>
    <row r="265" spans="1:66" x14ac:dyDescent="0.2">
      <c r="A265">
        <v>0.39306328299338189</v>
      </c>
      <c r="B265">
        <v>9.5752811970403987E-2</v>
      </c>
      <c r="C265">
        <v>0.3028117880866501</v>
      </c>
      <c r="D265">
        <v>0.27246068244475458</v>
      </c>
      <c r="E265">
        <v>-0.90763566619571923</v>
      </c>
      <c r="F265">
        <v>-0.61109174709432212</v>
      </c>
      <c r="G265">
        <v>-0.55927409474595069</v>
      </c>
      <c r="H265">
        <v>0.30227406939487811</v>
      </c>
      <c r="I265">
        <v>0.1590020208786945</v>
      </c>
      <c r="J265">
        <v>-0.47223194198435869</v>
      </c>
      <c r="M265" s="13">
        <v>1</v>
      </c>
      <c r="O265" s="10">
        <f t="shared" si="12"/>
        <v>0</v>
      </c>
      <c r="P265" s="10">
        <f t="shared" si="13"/>
        <v>1</v>
      </c>
      <c r="R265" s="14">
        <v>-0.85789006222746145</v>
      </c>
      <c r="S265" s="14">
        <v>-1.1291875925895001</v>
      </c>
      <c r="T265" s="14">
        <v>-0.69333395916936436</v>
      </c>
      <c r="U265" s="14">
        <v>-7.5790166341633824E-2</v>
      </c>
      <c r="V265" s="14">
        <v>-0.32419635410541214</v>
      </c>
      <c r="W265" s="14">
        <v>1.3624779659672637</v>
      </c>
      <c r="X265" s="14">
        <v>1.0647162032831834</v>
      </c>
      <c r="Y265" s="14">
        <v>1.11293526005448</v>
      </c>
      <c r="Z265" s="14">
        <v>-0.90553785215243365</v>
      </c>
      <c r="AA265" s="14">
        <v>-0.24643477010250237</v>
      </c>
      <c r="AB265" s="14">
        <v>-1.0869992343191472</v>
      </c>
      <c r="AC265" s="14">
        <v>-0.4053906147953158</v>
      </c>
      <c r="AD265" s="14">
        <v>0.96177172706944136</v>
      </c>
      <c r="AE265" s="14">
        <v>-0.66252072011104812</v>
      </c>
      <c r="AF265" s="14">
        <v>-0.36827231604550981</v>
      </c>
      <c r="AG265" s="14">
        <v>0.76955600357138065</v>
      </c>
      <c r="AH265" s="14">
        <v>-8.1233754216248011E-2</v>
      </c>
      <c r="AI265" s="14">
        <v>0.32694901204805626</v>
      </c>
      <c r="AJ265" s="14">
        <v>1.4162377122784462</v>
      </c>
      <c r="AK265" s="14">
        <v>0.17964229080538319</v>
      </c>
      <c r="AM265" s="14">
        <v>-0.1349476107995625</v>
      </c>
      <c r="AN265" s="14">
        <v>-0.46171821197008717</v>
      </c>
      <c r="AO265" s="14">
        <v>-7.6030905298673596E-2</v>
      </c>
      <c r="AP265" s="14">
        <v>0.52386456998481423</v>
      </c>
      <c r="AQ265" s="14">
        <v>1.224706881337621E-2</v>
      </c>
      <c r="AR265" s="14">
        <v>3.8633239082985292E-2</v>
      </c>
      <c r="AS265" s="14">
        <v>0.42429001796254029</v>
      </c>
      <c r="AT265" s="14">
        <v>0.44281247247667366</v>
      </c>
      <c r="AU265" s="14">
        <v>-0.12266745060925341</v>
      </c>
      <c r="AV265" s="14">
        <v>9.9904557264696645E-3</v>
      </c>
      <c r="AW265" s="14">
        <v>-0.60934269379062345</v>
      </c>
      <c r="AX265" s="14">
        <v>-0.24372434072498317</v>
      </c>
      <c r="AY265" s="14">
        <v>0.3461909531613212</v>
      </c>
      <c r="AZ265" s="14">
        <v>-0.44112277769509722</v>
      </c>
      <c r="BA265" s="14">
        <v>0.10305259420147296</v>
      </c>
      <c r="BB265" s="14">
        <v>0.40875717909777959</v>
      </c>
      <c r="BC265" s="14">
        <v>0.24825840686176553</v>
      </c>
      <c r="BD265" s="14">
        <v>0.44797913227679953</v>
      </c>
      <c r="BE265" s="14">
        <v>0.18845627223673198</v>
      </c>
      <c r="BF265" s="14">
        <v>-0.14679841362860341</v>
      </c>
      <c r="BK265" s="16">
        <v>0.62556813725716609</v>
      </c>
      <c r="BL265" s="16">
        <v>-0.23324556761175352</v>
      </c>
      <c r="BN265" s="17">
        <f t="shared" si="11"/>
        <v>0</v>
      </c>
    </row>
    <row r="266" spans="1:66" x14ac:dyDescent="0.2">
      <c r="A266">
        <v>0.84484282395068644</v>
      </c>
      <c r="B266">
        <v>0.75534676858441441</v>
      </c>
      <c r="C266">
        <v>0.78423131533075341</v>
      </c>
      <c r="D266">
        <v>0.7609391222952242</v>
      </c>
      <c r="E266">
        <v>-0.27966362090135732</v>
      </c>
      <c r="F266">
        <v>-9.5454513679548297E-3</v>
      </c>
      <c r="G266">
        <v>0.3813337232068747</v>
      </c>
      <c r="H266">
        <v>1.06212286023464</v>
      </c>
      <c r="I266">
        <v>0.95144483276190184</v>
      </c>
      <c r="J266">
        <v>1.215790259090834</v>
      </c>
      <c r="M266" s="13">
        <v>1</v>
      </c>
      <c r="O266" s="10">
        <f t="shared" si="12"/>
        <v>0</v>
      </c>
      <c r="P266" s="10">
        <f t="shared" si="13"/>
        <v>1</v>
      </c>
      <c r="R266" s="14">
        <v>-0.86173026755411974</v>
      </c>
      <c r="S266" s="14">
        <v>-1.1273440529624521</v>
      </c>
      <c r="T266" s="14">
        <v>-0.55923802970439529</v>
      </c>
      <c r="U266" s="14">
        <v>0.22509848544049871</v>
      </c>
      <c r="V266" s="14">
        <v>-6.2894583710274676E-2</v>
      </c>
      <c r="W266" s="14">
        <v>1.454384824855139</v>
      </c>
      <c r="X266" s="14">
        <v>1.0633718883486338</v>
      </c>
      <c r="Y266" s="14">
        <v>0.78847450916703243</v>
      </c>
      <c r="Z266" s="14">
        <v>-1.1620979762712742</v>
      </c>
      <c r="AA266" s="14">
        <v>-9.1246663354146995E-2</v>
      </c>
      <c r="AB266" s="14">
        <v>-1.2006102032192913</v>
      </c>
      <c r="AC266" s="14">
        <v>-0.40875076359751106</v>
      </c>
      <c r="AD266" s="14">
        <v>0.15777564179411285</v>
      </c>
      <c r="AE266" s="14">
        <v>-0.66253245869280231</v>
      </c>
      <c r="AF266" s="14">
        <v>-0.37986273291787009</v>
      </c>
      <c r="AG266" s="14">
        <v>1.2805926447215974</v>
      </c>
      <c r="AH266" s="14">
        <v>-0.20651226746262941</v>
      </c>
      <c r="AI266" s="14">
        <v>0.30014455800711637</v>
      </c>
      <c r="AJ266" s="14">
        <v>0.5380964658618278</v>
      </c>
      <c r="AK266" s="14">
        <v>0.33418142011753349</v>
      </c>
      <c r="AM266" s="14">
        <v>-0.11121367031069014</v>
      </c>
      <c r="AN266" s="14">
        <v>0.92911637281076065</v>
      </c>
      <c r="AO266" s="14">
        <v>0.72470268801539106</v>
      </c>
      <c r="AP266" s="14">
        <v>0.81706463428944087</v>
      </c>
      <c r="AQ266" s="14">
        <v>0.93835520121701155</v>
      </c>
      <c r="AR266" s="14">
        <v>-0.22220042891141592</v>
      </c>
      <c r="AS266" s="14">
        <v>-0.96502153079819375</v>
      </c>
      <c r="AT266" s="14">
        <v>-0.56320325303916052</v>
      </c>
      <c r="AU266" s="14">
        <v>0.88331720622838161</v>
      </c>
      <c r="AV266" s="14">
        <v>0.85743428817852563</v>
      </c>
      <c r="AW266" s="14">
        <v>-0.60314177120382384</v>
      </c>
      <c r="AX266" s="14">
        <v>0.6489218689508619</v>
      </c>
      <c r="AY266" s="14">
        <v>-0.9185594162813645</v>
      </c>
      <c r="AZ266" s="14">
        <v>0.94609689490425575</v>
      </c>
      <c r="BA266" s="14">
        <v>0.27104816906408524</v>
      </c>
      <c r="BB266" s="14">
        <v>0.74996847920964704</v>
      </c>
      <c r="BC266" s="14">
        <v>-0.50087036409678243</v>
      </c>
      <c r="BD266" s="14">
        <v>-0.91110981855598894</v>
      </c>
      <c r="BE266" s="14">
        <v>-0.95122531563427726</v>
      </c>
      <c r="BF266" s="14">
        <v>0.54290678622860522</v>
      </c>
      <c r="BK266" s="16">
        <v>0.58686714892653413</v>
      </c>
      <c r="BL266" s="16">
        <v>-0.24332607419815327</v>
      </c>
      <c r="BN266" s="17">
        <f t="shared" si="11"/>
        <v>0</v>
      </c>
    </row>
    <row r="267" spans="1:66" x14ac:dyDescent="0.2">
      <c r="A267">
        <v>1.857057744829709</v>
      </c>
      <c r="B267">
        <v>2.9744268084940022</v>
      </c>
      <c r="C267">
        <v>1.784421884863761</v>
      </c>
      <c r="D267">
        <v>2.1734103682270192</v>
      </c>
      <c r="E267">
        <v>0.17287024423382211</v>
      </c>
      <c r="F267">
        <v>0.56187393795661777</v>
      </c>
      <c r="G267">
        <v>0.92295001838134139</v>
      </c>
      <c r="H267">
        <v>3.3209649060280468</v>
      </c>
      <c r="I267">
        <v>4.4867954195273958</v>
      </c>
      <c r="J267">
        <v>0.72909116811368913</v>
      </c>
      <c r="M267" s="13">
        <v>1</v>
      </c>
      <c r="O267" s="10">
        <f t="shared" si="12"/>
        <v>0</v>
      </c>
      <c r="P267" s="10">
        <f t="shared" si="13"/>
        <v>1</v>
      </c>
      <c r="R267" s="14">
        <v>-1.0632099852509871</v>
      </c>
      <c r="S267" s="14">
        <v>1.0160843509251867</v>
      </c>
      <c r="T267" s="14">
        <v>0.44293415128238389</v>
      </c>
      <c r="U267" s="14">
        <v>0.21738161237803089</v>
      </c>
      <c r="V267" s="14">
        <v>1.503968959536953</v>
      </c>
      <c r="W267" s="14">
        <v>0.52325773087071159</v>
      </c>
      <c r="X267" s="14">
        <v>-1.4659080399458884</v>
      </c>
      <c r="Y267" s="14">
        <v>0.20024555867819405</v>
      </c>
      <c r="Z267" s="14">
        <v>1.5387507489100534</v>
      </c>
      <c r="AA267" s="14">
        <v>1.2080427208104836</v>
      </c>
      <c r="AB267" s="14">
        <v>-0.28835942518487978</v>
      </c>
      <c r="AC267" s="14">
        <v>1.0372281830384331</v>
      </c>
      <c r="AD267" s="14">
        <v>-0.81490223664406858</v>
      </c>
      <c r="AE267" s="14">
        <v>1.6853492820395883</v>
      </c>
      <c r="AF267" s="14">
        <v>5.3248035211506006E-2</v>
      </c>
      <c r="AG267" s="14">
        <v>0.28387774962910273</v>
      </c>
      <c r="AH267" s="14">
        <v>-1.0820400082999451</v>
      </c>
      <c r="AI267" s="14">
        <v>-1.590492803975823</v>
      </c>
      <c r="AJ267" s="14">
        <v>-0.55675358147599052</v>
      </c>
      <c r="AK267" s="14">
        <v>0.17594215787815237</v>
      </c>
      <c r="AM267" s="14">
        <v>0.22965434406070698</v>
      </c>
      <c r="AN267" s="14">
        <v>0.4224103928129273</v>
      </c>
      <c r="AO267" s="14">
        <v>0.58414939962422163</v>
      </c>
      <c r="AP267" s="14">
        <v>0.72383765087495533</v>
      </c>
      <c r="AQ267" s="14">
        <v>0.82294094888714864</v>
      </c>
      <c r="AR267" s="14">
        <v>-0.6824574402592043</v>
      </c>
      <c r="AS267" s="14">
        <v>-0.78250670025185409</v>
      </c>
      <c r="AT267" s="14">
        <v>0.35958130926307336</v>
      </c>
      <c r="AU267" s="14">
        <v>0.90607758480003686</v>
      </c>
      <c r="AV267" s="14">
        <v>0.54985198653889</v>
      </c>
      <c r="AW267" s="14">
        <v>-0.87887142642082239</v>
      </c>
      <c r="AX267" s="14">
        <v>0.56246105532826896</v>
      </c>
      <c r="AY267" s="14">
        <v>-0.57650123882141135</v>
      </c>
      <c r="AZ267" s="14">
        <v>0.67753336077602078</v>
      </c>
      <c r="BA267" s="14">
        <v>0.4542097723812642</v>
      </c>
      <c r="BB267" s="14">
        <v>0.52474260264941663</v>
      </c>
      <c r="BC267" s="14">
        <v>-0.11502659870197458</v>
      </c>
      <c r="BD267" s="14">
        <v>-0.40542356020454706</v>
      </c>
      <c r="BE267" s="14">
        <v>-0.73805335975442243</v>
      </c>
      <c r="BF267" s="14">
        <v>-0.24386199606405437</v>
      </c>
      <c r="BK267" s="16">
        <v>0.77398499402620113</v>
      </c>
      <c r="BL267" s="16">
        <v>-0.27208598713203491</v>
      </c>
      <c r="BN267" s="17">
        <f t="shared" si="11"/>
        <v>0</v>
      </c>
    </row>
    <row r="268" spans="1:66" x14ac:dyDescent="0.2">
      <c r="A268">
        <v>-1.03947817282693</v>
      </c>
      <c r="B268">
        <v>-9.6841402020956986E-3</v>
      </c>
      <c r="C268">
        <v>-0.97211992544256187</v>
      </c>
      <c r="D268">
        <v>-0.91404970592509638</v>
      </c>
      <c r="E268">
        <v>0.1803040654270078</v>
      </c>
      <c r="F268">
        <v>-0.34106540082638559</v>
      </c>
      <c r="G268">
        <v>-0.61167208460473577</v>
      </c>
      <c r="H268">
        <v>-0.94619683217562978</v>
      </c>
      <c r="I268">
        <v>-0.83961053464153879</v>
      </c>
      <c r="J268">
        <v>-0.56837373164815186</v>
      </c>
      <c r="M268" s="13">
        <v>0</v>
      </c>
      <c r="O268" s="10">
        <f t="shared" si="12"/>
        <v>1</v>
      </c>
      <c r="P268" s="10">
        <f t="shared" si="13"/>
        <v>0</v>
      </c>
      <c r="R268" s="14">
        <v>-0.35862634215112277</v>
      </c>
      <c r="S268" s="14">
        <v>-1.1291140449724049</v>
      </c>
      <c r="T268" s="14">
        <v>-0.75570152103409594</v>
      </c>
      <c r="U268" s="14">
        <v>-0.64389894770402223</v>
      </c>
      <c r="V268" s="14">
        <v>-0.66826077393258132</v>
      </c>
      <c r="W268" s="14">
        <v>0.2678846318728656</v>
      </c>
      <c r="X268" s="14">
        <v>1.0654096499303458</v>
      </c>
      <c r="Y268" s="14">
        <v>1.0152856733250708</v>
      </c>
      <c r="Z268" s="14">
        <v>-0.78882981245965655</v>
      </c>
      <c r="AA268" s="14">
        <v>-0.29228665463601178</v>
      </c>
      <c r="AB268" s="14">
        <v>0.71581751613956823</v>
      </c>
      <c r="AC268" s="14">
        <v>-0.30374470482889726</v>
      </c>
      <c r="AD268" s="14">
        <v>1.1213303504003695</v>
      </c>
      <c r="AE268" s="14">
        <v>-0.66199391396229279</v>
      </c>
      <c r="AF268" s="14">
        <v>-0.16347711673007048</v>
      </c>
      <c r="AG268" s="14">
        <v>-0.59878815260636176</v>
      </c>
      <c r="AH268" s="14">
        <v>0.12798509570455807</v>
      </c>
      <c r="AI268" s="14">
        <v>0.33221803179770104</v>
      </c>
      <c r="AJ268" s="14">
        <v>1.5665859715474357</v>
      </c>
      <c r="AK268" s="14">
        <v>-1.1927808522990762</v>
      </c>
      <c r="AM268" s="14">
        <v>-0.85678483974461872</v>
      </c>
      <c r="AN268" s="14">
        <v>7.7380196789929218E-2</v>
      </c>
      <c r="AO268" s="14">
        <v>2.5586054456943595E-2</v>
      </c>
      <c r="AP268" s="14">
        <v>0.20299207524719781</v>
      </c>
      <c r="AQ268" s="14">
        <v>0.4286517834106251</v>
      </c>
      <c r="AR268" s="14">
        <v>0.80158500836726398</v>
      </c>
      <c r="AS268" s="14">
        <v>-0.16519685779745358</v>
      </c>
      <c r="AT268" s="14">
        <v>-0.22415949886692801</v>
      </c>
      <c r="AU268" s="14">
        <v>-0.30094770927117437</v>
      </c>
      <c r="AV268" s="14">
        <v>8.7370969102134557E-2</v>
      </c>
      <c r="AW268" s="14">
        <v>-0.51735014023978576</v>
      </c>
      <c r="AX268" s="14">
        <v>-0.48319738413756791</v>
      </c>
      <c r="AY268" s="14">
        <v>-0.29463175505029016</v>
      </c>
      <c r="AZ268" s="14">
        <v>-0.2277940476230626</v>
      </c>
      <c r="BA268" s="14">
        <v>-0.66543871350322126</v>
      </c>
      <c r="BB268" s="14">
        <v>0.51700838679340588</v>
      </c>
      <c r="BC268" s="14">
        <v>-0.24768379250080438</v>
      </c>
      <c r="BD268" s="14">
        <v>-8.6596415740102239E-2</v>
      </c>
      <c r="BE268" s="14">
        <v>-0.32872089138653721</v>
      </c>
      <c r="BF268" s="14">
        <v>0.80144670357910086</v>
      </c>
      <c r="BK268" s="16">
        <v>-1.8191372200841244E-2</v>
      </c>
      <c r="BL268" s="16">
        <v>0.84470269442839718</v>
      </c>
      <c r="BN268" s="17">
        <f t="shared" si="11"/>
        <v>1</v>
      </c>
    </row>
    <row r="269" spans="1:66" x14ac:dyDescent="0.2">
      <c r="A269">
        <v>-0.18452828202798141</v>
      </c>
      <c r="B269">
        <v>0.6989502592828446</v>
      </c>
      <c r="C269">
        <v>-0.2300698265525129</v>
      </c>
      <c r="D269">
        <v>-0.29632741251371841</v>
      </c>
      <c r="E269">
        <v>-0.41644593085597431</v>
      </c>
      <c r="F269">
        <v>-0.6280768753949223</v>
      </c>
      <c r="G269">
        <v>-0.73947205987006526</v>
      </c>
      <c r="H269">
        <v>-0.34163049177996091</v>
      </c>
      <c r="I269">
        <v>-0.42036329822500951</v>
      </c>
      <c r="J269">
        <v>-0.82849567657962897</v>
      </c>
      <c r="M269" s="13">
        <v>0</v>
      </c>
      <c r="O269" s="10">
        <f t="shared" si="12"/>
        <v>1</v>
      </c>
      <c r="P269" s="10">
        <f t="shared" si="13"/>
        <v>0</v>
      </c>
      <c r="R269" s="14">
        <v>-0.29574882096714872</v>
      </c>
      <c r="S269" s="14">
        <v>-1.0907779905530921</v>
      </c>
      <c r="T269" s="14">
        <v>-0.23026794375767454</v>
      </c>
      <c r="U269" s="14">
        <v>6.5595900627842374E-2</v>
      </c>
      <c r="V269" s="14">
        <v>0.24146637078788397</v>
      </c>
      <c r="W269" s="14">
        <v>0.36886607073829647</v>
      </c>
      <c r="X269" s="14">
        <v>1.0385169511367125</v>
      </c>
      <c r="Y269" s="14">
        <v>1.045591927813875</v>
      </c>
      <c r="Z269" s="14">
        <v>-0.23343539507966071</v>
      </c>
      <c r="AA269" s="14">
        <v>0.58025038024234843</v>
      </c>
      <c r="AB269" s="14">
        <v>-1.1457116549346382</v>
      </c>
      <c r="AC269" s="14">
        <v>-0.23463991850750288</v>
      </c>
      <c r="AD269" s="14">
        <v>0.98032262875255149</v>
      </c>
      <c r="AE269" s="14">
        <v>-0.64668447405023222</v>
      </c>
      <c r="AF269" s="14">
        <v>0.36295668936594061</v>
      </c>
      <c r="AG269" s="14">
        <v>0.8846132285071181</v>
      </c>
      <c r="AH269" s="14">
        <v>-0.21379067408465358</v>
      </c>
      <c r="AI269" s="14">
        <v>0.29158912893383115</v>
      </c>
      <c r="AJ269" s="14">
        <v>1.1053414896030047</v>
      </c>
      <c r="AK269" s="14">
        <v>-0.83747701683469256</v>
      </c>
      <c r="AM269" s="14">
        <v>-0.96891448262386881</v>
      </c>
      <c r="AN269" s="14">
        <v>0.92602883103658074</v>
      </c>
      <c r="AO269" s="14">
        <v>0.66907823269471489</v>
      </c>
      <c r="AP269" s="14">
        <v>0.94203110229190268</v>
      </c>
      <c r="AQ269" s="14">
        <v>0.92677040795266707</v>
      </c>
      <c r="AR269" s="14">
        <v>0.93971621231534375</v>
      </c>
      <c r="AS269" s="14">
        <v>-0.98518924633300098</v>
      </c>
      <c r="AT269" s="14">
        <v>-0.93769377086393868</v>
      </c>
      <c r="AU269" s="14">
        <v>0.24742104912990745</v>
      </c>
      <c r="AV269" s="14">
        <v>0.82543349832013735</v>
      </c>
      <c r="AW269" s="14">
        <v>-0.6096049211062512</v>
      </c>
      <c r="AX269" s="14">
        <v>-0.53638482106262786</v>
      </c>
      <c r="AY269" s="14">
        <v>-0.97416114670638043</v>
      </c>
      <c r="AZ269" s="14">
        <v>0.84136348079924628</v>
      </c>
      <c r="BA269" s="14">
        <v>-0.82308329786435874</v>
      </c>
      <c r="BB269" s="14">
        <v>0.79394115730660275</v>
      </c>
      <c r="BC269" s="14">
        <v>-0.70959556440120142</v>
      </c>
      <c r="BD269" s="14">
        <v>-0.92633216203329416</v>
      </c>
      <c r="BE269" s="14">
        <v>-0.98352056559967393</v>
      </c>
      <c r="BF269" s="14">
        <v>0.96543222281058927</v>
      </c>
      <c r="BK269" s="16">
        <v>0.72921679487394053</v>
      </c>
      <c r="BL269" s="16">
        <v>-0.15525483414964486</v>
      </c>
      <c r="BN269" s="17">
        <f t="shared" si="11"/>
        <v>0</v>
      </c>
    </row>
    <row r="270" spans="1:66" x14ac:dyDescent="0.2">
      <c r="A270">
        <v>-0.39040250322371511</v>
      </c>
      <c r="B270">
        <v>-0.68153820753383798</v>
      </c>
      <c r="C270">
        <v>-0.42844787312379012</v>
      </c>
      <c r="D270">
        <v>-0.43679734689617511</v>
      </c>
      <c r="E270">
        <v>-0.79557081170844479</v>
      </c>
      <c r="F270">
        <v>-0.6494012700496905</v>
      </c>
      <c r="G270">
        <v>-0.87417323379972278</v>
      </c>
      <c r="H270">
        <v>-0.52796943231287263</v>
      </c>
      <c r="I270">
        <v>-0.53372123287079687</v>
      </c>
      <c r="J270">
        <v>-0.889744885259522</v>
      </c>
      <c r="M270" s="13">
        <v>0</v>
      </c>
      <c r="O270" s="10">
        <f t="shared" si="12"/>
        <v>1</v>
      </c>
      <c r="P270" s="10">
        <f t="shared" si="13"/>
        <v>0</v>
      </c>
      <c r="R270" s="14">
        <v>9.7978492112607563E-3</v>
      </c>
      <c r="S270" s="14">
        <v>1.03582032130319</v>
      </c>
      <c r="T270" s="14">
        <v>0.45007657674845136</v>
      </c>
      <c r="U270" s="14">
        <v>0.41556886258951564</v>
      </c>
      <c r="V270" s="14">
        <v>1.5051564423059194</v>
      </c>
      <c r="W270" s="14">
        <v>0.15157884390289406</v>
      </c>
      <c r="X270" s="14">
        <v>-1.4659127708945794</v>
      </c>
      <c r="Y270" s="14">
        <v>-0.32758647246607464</v>
      </c>
      <c r="Z270" s="14">
        <v>1.6547832449181987</v>
      </c>
      <c r="AA270" s="14">
        <v>1.2163023090179084</v>
      </c>
      <c r="AB270" s="14">
        <v>-0.28839115074991939</v>
      </c>
      <c r="AC270" s="14">
        <v>1.0649770900402329</v>
      </c>
      <c r="AD270" s="14">
        <v>-0.81583516631153208</v>
      </c>
      <c r="AE270" s="14">
        <v>1.6894092757029262</v>
      </c>
      <c r="AF270" s="14">
        <v>0.2494087904501644</v>
      </c>
      <c r="AG270" s="14">
        <v>0.29000100168280762</v>
      </c>
      <c r="AH270" s="14">
        <v>-1.2033527584572947</v>
      </c>
      <c r="AI270" s="14">
        <v>-1.6036182750803085</v>
      </c>
      <c r="AJ270" s="14">
        <v>-0.55690820237249516</v>
      </c>
      <c r="AK270" s="14">
        <v>7.2790736675057088E-2</v>
      </c>
      <c r="AM270" s="14">
        <v>0.44336689971722482</v>
      </c>
      <c r="AN270" s="14">
        <v>-0.40223930010537001</v>
      </c>
      <c r="AO270" s="14">
        <v>-9.1930593500512955E-2</v>
      </c>
      <c r="AP270" s="14">
        <v>-5.4644185808862301E-2</v>
      </c>
      <c r="AQ270" s="14">
        <v>-0.24562131422809205</v>
      </c>
      <c r="AR270" s="14">
        <v>-0.29919204121182813</v>
      </c>
      <c r="AS270" s="14">
        <v>0.42782125705778018</v>
      </c>
      <c r="AT270" s="14">
        <v>0.46446198213289946</v>
      </c>
      <c r="AU270" s="14">
        <v>0.12911050236333002</v>
      </c>
      <c r="AV270" s="14">
        <v>-0.2058776107673542</v>
      </c>
      <c r="AW270" s="14">
        <v>-0.18774641671513995</v>
      </c>
      <c r="AX270" s="14">
        <v>0.20883593514104437</v>
      </c>
      <c r="AY270" s="14">
        <v>0.40881512571847378</v>
      </c>
      <c r="AZ270" s="14">
        <v>-0.28690609984238136</v>
      </c>
      <c r="BA270" s="14">
        <v>0.2157832172906699</v>
      </c>
      <c r="BB270" s="14">
        <v>-0.23934007380864192</v>
      </c>
      <c r="BC270" s="14">
        <v>0.24268643879153309</v>
      </c>
      <c r="BD270" s="14">
        <v>0.43643886891122541</v>
      </c>
      <c r="BE270" s="14">
        <v>0.4711433719842627</v>
      </c>
      <c r="BF270" s="14">
        <v>-0.53680628094613758</v>
      </c>
      <c r="BK270" s="16">
        <v>-0.11869396827840895</v>
      </c>
      <c r="BL270" s="16">
        <v>0.59752221879785594</v>
      </c>
      <c r="BN270" s="17">
        <f t="shared" si="11"/>
        <v>1</v>
      </c>
    </row>
    <row r="271" spans="1:66" x14ac:dyDescent="0.2">
      <c r="A271">
        <v>-1.008025166810915</v>
      </c>
      <c r="B271">
        <v>0.34340704846860148</v>
      </c>
      <c r="C271">
        <v>-0.96298955509827722</v>
      </c>
      <c r="D271">
        <v>-0.91836742931799975</v>
      </c>
      <c r="E271">
        <v>0.44420471778510001</v>
      </c>
      <c r="F271">
        <v>-8.5544602085239035E-2</v>
      </c>
      <c r="G271">
        <v>-0.55416209573533748</v>
      </c>
      <c r="H271">
        <v>-0.98553505295480026</v>
      </c>
      <c r="I271">
        <v>-0.86511606993684098</v>
      </c>
      <c r="J271">
        <v>-0.46743982785781479</v>
      </c>
      <c r="M271" s="13">
        <v>0</v>
      </c>
      <c r="O271" s="10">
        <f t="shared" si="12"/>
        <v>1</v>
      </c>
      <c r="P271" s="10">
        <f t="shared" si="13"/>
        <v>0</v>
      </c>
      <c r="R271" s="14">
        <v>0.24058036048234388</v>
      </c>
      <c r="S271" s="14">
        <v>0.62873600293097098</v>
      </c>
      <c r="T271" s="14">
        <v>0.43650676075109729</v>
      </c>
      <c r="U271" s="14">
        <v>0.31682827171428596</v>
      </c>
      <c r="V271" s="14">
        <v>1.4998470618141466</v>
      </c>
      <c r="W271" s="14">
        <v>-0.88400904900012911</v>
      </c>
      <c r="X271" s="14">
        <v>-1.4656680312866157</v>
      </c>
      <c r="Y271" s="14">
        <v>0.76306555586101243</v>
      </c>
      <c r="Z271" s="14">
        <v>1.6991021787153304</v>
      </c>
      <c r="AA271" s="14">
        <v>1.192695745095268</v>
      </c>
      <c r="AB271" s="14">
        <v>-0.28836724875092812</v>
      </c>
      <c r="AC271" s="14">
        <v>1.0551524965129724</v>
      </c>
      <c r="AD271" s="14">
        <v>-0.76597713138887447</v>
      </c>
      <c r="AE271" s="14">
        <v>1.6839109257838687</v>
      </c>
      <c r="AF271" s="14">
        <v>0.21070578724587208</v>
      </c>
      <c r="AG271" s="14">
        <v>0.26183067876643529</v>
      </c>
      <c r="AH271" s="14">
        <v>-0.63289766688661775</v>
      </c>
      <c r="AI271" s="14">
        <v>-1.2592759475979696</v>
      </c>
      <c r="AJ271" s="14">
        <v>-0.55287574376088866</v>
      </c>
      <c r="AK271" s="14">
        <v>-0.98870305979611295</v>
      </c>
      <c r="AM271" s="14">
        <v>0.22760010256448701</v>
      </c>
      <c r="AN271" s="14">
        <v>-0.77680827786475526</v>
      </c>
      <c r="AO271" s="14">
        <v>-0.29172583560746951</v>
      </c>
      <c r="AP271" s="14">
        <v>-0.13587996373788758</v>
      </c>
      <c r="AQ271" s="14">
        <v>-0.52920364949654575</v>
      </c>
      <c r="AR271" s="14">
        <v>-0.33785472346973677</v>
      </c>
      <c r="AS271" s="14">
        <v>0.81246917476502456</v>
      </c>
      <c r="AT271" s="14">
        <v>0.81456813147055374</v>
      </c>
      <c r="AU271" s="14">
        <v>-2.4497923754102712E-2</v>
      </c>
      <c r="AV271" s="14">
        <v>-0.55676821599313908</v>
      </c>
      <c r="AW271" s="14">
        <v>-0.43851689642433972</v>
      </c>
      <c r="AX271" s="14">
        <v>-2.9801444909017777E-3</v>
      </c>
      <c r="AY271" s="14">
        <v>0.72630420885437175</v>
      </c>
      <c r="AZ271" s="14">
        <v>-0.73904583983947403</v>
      </c>
      <c r="BA271" s="14">
        <v>0.2423096381872468</v>
      </c>
      <c r="BB271" s="14">
        <v>-0.21961465744793884</v>
      </c>
      <c r="BC271" s="14">
        <v>0.51202436594590683</v>
      </c>
      <c r="BD271" s="14">
        <v>0.75390110939391053</v>
      </c>
      <c r="BE271" s="14">
        <v>0.77111790861025842</v>
      </c>
      <c r="BF271" s="14">
        <v>-0.59057170856149044</v>
      </c>
      <c r="BK271" s="16">
        <v>-0.49022440867469452</v>
      </c>
      <c r="BL271" s="16">
        <v>0.40194036878618083</v>
      </c>
      <c r="BN271" s="17">
        <f t="shared" si="11"/>
        <v>1</v>
      </c>
    </row>
    <row r="272" spans="1:66" x14ac:dyDescent="0.2">
      <c r="A272">
        <v>1.562721080120372E-2</v>
      </c>
      <c r="B272">
        <v>-0.53196485677750116</v>
      </c>
      <c r="C272">
        <v>-9.9754540729540014E-2</v>
      </c>
      <c r="D272">
        <v>-9.0228082559129952E-2</v>
      </c>
      <c r="E272">
        <v>-1.454207369424698</v>
      </c>
      <c r="F272">
        <v>-1.043034717892068</v>
      </c>
      <c r="G272">
        <v>-1.1272171848250749</v>
      </c>
      <c r="H272">
        <v>-0.31885573238149412</v>
      </c>
      <c r="I272">
        <v>-0.37944816868879561</v>
      </c>
      <c r="J272">
        <v>-1.256191862373699</v>
      </c>
      <c r="M272" s="13">
        <v>0</v>
      </c>
      <c r="O272" s="10">
        <f t="shared" si="12"/>
        <v>1</v>
      </c>
      <c r="P272" s="10">
        <f t="shared" si="13"/>
        <v>0</v>
      </c>
      <c r="R272" s="14">
        <v>-0.84117389155096089</v>
      </c>
      <c r="S272" s="14">
        <v>2.4921083622211709E-2</v>
      </c>
      <c r="T272" s="14">
        <v>8.2125881519347188E-2</v>
      </c>
      <c r="U272" s="14">
        <v>-0.52797086829217121</v>
      </c>
      <c r="V272" s="14">
        <v>0.94908617670399176</v>
      </c>
      <c r="W272" s="14">
        <v>1.4142900766139901</v>
      </c>
      <c r="X272" s="14">
        <v>-8.6041453294809125E-2</v>
      </c>
      <c r="Y272" s="14">
        <v>-3.9441677369438266E-2</v>
      </c>
      <c r="Z272" s="14">
        <v>-0.92392105586830431</v>
      </c>
      <c r="AA272" s="14">
        <v>0.89980680637627519</v>
      </c>
      <c r="AB272" s="14">
        <v>-0.97347097415181516</v>
      </c>
      <c r="AC272" s="14">
        <v>-0.35425970118182537</v>
      </c>
      <c r="AD272" s="14">
        <v>-0.55497829470454618</v>
      </c>
      <c r="AE272" s="14">
        <v>-0.63315409856691596</v>
      </c>
      <c r="AF272" s="14">
        <v>-0.32000295023358294</v>
      </c>
      <c r="AG272" s="14">
        <v>1.1437973814945614</v>
      </c>
      <c r="AH272" s="14">
        <v>-1.043697496494904</v>
      </c>
      <c r="AI272" s="14">
        <v>-0.92174874395886874</v>
      </c>
      <c r="AJ272" s="14">
        <v>-0.23745536180559423</v>
      </c>
      <c r="AK272" s="14">
        <v>0.29184306453511866</v>
      </c>
      <c r="AM272" s="14">
        <v>-0.43919630225505374</v>
      </c>
      <c r="AN272" s="14">
        <v>6.5385035805133496E-2</v>
      </c>
      <c r="AO272" s="14">
        <v>-6.4005661804355879E-2</v>
      </c>
      <c r="AP272" s="14">
        <v>-0.40950122798566446</v>
      </c>
      <c r="AQ272" s="14">
        <v>-0.55013140224978996</v>
      </c>
      <c r="AR272" s="14">
        <v>0.40956454380448676</v>
      </c>
      <c r="AS272" s="14">
        <v>0.33837186067221359</v>
      </c>
      <c r="AT272" s="14">
        <v>-0.34255147569981415</v>
      </c>
      <c r="AU272" s="14">
        <v>-0.80308934540663379</v>
      </c>
      <c r="AV272" s="14">
        <v>-0.25328445918041936</v>
      </c>
      <c r="AW272" s="14">
        <v>0.44403213164096333</v>
      </c>
      <c r="AX272" s="14">
        <v>-0.54862298037087287</v>
      </c>
      <c r="AY272" s="14">
        <v>1.6941610786967563E-2</v>
      </c>
      <c r="AZ272" s="14">
        <v>-0.26546692930997101</v>
      </c>
      <c r="BA272" s="14">
        <v>-0.25231968908901281</v>
      </c>
      <c r="BB272" s="14">
        <v>-0.11259058094486139</v>
      </c>
      <c r="BC272" s="14">
        <v>-7.2176598534235137E-2</v>
      </c>
      <c r="BD272" s="14">
        <v>-0.2262453066058345</v>
      </c>
      <c r="BE272" s="14">
        <v>0.12402088518931179</v>
      </c>
      <c r="BF272" s="14">
        <v>0.31723445704384445</v>
      </c>
      <c r="BK272" s="16">
        <v>-0.24089240243265128</v>
      </c>
      <c r="BL272" s="16">
        <v>0.72929743074112352</v>
      </c>
      <c r="BN272" s="17">
        <f t="shared" si="11"/>
        <v>1</v>
      </c>
    </row>
    <row r="273" spans="1:66" x14ac:dyDescent="0.2">
      <c r="A273">
        <v>-0.84218204418101916</v>
      </c>
      <c r="B273">
        <v>-1.4588292270380809</v>
      </c>
      <c r="C273">
        <v>-0.84968995946238024</v>
      </c>
      <c r="D273">
        <v>-0.79430484382857569</v>
      </c>
      <c r="E273">
        <v>-0.53743137077507153</v>
      </c>
      <c r="F273">
        <v>-0.72812795961816601</v>
      </c>
      <c r="G273">
        <v>-0.58278929019477121</v>
      </c>
      <c r="H273">
        <v>-0.85509779458176194</v>
      </c>
      <c r="I273">
        <v>-0.78169171490845679</v>
      </c>
      <c r="J273">
        <v>-0.44497679288963882</v>
      </c>
      <c r="M273" s="13">
        <v>0</v>
      </c>
      <c r="O273" s="10">
        <f t="shared" si="12"/>
        <v>1</v>
      </c>
      <c r="P273" s="10">
        <f t="shared" si="13"/>
        <v>0</v>
      </c>
      <c r="R273" s="14">
        <v>-1.4535374107851577</v>
      </c>
      <c r="S273" s="14">
        <v>1.0264939483961808</v>
      </c>
      <c r="T273" s="14">
        <v>0.44401053054826289</v>
      </c>
      <c r="U273" s="14">
        <v>0.45679570500273881</v>
      </c>
      <c r="V273" s="14">
        <v>1.4915714696710141</v>
      </c>
      <c r="W273" s="14">
        <v>0.74287785560563391</v>
      </c>
      <c r="X273" s="14">
        <v>-1.4658813408552056</v>
      </c>
      <c r="Y273" s="14">
        <v>-1.0849270798958848</v>
      </c>
      <c r="Z273" s="14">
        <v>-0.18988297654012121</v>
      </c>
      <c r="AA273" s="14">
        <v>1.214952206581599</v>
      </c>
      <c r="AB273" s="14">
        <v>-0.28822664095953687</v>
      </c>
      <c r="AC273" s="14">
        <v>-0.72712575767979215</v>
      </c>
      <c r="AD273" s="14">
        <v>-0.81579664042185895</v>
      </c>
      <c r="AE273" s="14">
        <v>0.23144748033041812</v>
      </c>
      <c r="AF273" s="14">
        <v>-0.5447947675538779</v>
      </c>
      <c r="AG273" s="14">
        <v>0.28965093561111899</v>
      </c>
      <c r="AH273" s="14">
        <v>-1.3071322160576144</v>
      </c>
      <c r="AI273" s="14">
        <v>-1.6027031617857563</v>
      </c>
      <c r="AJ273" s="14">
        <v>-0.55690000437485065</v>
      </c>
      <c r="AK273" s="14">
        <v>0.40430046761777672</v>
      </c>
      <c r="AM273" s="14">
        <v>-0.62046810638870975</v>
      </c>
      <c r="AN273" s="14">
        <v>-0.4665360655855752</v>
      </c>
      <c r="AO273" s="14">
        <v>-9.167268245222493E-2</v>
      </c>
      <c r="AP273" s="14">
        <v>0.32407891111158127</v>
      </c>
      <c r="AQ273" s="14">
        <v>7.3154538022204035E-2</v>
      </c>
      <c r="AR273" s="14">
        <v>0.45597232017480299</v>
      </c>
      <c r="AS273" s="14">
        <v>0.40969449668758795</v>
      </c>
      <c r="AT273" s="14">
        <v>0.41195838576120331</v>
      </c>
      <c r="AU273" s="14">
        <v>-0.20750811743689138</v>
      </c>
      <c r="AV273" s="14">
        <v>-0.16411889001345917</v>
      </c>
      <c r="AW273" s="14">
        <v>-0.63265880721817747</v>
      </c>
      <c r="AX273" s="14">
        <v>-0.37366105464759297</v>
      </c>
      <c r="AY273" s="14">
        <v>0.24743265887347057</v>
      </c>
      <c r="AZ273" s="14">
        <v>-0.56089149406252425</v>
      </c>
      <c r="BA273" s="14">
        <v>-0.30449872636645514</v>
      </c>
      <c r="BB273" s="14">
        <v>0.40687953801482402</v>
      </c>
      <c r="BC273" s="14">
        <v>0.17184557958413635</v>
      </c>
      <c r="BD273" s="14">
        <v>0.4237068609025621</v>
      </c>
      <c r="BE273" s="14">
        <v>0.18009498643339647</v>
      </c>
      <c r="BF273" s="14">
        <v>0.33498949854148219</v>
      </c>
      <c r="BK273" s="16">
        <v>-0.12648247840445057</v>
      </c>
      <c r="BL273" s="16">
        <v>2.0181089948943624E-3</v>
      </c>
      <c r="BN273" s="17">
        <f t="shared" si="11"/>
        <v>1</v>
      </c>
    </row>
    <row r="274" spans="1:66" x14ac:dyDescent="0.2">
      <c r="A274">
        <v>2.1487128915236648</v>
      </c>
      <c r="B274">
        <v>0.4905283770813913</v>
      </c>
      <c r="C274">
        <v>2.265841412107866</v>
      </c>
      <c r="D274">
        <v>2.3806610910863819</v>
      </c>
      <c r="E274">
        <v>1.693086678240298</v>
      </c>
      <c r="F274">
        <v>1.5884203783140629</v>
      </c>
      <c r="G274">
        <v>1.493960307866834</v>
      </c>
      <c r="H274">
        <v>2.4306788568152471</v>
      </c>
      <c r="I274">
        <v>2.6305592397026278</v>
      </c>
      <c r="J274">
        <v>1.0016426590608909</v>
      </c>
      <c r="M274" s="13">
        <v>1</v>
      </c>
      <c r="O274" s="10">
        <f t="shared" si="12"/>
        <v>0</v>
      </c>
      <c r="P274" s="10">
        <f t="shared" si="13"/>
        <v>1</v>
      </c>
      <c r="R274" s="14">
        <v>0.67990351661124071</v>
      </c>
      <c r="S274" s="14">
        <v>-1.0434968584332254</v>
      </c>
      <c r="T274" s="14">
        <v>-0.31153306628467314</v>
      </c>
      <c r="U274" s="14">
        <v>-0.69545224824778062</v>
      </c>
      <c r="V274" s="14">
        <v>-0.27907060590185728</v>
      </c>
      <c r="W274" s="14">
        <v>-0.17373527426620478</v>
      </c>
      <c r="X274" s="14">
        <v>1.0232953867301418</v>
      </c>
      <c r="Y274" s="14">
        <v>1.0905891656359818</v>
      </c>
      <c r="Z274" s="14">
        <v>0.20330449237284148</v>
      </c>
      <c r="AA274" s="14">
        <v>-2.0876673112606103E-2</v>
      </c>
      <c r="AB274" s="14">
        <v>-0.1353483968779067</v>
      </c>
      <c r="AC274" s="14">
        <v>0.70965111222131128</v>
      </c>
      <c r="AD274" s="14">
        <v>1.0509488340193365</v>
      </c>
      <c r="AE274" s="14">
        <v>-0.46411787468069027</v>
      </c>
      <c r="AF274" s="14">
        <v>0.41459565029156031</v>
      </c>
      <c r="AG274" s="14">
        <v>-0.42741037736683207</v>
      </c>
      <c r="AH274" s="14">
        <v>-0.23271320195047962</v>
      </c>
      <c r="AI274" s="14">
        <v>0.29002376452446099</v>
      </c>
      <c r="AJ274" s="14">
        <v>1.5374892155570046</v>
      </c>
      <c r="AK274" s="14">
        <v>-1.3262040487613631</v>
      </c>
      <c r="AM274" s="14">
        <v>-0.21937766726240276</v>
      </c>
      <c r="AN274" s="14">
        <v>0.70778964453705762</v>
      </c>
      <c r="AO274" s="14">
        <v>0.53170926508676253</v>
      </c>
      <c r="AP274" s="14">
        <v>-3.4842534768301153E-2</v>
      </c>
      <c r="AQ274" s="14">
        <v>0.84729854704595275</v>
      </c>
      <c r="AR274" s="14">
        <v>0.15230606299832278</v>
      </c>
      <c r="AS274" s="14">
        <v>-0.82401200154505527</v>
      </c>
      <c r="AT274" s="14">
        <v>-0.5219296475821058</v>
      </c>
      <c r="AU274" s="14">
        <v>0.62384655556150925</v>
      </c>
      <c r="AV274" s="14">
        <v>0.59287430886276249</v>
      </c>
      <c r="AW274" s="14">
        <v>-0.54110629513666952</v>
      </c>
      <c r="AX274" s="14">
        <v>0.42472199712134773</v>
      </c>
      <c r="AY274" s="14">
        <v>-0.7016487102580673</v>
      </c>
      <c r="AZ274" s="14">
        <v>0.74990088885730311</v>
      </c>
      <c r="BA274" s="14">
        <v>-0.30159752982002636</v>
      </c>
      <c r="BB274" s="14">
        <v>0.4494371887687485</v>
      </c>
      <c r="BC274" s="14">
        <v>-0.56138442664813382</v>
      </c>
      <c r="BD274" s="14">
        <v>-0.64555519287996022</v>
      </c>
      <c r="BE274" s="14">
        <v>-0.77400443099021843</v>
      </c>
      <c r="BF274" s="14">
        <v>0.54934530171618956</v>
      </c>
      <c r="BK274" s="16">
        <v>-0.64029249966507273</v>
      </c>
      <c r="BL274" s="16">
        <v>0.52916534998476883</v>
      </c>
      <c r="BN274" s="17">
        <f t="shared" si="11"/>
        <v>1</v>
      </c>
    </row>
    <row r="275" spans="1:66" x14ac:dyDescent="0.2">
      <c r="A275">
        <v>-1.284811619751846</v>
      </c>
      <c r="B275">
        <v>-0.81394740328534942</v>
      </c>
      <c r="C275">
        <v>-1.2950030221631761</v>
      </c>
      <c r="D275">
        <v>-1.076683953724457</v>
      </c>
      <c r="E275">
        <v>-1.079914472347798</v>
      </c>
      <c r="F275">
        <v>-0.99617064126705435</v>
      </c>
      <c r="G275">
        <v>-0.92733802351009975</v>
      </c>
      <c r="H275">
        <v>-1.1801557241780629</v>
      </c>
      <c r="I275">
        <v>-0.96288728856883266</v>
      </c>
      <c r="J275">
        <v>-0.98274185002777026</v>
      </c>
      <c r="M275" s="13">
        <v>0</v>
      </c>
      <c r="O275" s="10">
        <f t="shared" si="12"/>
        <v>1</v>
      </c>
      <c r="P275" s="10">
        <f t="shared" si="13"/>
        <v>0</v>
      </c>
      <c r="R275" s="14">
        <v>4.7429710931938956E-2</v>
      </c>
      <c r="S275" s="14">
        <v>-1.130813603100483</v>
      </c>
      <c r="T275" s="14">
        <v>-0.69054437002852731</v>
      </c>
      <c r="U275" s="14">
        <v>-0.76260683757111836</v>
      </c>
      <c r="V275" s="14">
        <v>-0.52255525942905434</v>
      </c>
      <c r="W275" s="14">
        <v>-0.34960235797578937</v>
      </c>
      <c r="X275" s="14">
        <v>1.0648602939658747</v>
      </c>
      <c r="Y275" s="14">
        <v>1.3208837126421911</v>
      </c>
      <c r="Z275" s="14">
        <v>0.37678952288209167</v>
      </c>
      <c r="AA275" s="14">
        <v>-0.2780767284413721</v>
      </c>
      <c r="AB275" s="14">
        <v>-0.29600711247814926</v>
      </c>
      <c r="AC275" s="14">
        <v>3.7110459648795335E-2</v>
      </c>
      <c r="AD275" s="14">
        <v>1.1321696391970608</v>
      </c>
      <c r="AE275" s="14">
        <v>-0.65821602967762005</v>
      </c>
      <c r="AF275" s="14">
        <v>-1.5193975058392928E-3</v>
      </c>
      <c r="AG275" s="14">
        <v>-0.54432039767820328</v>
      </c>
      <c r="AH275" s="14">
        <v>7.6659129810893289E-2</v>
      </c>
      <c r="AI275" s="14">
        <v>0.33972261949320959</v>
      </c>
      <c r="AJ275" s="14">
        <v>1.5656906244311874</v>
      </c>
      <c r="AK275" s="14">
        <v>-1.367203748797722</v>
      </c>
      <c r="AM275" s="14">
        <v>-0.50542899706215683</v>
      </c>
      <c r="AN275" s="14">
        <v>-0.58030503436035163</v>
      </c>
      <c r="AO275" s="14">
        <v>-0.41363173365471145</v>
      </c>
      <c r="AP275" s="14">
        <v>-0.17860693010948633</v>
      </c>
      <c r="AQ275" s="14">
        <v>-0.68602724661839187</v>
      </c>
      <c r="AR275" s="14">
        <v>0.58278124585187818</v>
      </c>
      <c r="AS275" s="14">
        <v>0.69999146635830933</v>
      </c>
      <c r="AT275" s="14">
        <v>0.25252600668281316</v>
      </c>
      <c r="AU275" s="14">
        <v>-0.65205357052258717</v>
      </c>
      <c r="AV275" s="14">
        <v>-0.57530590704026974</v>
      </c>
      <c r="AW275" s="14">
        <v>0.25142933199286621</v>
      </c>
      <c r="AX275" s="14">
        <v>-0.53448781964458536</v>
      </c>
      <c r="AY275" s="14">
        <v>0.45950531968880931</v>
      </c>
      <c r="AZ275" s="14">
        <v>-0.75097981937204838</v>
      </c>
      <c r="BA275" s="14">
        <v>-0.41216079632545782</v>
      </c>
      <c r="BB275" s="14">
        <v>-0.26575771853759406</v>
      </c>
      <c r="BC275" s="14">
        <v>0.32330376919360398</v>
      </c>
      <c r="BD275" s="14">
        <v>0.51313975058498218</v>
      </c>
      <c r="BE275" s="14">
        <v>0.62789211388524413</v>
      </c>
      <c r="BF275" s="14">
        <v>0.18734473765024273</v>
      </c>
      <c r="BK275" s="16">
        <v>-0.42369418483384708</v>
      </c>
      <c r="BL275" s="16">
        <v>0.79062729178155755</v>
      </c>
      <c r="BN275" s="17">
        <f t="shared" ref="BN275:BN338" si="14">IF(BK275&gt;BL275,0,1)</f>
        <v>1</v>
      </c>
    </row>
    <row r="276" spans="1:66" x14ac:dyDescent="0.2">
      <c r="A276">
        <v>1.0564357735129679</v>
      </c>
      <c r="B276">
        <v>1.3462841051791219</v>
      </c>
      <c r="C276">
        <v>0.93363737550995829</v>
      </c>
      <c r="D276">
        <v>0.96415996998787712</v>
      </c>
      <c r="E276">
        <v>-0.64540762360609372</v>
      </c>
      <c r="F276">
        <v>-0.42636297944545831</v>
      </c>
      <c r="G276">
        <v>-7.4400988589290271E-2</v>
      </c>
      <c r="H276">
        <v>0.92547430384383833</v>
      </c>
      <c r="I276">
        <v>0.7459835762164122</v>
      </c>
      <c r="J276">
        <v>-5.4119984443377657E-2</v>
      </c>
      <c r="M276" s="13">
        <v>1</v>
      </c>
      <c r="O276" s="10">
        <f t="shared" si="12"/>
        <v>0</v>
      </c>
      <c r="P276" s="10">
        <f t="shared" si="13"/>
        <v>1</v>
      </c>
      <c r="R276" s="14">
        <v>-0.66149405196738231</v>
      </c>
      <c r="S276" s="14">
        <v>0.13939991159453347</v>
      </c>
      <c r="T276" s="14">
        <v>-0.36980538915696171</v>
      </c>
      <c r="U276" s="14">
        <v>-1.4064255216527819</v>
      </c>
      <c r="V276" s="14">
        <v>-0.60772271192219696</v>
      </c>
      <c r="W276" s="14">
        <v>0.87253244874993863</v>
      </c>
      <c r="X276" s="14">
        <v>0.99340542620463468</v>
      </c>
      <c r="Y276" s="14">
        <v>-0.48848563891948404</v>
      </c>
      <c r="Z276" s="14">
        <v>-1.2204907992452063</v>
      </c>
      <c r="AA276" s="14">
        <v>-0.13992322710641392</v>
      </c>
      <c r="AB276" s="14">
        <v>0.78447950542554856</v>
      </c>
      <c r="AC276" s="14">
        <v>-0.35689624162582123</v>
      </c>
      <c r="AD276" s="14">
        <v>0.61530412915400057</v>
      </c>
      <c r="AE276" s="14">
        <v>-0.42716823721972125</v>
      </c>
      <c r="AF276" s="14">
        <v>-0.26665389770261538</v>
      </c>
      <c r="AG276" s="14">
        <v>-0.40664939194437255</v>
      </c>
      <c r="AH276" s="14">
        <v>-0.67501836711960128</v>
      </c>
      <c r="AI276" s="14">
        <v>-1.3105205204025727</v>
      </c>
      <c r="AJ276" s="14">
        <v>0.80666681328926293</v>
      </c>
      <c r="AK276" s="14">
        <v>-0.13567222843736682</v>
      </c>
      <c r="AM276" s="14">
        <v>-8.7587718917905066E-2</v>
      </c>
      <c r="AN276" s="14">
        <v>-0.67063651143845215</v>
      </c>
      <c r="AO276" s="14">
        <v>-0.11280306792651264</v>
      </c>
      <c r="AP276" s="14">
        <v>-3.2833069771652769E-2</v>
      </c>
      <c r="AQ276" s="14">
        <v>-0.31578285953726576</v>
      </c>
      <c r="AR276" s="14">
        <v>-0.13875877902721656</v>
      </c>
      <c r="AS276" s="14">
        <v>0.70097817121708073</v>
      </c>
      <c r="AT276" s="14">
        <v>0.741744997791423</v>
      </c>
      <c r="AU276" s="14">
        <v>-7.7101553698778802E-2</v>
      </c>
      <c r="AV276" s="14">
        <v>-0.43930378074742815</v>
      </c>
      <c r="AW276" s="14">
        <v>-0.60944243971079848</v>
      </c>
      <c r="AX276" s="14">
        <v>-8.8139522397069597E-2</v>
      </c>
      <c r="AY276" s="14">
        <v>0.56960482991162431</v>
      </c>
      <c r="AZ276" s="14">
        <v>-0.6584667194697299</v>
      </c>
      <c r="BA276" s="14">
        <v>8.374501850590968E-2</v>
      </c>
      <c r="BB276" s="14">
        <v>-2.6587202386879009E-3</v>
      </c>
      <c r="BC276" s="14">
        <v>0.38746331900561498</v>
      </c>
      <c r="BD276" s="14">
        <v>0.62424090811796784</v>
      </c>
      <c r="BE276" s="14">
        <v>0.60352730421654999</v>
      </c>
      <c r="BF276" s="14">
        <v>-0.36619859141251149</v>
      </c>
      <c r="BK276" s="16">
        <v>0.13662301689248191</v>
      </c>
      <c r="BL276" s="16">
        <v>1.1771620167676802</v>
      </c>
      <c r="BN276" s="17">
        <f t="shared" si="14"/>
        <v>1</v>
      </c>
    </row>
    <row r="277" spans="1:66" x14ac:dyDescent="0.2">
      <c r="A277">
        <v>-0.67062019318457422</v>
      </c>
      <c r="B277">
        <v>-0.39955566102599011</v>
      </c>
      <c r="C277">
        <v>-0.68492827643142418</v>
      </c>
      <c r="D277">
        <v>-0.65728908816044151</v>
      </c>
      <c r="E277">
        <v>-0.61139789164726921</v>
      </c>
      <c r="F277">
        <v>-0.39784780054664032</v>
      </c>
      <c r="G277">
        <v>0.60549487982226269</v>
      </c>
      <c r="H277">
        <v>-0.83853433320105863</v>
      </c>
      <c r="I277">
        <v>-0.75530057074873447</v>
      </c>
      <c r="J277">
        <v>-0.41562509386455559</v>
      </c>
      <c r="M277" s="13">
        <v>0</v>
      </c>
      <c r="O277" s="10">
        <f t="shared" si="12"/>
        <v>1</v>
      </c>
      <c r="P277" s="10">
        <f t="shared" si="13"/>
        <v>0</v>
      </c>
      <c r="R277" s="14">
        <v>-0.7661554737290488</v>
      </c>
      <c r="S277" s="14">
        <v>-1.0554956291565336</v>
      </c>
      <c r="T277" s="14">
        <v>-0.28532773267322564</v>
      </c>
      <c r="U277" s="14">
        <v>-0.21305884939221537</v>
      </c>
      <c r="V277" s="14">
        <v>0.43943346158884999</v>
      </c>
      <c r="W277" s="14">
        <v>1.0262339802125042</v>
      </c>
      <c r="X277" s="14">
        <v>1.0044621552293513</v>
      </c>
      <c r="Y277" s="14">
        <v>0.99124528864198669</v>
      </c>
      <c r="Z277" s="14">
        <v>-0.36956922890492161</v>
      </c>
      <c r="AA277" s="14">
        <v>0.2007135357523715</v>
      </c>
      <c r="AB277" s="14">
        <v>-1.1147340101460088</v>
      </c>
      <c r="AC277" s="14">
        <v>-0.31467019119081452</v>
      </c>
      <c r="AD277" s="14">
        <v>0.73109813697124781</v>
      </c>
      <c r="AE277" s="14">
        <v>-0.65672935989752967</v>
      </c>
      <c r="AF277" s="14">
        <v>-0.18305392434723</v>
      </c>
      <c r="AG277" s="14">
        <v>0.83908549890379747</v>
      </c>
      <c r="AH277" s="14">
        <v>-0.3915682114216737</v>
      </c>
      <c r="AI277" s="14">
        <v>0.24001332314392176</v>
      </c>
      <c r="AJ277" s="14">
        <v>0.96024570773690521</v>
      </c>
      <c r="AK277" s="14">
        <v>-0.14563389635071239</v>
      </c>
      <c r="AM277" s="14">
        <v>0.46216983032924308</v>
      </c>
      <c r="AN277" s="14">
        <v>0.11936306470159</v>
      </c>
      <c r="AO277" s="14">
        <v>0.11786960630424302</v>
      </c>
      <c r="AP277" s="14">
        <v>-0.27672553772385866</v>
      </c>
      <c r="AQ277" s="14">
        <v>-0.44068578808811093</v>
      </c>
      <c r="AR277" s="14">
        <v>-0.26516667543304345</v>
      </c>
      <c r="AS277" s="14">
        <v>0.19438364590035032</v>
      </c>
      <c r="AT277" s="14">
        <v>-0.27736949241321052</v>
      </c>
      <c r="AU277" s="14">
        <v>-0.57280792330533448</v>
      </c>
      <c r="AV277" s="14">
        <v>-1.2758397448004374E-2</v>
      </c>
      <c r="AW277" s="14">
        <v>0.46206393507828919</v>
      </c>
      <c r="AX277" s="14">
        <v>-3.6281255936335695E-2</v>
      </c>
      <c r="AY277" s="14">
        <v>8.2674684112101118E-2</v>
      </c>
      <c r="AZ277" s="14">
        <v>0.10653188869091183</v>
      </c>
      <c r="BA277" s="14">
        <v>0.26310887790453347</v>
      </c>
      <c r="BB277" s="14">
        <v>-0.26613651722076992</v>
      </c>
      <c r="BC277" s="14">
        <v>7.1760519897352409E-3</v>
      </c>
      <c r="BD277" s="14">
        <v>-0.19262652655679993</v>
      </c>
      <c r="BE277" s="14">
        <v>0.10142517642013349</v>
      </c>
      <c r="BF277" s="14">
        <v>-0.42635813155915853</v>
      </c>
      <c r="BK277" s="16">
        <v>-0.10822860632312661</v>
      </c>
      <c r="BL277" s="16">
        <v>0.95516280051308933</v>
      </c>
      <c r="BN277" s="17">
        <f t="shared" si="14"/>
        <v>1</v>
      </c>
    </row>
    <row r="278" spans="1:66" x14ac:dyDescent="0.2">
      <c r="A278">
        <v>-0.83074458744792268</v>
      </c>
      <c r="B278">
        <v>-1.184202746960872</v>
      </c>
      <c r="C278">
        <v>-0.86795070015094966</v>
      </c>
      <c r="D278">
        <v>-0.76954989637592952</v>
      </c>
      <c r="E278">
        <v>-1.2317502702186161</v>
      </c>
      <c r="F278">
        <v>-1.1144838378894111</v>
      </c>
      <c r="G278">
        <v>-1.201775690394868</v>
      </c>
      <c r="H278">
        <v>-0.87994298665281701</v>
      </c>
      <c r="I278">
        <v>-0.78080610604403655</v>
      </c>
      <c r="J278">
        <v>-1.588944287035611</v>
      </c>
      <c r="M278" s="13">
        <v>0</v>
      </c>
      <c r="O278" s="10">
        <f t="shared" si="12"/>
        <v>1</v>
      </c>
      <c r="P278" s="10">
        <f t="shared" si="13"/>
        <v>0</v>
      </c>
      <c r="R278" s="14">
        <v>-0.45029151380132731</v>
      </c>
      <c r="S278" s="14">
        <v>1.034000123919413</v>
      </c>
      <c r="T278" s="14">
        <v>0.40193939284533664</v>
      </c>
      <c r="U278" s="14">
        <v>-0.89440441118564729</v>
      </c>
      <c r="V278" s="14">
        <v>1.5000279594908856</v>
      </c>
      <c r="W278" s="14">
        <v>0.37864892550924906</v>
      </c>
      <c r="X278" s="14">
        <v>-1.4658876630828332</v>
      </c>
      <c r="Y278" s="14">
        <v>-0.86429004782868279</v>
      </c>
      <c r="Z278" s="14">
        <v>1.1682918334972379</v>
      </c>
      <c r="AA278" s="14">
        <v>1.2040228793839645</v>
      </c>
      <c r="AB278" s="14">
        <v>-0.25389172352106182</v>
      </c>
      <c r="AC278" s="14">
        <v>1.0013862732245167</v>
      </c>
      <c r="AD278" s="14">
        <v>-0.80653597035429847</v>
      </c>
      <c r="AE278" s="14">
        <v>1.6889254807598557</v>
      </c>
      <c r="AF278" s="14">
        <v>-0.71884195643037396</v>
      </c>
      <c r="AG278" s="14">
        <v>0.20181343438377075</v>
      </c>
      <c r="AH278" s="14">
        <v>-1.2716980714913155</v>
      </c>
      <c r="AI278" s="14">
        <v>-1.5952338504163026</v>
      </c>
      <c r="AJ278" s="14">
        <v>-0.55533109155688987</v>
      </c>
      <c r="AK278" s="14">
        <v>0.14848346564633585</v>
      </c>
      <c r="AM278" s="14">
        <v>-0.83188801721297334</v>
      </c>
      <c r="AN278" s="14">
        <v>-0.55838899631815631</v>
      </c>
      <c r="AO278" s="14">
        <v>-0.40003602622704859</v>
      </c>
      <c r="AP278" s="14">
        <v>0.36765973945871461</v>
      </c>
      <c r="AQ278" s="14">
        <v>-0.52180769430223595</v>
      </c>
      <c r="AR278" s="14">
        <v>0.74511981182761189</v>
      </c>
      <c r="AS278" s="14">
        <v>0.61564895239981099</v>
      </c>
      <c r="AT278" s="14">
        <v>0.11039821851953401</v>
      </c>
      <c r="AU278" s="14">
        <v>-0.75693562097370926</v>
      </c>
      <c r="AV278" s="14">
        <v>-0.41171473184755164</v>
      </c>
      <c r="AW278" s="14">
        <v>-6.1421966095237319E-2</v>
      </c>
      <c r="AX278" s="14">
        <v>-0.78247877267355481</v>
      </c>
      <c r="AY278" s="14">
        <v>0.31180520219885638</v>
      </c>
      <c r="AZ278" s="14">
        <v>-0.77873488114601663</v>
      </c>
      <c r="BA278" s="14">
        <v>-0.49465980170022944</v>
      </c>
      <c r="BB278" s="14">
        <v>0.31199306625235346</v>
      </c>
      <c r="BC278" s="14">
        <v>0.28456792247454427</v>
      </c>
      <c r="BD278" s="14">
        <v>0.42833053231861756</v>
      </c>
      <c r="BE278" s="14">
        <v>0.30981152321330863</v>
      </c>
      <c r="BF278" s="14">
        <v>0.60719589139862096</v>
      </c>
      <c r="BK278" s="16">
        <v>-0.4246652070323591</v>
      </c>
      <c r="BL278" s="16">
        <v>0.68773260377728751</v>
      </c>
      <c r="BN278" s="17">
        <f t="shared" si="14"/>
        <v>1</v>
      </c>
    </row>
    <row r="279" spans="1:66" x14ac:dyDescent="0.2">
      <c r="A279">
        <v>1.3080598216410859</v>
      </c>
      <c r="B279">
        <v>0.2428741405831947</v>
      </c>
      <c r="C279">
        <v>1.170196970793699</v>
      </c>
      <c r="D279">
        <v>1.2609314911934371</v>
      </c>
      <c r="E279">
        <v>-0.85782906420137506</v>
      </c>
      <c r="F279">
        <v>-0.13860763064477849</v>
      </c>
      <c r="G279">
        <v>0.2065033570439041</v>
      </c>
      <c r="H279">
        <v>0.72671276727539913</v>
      </c>
      <c r="I279">
        <v>0.59720128699381625</v>
      </c>
      <c r="J279">
        <v>0.1824906505547417</v>
      </c>
      <c r="M279" s="13">
        <v>1</v>
      </c>
      <c r="O279" s="10">
        <f t="shared" si="12"/>
        <v>0</v>
      </c>
      <c r="P279" s="10">
        <f t="shared" si="13"/>
        <v>1</v>
      </c>
      <c r="R279" s="14">
        <v>-0.71206078811256035</v>
      </c>
      <c r="S279" s="14">
        <v>-1.0966065423519455</v>
      </c>
      <c r="T279" s="14">
        <v>-0.71970555002070924</v>
      </c>
      <c r="U279" s="14">
        <v>-0.84078873998518366</v>
      </c>
      <c r="V279" s="14">
        <v>-0.6196330495510709</v>
      </c>
      <c r="W279" s="14">
        <v>1.0713566571064868</v>
      </c>
      <c r="X279" s="14">
        <v>1.0636994468849885</v>
      </c>
      <c r="Y279" s="14">
        <v>0.6749372129102833</v>
      </c>
      <c r="Z279" s="14">
        <v>-0.84485132027030074</v>
      </c>
      <c r="AA279" s="14">
        <v>-0.26921713022528593</v>
      </c>
      <c r="AB279" s="14">
        <v>0.65779683145999746</v>
      </c>
      <c r="AC279" s="14">
        <v>-0.33940247982644189</v>
      </c>
      <c r="AD279" s="14">
        <v>1.0095465867997337</v>
      </c>
      <c r="AE279" s="14">
        <v>-0.66151542363738236</v>
      </c>
      <c r="AF279" s="14">
        <v>-0.30759664201894132</v>
      </c>
      <c r="AG279" s="14">
        <v>-0.47605268206173434</v>
      </c>
      <c r="AH279" s="14">
        <v>-0.15586779999074951</v>
      </c>
      <c r="AI279" s="14">
        <v>0.28947116729544187</v>
      </c>
      <c r="AJ279" s="14">
        <v>1.5546153306817525</v>
      </c>
      <c r="AK279" s="14">
        <v>-0.38797320053263296</v>
      </c>
      <c r="AM279" s="14">
        <v>0.34230332866959851</v>
      </c>
      <c r="AN279" s="14">
        <v>-0.50639094652795569</v>
      </c>
      <c r="AO279" s="14">
        <v>-0.29795621594316957</v>
      </c>
      <c r="AP279" s="14">
        <v>-0.15718681361297096</v>
      </c>
      <c r="AQ279" s="14">
        <v>-0.65601309014518105</v>
      </c>
      <c r="AR279" s="14">
        <v>-0.12527699607710524</v>
      </c>
      <c r="AS279" s="14">
        <v>0.66994382535628261</v>
      </c>
      <c r="AT279" s="14">
        <v>0.31419375869826138</v>
      </c>
      <c r="AU279" s="14">
        <v>-0.48115230077592663</v>
      </c>
      <c r="AV279" s="14">
        <v>-0.38649471823521686</v>
      </c>
      <c r="AW279" s="14">
        <v>0.31534185594196351</v>
      </c>
      <c r="AX279" s="14">
        <v>-0.18333773651897439</v>
      </c>
      <c r="AY279" s="14">
        <v>0.54285986959256805</v>
      </c>
      <c r="AZ279" s="14">
        <v>-0.53144292043968888</v>
      </c>
      <c r="BA279" s="14">
        <v>0.17630826423766449</v>
      </c>
      <c r="BB279" s="14">
        <v>-0.33030350711887518</v>
      </c>
      <c r="BC279" s="14">
        <v>0.3430612149383479</v>
      </c>
      <c r="BD279" s="14">
        <v>0.4723859163047191</v>
      </c>
      <c r="BE279" s="14">
        <v>0.61635376312912793</v>
      </c>
      <c r="BF279" s="14">
        <v>-0.48048773241350518</v>
      </c>
      <c r="BK279" s="16">
        <v>0.12724705194357303</v>
      </c>
      <c r="BL279" s="16">
        <v>0.66183192903036481</v>
      </c>
      <c r="BN279" s="17">
        <f t="shared" si="14"/>
        <v>1</v>
      </c>
    </row>
    <row r="280" spans="1:66" x14ac:dyDescent="0.2">
      <c r="A280">
        <v>-0.18452828202798141</v>
      </c>
      <c r="B280">
        <v>-0.2818585981357577</v>
      </c>
      <c r="C280">
        <v>-0.26825137526497628</v>
      </c>
      <c r="D280">
        <v>-0.2638005629538463</v>
      </c>
      <c r="E280">
        <v>-1.19829807484928</v>
      </c>
      <c r="F280">
        <v>-0.88533338067773604</v>
      </c>
      <c r="G280">
        <v>-0.97053441514978112</v>
      </c>
      <c r="H280">
        <v>-0.19670020469880761</v>
      </c>
      <c r="I280">
        <v>-0.28291680246699219</v>
      </c>
      <c r="J280">
        <v>-0.97884825729995317</v>
      </c>
      <c r="M280" s="13">
        <v>0</v>
      </c>
      <c r="O280" s="10">
        <f t="shared" si="12"/>
        <v>1</v>
      </c>
      <c r="P280" s="10">
        <f t="shared" si="13"/>
        <v>0</v>
      </c>
      <c r="R280" s="14">
        <v>-0.40365810559010518</v>
      </c>
      <c r="S280" s="14">
        <v>-1.1220231693167555</v>
      </c>
      <c r="T280" s="14">
        <v>-0.48085660076976655</v>
      </c>
      <c r="U280" s="14">
        <v>-0.75691652351934624</v>
      </c>
      <c r="V280" s="14">
        <v>-0.31987165945042895</v>
      </c>
      <c r="W280" s="14">
        <v>-0.12488623991209519</v>
      </c>
      <c r="X280" s="14">
        <v>1.0606510071541186</v>
      </c>
      <c r="Y280" s="14">
        <v>1.2759657221671226</v>
      </c>
      <c r="Z280" s="14">
        <v>0.10715341119850758</v>
      </c>
      <c r="AA280" s="14">
        <v>-0.24437578929892312</v>
      </c>
      <c r="AB280" s="14">
        <v>-0.7010537095160938</v>
      </c>
      <c r="AC280" s="14">
        <v>-9.183201864064694E-2</v>
      </c>
      <c r="AD280" s="14">
        <v>1.1082456796365969</v>
      </c>
      <c r="AE280" s="14">
        <v>-0.65408991118569881</v>
      </c>
      <c r="AF280" s="14">
        <v>-0.13596694866644943</v>
      </c>
      <c r="AG280" s="14">
        <v>-0.38861718624393016</v>
      </c>
      <c r="AH280" s="14">
        <v>-5.483381023318068E-2</v>
      </c>
      <c r="AI280" s="14">
        <v>0.32876308668501675</v>
      </c>
      <c r="AJ280" s="14">
        <v>1.5437619005239567</v>
      </c>
      <c r="AK280" s="14">
        <v>-1.0866311627471459</v>
      </c>
      <c r="AM280" s="14">
        <v>-0.2455328377748848</v>
      </c>
      <c r="AN280" s="14">
        <v>0.92678817434946215</v>
      </c>
      <c r="AO280" s="14">
        <v>0.69284746938723019</v>
      </c>
      <c r="AP280" s="14">
        <v>-0.17316654802502721</v>
      </c>
      <c r="AQ280" s="14">
        <v>0.91153168980161403</v>
      </c>
      <c r="AR280" s="14">
        <v>0.16472439185377274</v>
      </c>
      <c r="AS280" s="14">
        <v>-0.96787469622637068</v>
      </c>
      <c r="AT280" s="14">
        <v>-0.72698546637496886</v>
      </c>
      <c r="AU280" s="14">
        <v>0.87919632740077835</v>
      </c>
      <c r="AV280" s="14">
        <v>0.66247920605360611</v>
      </c>
      <c r="AW280" s="14">
        <v>-0.25963273866683984</v>
      </c>
      <c r="AX280" s="14">
        <v>0.71790362500308058</v>
      </c>
      <c r="AY280" s="14">
        <v>-0.92099349314771162</v>
      </c>
      <c r="AZ280" s="14">
        <v>0.93575719078710784</v>
      </c>
      <c r="BA280" s="14">
        <v>-0.40539619174653324</v>
      </c>
      <c r="BB280" s="14">
        <v>9.2837199256572175E-2</v>
      </c>
      <c r="BC280" s="14">
        <v>-0.71417804292574838</v>
      </c>
      <c r="BD280" s="14">
        <v>-0.89927795701690294</v>
      </c>
      <c r="BE280" s="14">
        <v>-0.90374261113727949</v>
      </c>
      <c r="BF280" s="14">
        <v>0.67441547104870492</v>
      </c>
      <c r="BK280" s="16">
        <v>-0.80940179680483826</v>
      </c>
      <c r="BL280" s="16">
        <v>0.24573168366476633</v>
      </c>
      <c r="BN280" s="17">
        <f t="shared" si="14"/>
        <v>1</v>
      </c>
    </row>
    <row r="281" spans="1:66" x14ac:dyDescent="0.2">
      <c r="A281">
        <v>-0.11018481326285549</v>
      </c>
      <c r="B281">
        <v>-0.93409648831912828</v>
      </c>
      <c r="C281">
        <v>-0.15412174596141731</v>
      </c>
      <c r="D281">
        <v>-0.22033548079861881</v>
      </c>
      <c r="E281">
        <v>-0.52256372838870002</v>
      </c>
      <c r="F281">
        <v>-0.57761740664788364</v>
      </c>
      <c r="G281">
        <v>-0.33843573748746131</v>
      </c>
      <c r="H281">
        <v>-0.30436270367337859</v>
      </c>
      <c r="I281">
        <v>-0.40530794752986588</v>
      </c>
      <c r="J281">
        <v>-0.25883310978668761</v>
      </c>
      <c r="M281" s="13">
        <v>0</v>
      </c>
      <c r="O281" s="10">
        <f t="shared" si="12"/>
        <v>1</v>
      </c>
      <c r="P281" s="10">
        <f t="shared" si="13"/>
        <v>0</v>
      </c>
      <c r="R281" s="14">
        <v>0.73274224475026006</v>
      </c>
      <c r="S281" s="14">
        <v>0.36433314537746991</v>
      </c>
      <c r="T281" s="14">
        <v>6.6080491597117139E-2</v>
      </c>
      <c r="U281" s="14">
        <v>-1.2144517248045608</v>
      </c>
      <c r="V281" s="14">
        <v>-0.54410896038777157</v>
      </c>
      <c r="W281" s="14">
        <v>-9.8831078391708183E-2</v>
      </c>
      <c r="X281" s="14">
        <v>0.72276683068946379</v>
      </c>
      <c r="Y281" s="14">
        <v>-0.41301396564084758</v>
      </c>
      <c r="Z281" s="14">
        <v>-1.0817701242214577</v>
      </c>
      <c r="AA281" s="14">
        <v>0.37085593435585068</v>
      </c>
      <c r="AB281" s="14">
        <v>0.77688283165748773</v>
      </c>
      <c r="AC281" s="14">
        <v>0.27162885930934538</v>
      </c>
      <c r="AD281" s="14">
        <v>0.76246496813612985</v>
      </c>
      <c r="AE281" s="14">
        <v>1.0674709587403455</v>
      </c>
      <c r="AF281" s="14">
        <v>0.5348998687068578</v>
      </c>
      <c r="AG281" s="14">
        <v>-0.44507383360385999</v>
      </c>
      <c r="AH281" s="14">
        <v>-0.60348987125318843</v>
      </c>
      <c r="AI281" s="14">
        <v>-1.2253962916821699</v>
      </c>
      <c r="AJ281" s="14">
        <v>0.91053567271137026</v>
      </c>
      <c r="AK281" s="14">
        <v>-1.1474205147422469</v>
      </c>
      <c r="AM281" s="14">
        <v>-0.24734384818127492</v>
      </c>
      <c r="AN281" s="14">
        <v>-0.60892970980230277</v>
      </c>
      <c r="AO281" s="14">
        <v>-0.31795820067528635</v>
      </c>
      <c r="AP281" s="14">
        <v>1.6019676021226975E-2</v>
      </c>
      <c r="AQ281" s="14">
        <v>-0.55078160113134866</v>
      </c>
      <c r="AR281" s="14">
        <v>0.12678642793237466</v>
      </c>
      <c r="AS281" s="14">
        <v>0.65098789257776091</v>
      </c>
      <c r="AT281" s="14">
        <v>0.46965184577066799</v>
      </c>
      <c r="AU281" s="14">
        <v>-0.3810105354334985</v>
      </c>
      <c r="AV281" s="14">
        <v>-0.47327344409502348</v>
      </c>
      <c r="AW281" s="14">
        <v>-2.8176088848292161E-2</v>
      </c>
      <c r="AX281" s="14">
        <v>-0.37004248030262715</v>
      </c>
      <c r="AY281" s="14">
        <v>0.49648296132275832</v>
      </c>
      <c r="AZ281" s="14">
        <v>-0.67052576377980222</v>
      </c>
      <c r="BA281" s="14">
        <v>-5.0771613557909309E-2</v>
      </c>
      <c r="BB281" s="14">
        <v>-0.14164891080308878</v>
      </c>
      <c r="BC281" s="14">
        <v>0.37080175638695839</v>
      </c>
      <c r="BD281" s="14">
        <v>0.5396220473489497</v>
      </c>
      <c r="BE281" s="14">
        <v>0.55568529930424448</v>
      </c>
      <c r="BF281" s="14">
        <v>-0.12867281293098795</v>
      </c>
      <c r="BK281" s="16">
        <v>0.13483591378279453</v>
      </c>
      <c r="BL281" s="16">
        <v>0.2019708299457259</v>
      </c>
      <c r="BN281" s="17">
        <f t="shared" si="14"/>
        <v>1</v>
      </c>
    </row>
    <row r="282" spans="1:66" x14ac:dyDescent="0.2">
      <c r="A282">
        <v>1.4081375680556789</v>
      </c>
      <c r="B282">
        <v>1.8661127996109821</v>
      </c>
      <c r="C282">
        <v>1.3901558927241939</v>
      </c>
      <c r="D282">
        <v>1.364556852623118</v>
      </c>
      <c r="E282">
        <v>0.74899138670571408</v>
      </c>
      <c r="F282">
        <v>1.2487178123020579</v>
      </c>
      <c r="G282">
        <v>1.1831507680215529</v>
      </c>
      <c r="H282">
        <v>1.5051954521684521</v>
      </c>
      <c r="I282">
        <v>1.4615555386679451</v>
      </c>
      <c r="J282">
        <v>1.0480662646617871</v>
      </c>
      <c r="M282" s="13">
        <v>1</v>
      </c>
      <c r="O282" s="10">
        <f t="shared" si="12"/>
        <v>0</v>
      </c>
      <c r="P282" s="10">
        <f t="shared" si="13"/>
        <v>1</v>
      </c>
      <c r="R282" s="14">
        <v>-0.84118218217031471</v>
      </c>
      <c r="S282" s="14">
        <v>-1.1050437671162279</v>
      </c>
      <c r="T282" s="14">
        <v>-0.69297964379700727</v>
      </c>
      <c r="U282" s="14">
        <v>-7.5855885521833311E-2</v>
      </c>
      <c r="V282" s="14">
        <v>-0.52413996884501113</v>
      </c>
      <c r="W282" s="14">
        <v>1.341254195717591</v>
      </c>
      <c r="X282" s="14">
        <v>1.0638254059713372</v>
      </c>
      <c r="Y282" s="14">
        <v>0.41840526458657112</v>
      </c>
      <c r="Z282" s="14">
        <v>-1.0960024950753238</v>
      </c>
      <c r="AA282" s="14">
        <v>-0.15729006717113281</v>
      </c>
      <c r="AB282" s="14">
        <v>-0.21839106778776982</v>
      </c>
      <c r="AC282" s="14">
        <v>-0.40339448101468611</v>
      </c>
      <c r="AD282" s="14">
        <v>0.82448170934705356</v>
      </c>
      <c r="AE282" s="14">
        <v>-0.66241150588087527</v>
      </c>
      <c r="AF282" s="14">
        <v>-0.28947310768556811</v>
      </c>
      <c r="AG282" s="14">
        <v>0.74833945180129846</v>
      </c>
      <c r="AH282" s="14">
        <v>-0.21055576329439279</v>
      </c>
      <c r="AI282" s="14">
        <v>0.23942470786666969</v>
      </c>
      <c r="AJ282" s="14">
        <v>1.2599477849371823</v>
      </c>
      <c r="AK282" s="14">
        <v>0.12108596820528705</v>
      </c>
      <c r="AM282" s="14">
        <v>0.2775277218371589</v>
      </c>
      <c r="AN282" s="14">
        <v>0.93246691222499656</v>
      </c>
      <c r="AO282" s="14">
        <v>0.74504397752187357</v>
      </c>
      <c r="AP282" s="14">
        <v>0.2928994067151493</v>
      </c>
      <c r="AQ282" s="14">
        <v>0.83029780846014989</v>
      </c>
      <c r="AR282" s="14">
        <v>-0.49727702083025527</v>
      </c>
      <c r="AS282" s="14">
        <v>-0.95839065709498139</v>
      </c>
      <c r="AT282" s="14">
        <v>-0.74548776971350639</v>
      </c>
      <c r="AU282" s="14">
        <v>0.71761831738938198</v>
      </c>
      <c r="AV282" s="14">
        <v>0.7661243076395402</v>
      </c>
      <c r="AW282" s="14">
        <v>-5.4251906841880505E-2</v>
      </c>
      <c r="AX282" s="14">
        <v>0.62023491884695658</v>
      </c>
      <c r="AY282" s="14">
        <v>-0.90247206397893398</v>
      </c>
      <c r="AZ282" s="14">
        <v>0.95286029444604048</v>
      </c>
      <c r="BA282" s="14">
        <v>0.32129426267408329</v>
      </c>
      <c r="BB282" s="14">
        <v>0.22315281365782938</v>
      </c>
      <c r="BC282" s="14">
        <v>-0.61643811796240044</v>
      </c>
      <c r="BD282" s="14">
        <v>-0.92780913969997869</v>
      </c>
      <c r="BE282" s="14">
        <v>-0.92588245276487435</v>
      </c>
      <c r="BF282" s="14">
        <v>0.18285886071728144</v>
      </c>
      <c r="BK282" s="16">
        <v>-0.7639872229913317</v>
      </c>
      <c r="BL282" s="16">
        <v>0.49181177005939092</v>
      </c>
      <c r="BN282" s="17">
        <f t="shared" si="14"/>
        <v>1</v>
      </c>
    </row>
    <row r="283" spans="1:66" x14ac:dyDescent="0.2">
      <c r="A283">
        <v>-0.71351065593368546</v>
      </c>
      <c r="B283">
        <v>-1.218531056970523</v>
      </c>
      <c r="C283">
        <v>-0.76627157586232475</v>
      </c>
      <c r="D283">
        <v>-0.68118049093450694</v>
      </c>
      <c r="E283">
        <v>-1.144774562258343</v>
      </c>
      <c r="F283">
        <v>-0.85458657908248892</v>
      </c>
      <c r="G283">
        <v>-0.58074449059052602</v>
      </c>
      <c r="H283">
        <v>-0.65012495999555908</v>
      </c>
      <c r="I283">
        <v>-0.64672492397081616</v>
      </c>
      <c r="J283">
        <v>-0.51386343345871155</v>
      </c>
      <c r="M283" s="13">
        <v>0</v>
      </c>
      <c r="O283" s="10">
        <f t="shared" si="12"/>
        <v>1</v>
      </c>
      <c r="P283" s="10">
        <f t="shared" si="13"/>
        <v>0</v>
      </c>
      <c r="R283" s="14">
        <v>0.44210873236698267</v>
      </c>
      <c r="S283" s="14">
        <v>-1.0694846085657965</v>
      </c>
      <c r="T283" s="14">
        <v>-0.64619138791484632</v>
      </c>
      <c r="U283" s="14">
        <v>-0.78227261014283433</v>
      </c>
      <c r="V283" s="14">
        <v>-0.61731589159203482</v>
      </c>
      <c r="W283" s="14">
        <v>-7.5933595587437008E-2</v>
      </c>
      <c r="X283" s="14">
        <v>1.0623432466686333</v>
      </c>
      <c r="Y283" s="14">
        <v>0.68990742379701275</v>
      </c>
      <c r="Z283" s="14">
        <v>-0.57027290864812907</v>
      </c>
      <c r="AA283" s="14">
        <v>-0.19596444761324916</v>
      </c>
      <c r="AB283" s="14">
        <v>0.70911372162588193</v>
      </c>
      <c r="AC283" s="14">
        <v>-5.302050883692333E-2</v>
      </c>
      <c r="AD283" s="14">
        <v>1.0970624207478863</v>
      </c>
      <c r="AE283" s="14">
        <v>-0.61871714241936027</v>
      </c>
      <c r="AF283" s="14">
        <v>0.20417507006799551</v>
      </c>
      <c r="AG283" s="14">
        <v>-0.52234655976975741</v>
      </c>
      <c r="AH283" s="14">
        <v>-0.10294016847903042</v>
      </c>
      <c r="AI283" s="14">
        <v>0.27977830073106158</v>
      </c>
      <c r="AJ283" s="14">
        <v>1.5534703837642643</v>
      </c>
      <c r="AK283" s="14">
        <v>-1.2670811365652237</v>
      </c>
      <c r="AM283" s="14">
        <v>0.66500689823072556</v>
      </c>
      <c r="AN283" s="14">
        <v>0.53377621371536699</v>
      </c>
      <c r="AO283" s="14">
        <v>0.47427965285580992</v>
      </c>
      <c r="AP283" s="14">
        <v>0.23745242475940029</v>
      </c>
      <c r="AQ283" s="14">
        <v>0.47758879841242285</v>
      </c>
      <c r="AR283" s="14">
        <v>-0.39110987288140953</v>
      </c>
      <c r="AS283" s="14">
        <v>-0.68860482079569785</v>
      </c>
      <c r="AT283" s="14">
        <v>-0.30776851313434733</v>
      </c>
      <c r="AU283" s="14">
        <v>0.62319627242650422</v>
      </c>
      <c r="AV283" s="14">
        <v>0.43820594445085459</v>
      </c>
      <c r="AW283" s="14">
        <v>-0.13120618766922015</v>
      </c>
      <c r="AX283" s="14">
        <v>0.64630150530463548</v>
      </c>
      <c r="AY283" s="14">
        <v>-0.48940260493105353</v>
      </c>
      <c r="AZ283" s="14">
        <v>0.69689960355845659</v>
      </c>
      <c r="BA283" s="14">
        <v>0.22948376655700864</v>
      </c>
      <c r="BB283" s="14">
        <v>-0.22674291974924185</v>
      </c>
      <c r="BC283" s="14">
        <v>-0.19902867100380137</v>
      </c>
      <c r="BD283" s="14">
        <v>-0.42741762994515758</v>
      </c>
      <c r="BE283" s="14">
        <v>-0.46471858764709484</v>
      </c>
      <c r="BF283" s="14">
        <v>-0.50094987026093762</v>
      </c>
      <c r="BK283" s="16">
        <v>-0.65943611182459128</v>
      </c>
      <c r="BL283" s="16">
        <v>0.93431314884206973</v>
      </c>
      <c r="BN283" s="17">
        <f t="shared" si="14"/>
        <v>1</v>
      </c>
    </row>
    <row r="284" spans="1:66" x14ac:dyDescent="0.2">
      <c r="A284">
        <v>1.4767623084542569</v>
      </c>
      <c r="B284">
        <v>-0.19848984525517649</v>
      </c>
      <c r="C284">
        <v>1.4316575761073069</v>
      </c>
      <c r="D284">
        <v>1.3847062284566669</v>
      </c>
      <c r="E284">
        <v>0.72854837842445308</v>
      </c>
      <c r="F284">
        <v>0.88297964816504559</v>
      </c>
      <c r="G284">
        <v>1.1320307779154211</v>
      </c>
      <c r="H284">
        <v>1.5196884808765669</v>
      </c>
      <c r="I284">
        <v>1.2915186366992639</v>
      </c>
      <c r="J284">
        <v>1.617129817188911</v>
      </c>
      <c r="M284" s="13">
        <v>1</v>
      </c>
      <c r="O284" s="10">
        <f t="shared" si="12"/>
        <v>0</v>
      </c>
      <c r="P284" s="10">
        <f t="shared" si="13"/>
        <v>1</v>
      </c>
      <c r="R284" s="14">
        <v>-0.16528783013000209</v>
      </c>
      <c r="S284" s="14">
        <v>1.0358617540939059</v>
      </c>
      <c r="T284" s="14">
        <v>0.4472669290321708</v>
      </c>
      <c r="U284" s="14">
        <v>-1.1254913787990386</v>
      </c>
      <c r="V284" s="14">
        <v>1.5040341402231951</v>
      </c>
      <c r="W284" s="14">
        <v>0.54469813608759332</v>
      </c>
      <c r="X284" s="14">
        <v>-1.4659127546290991</v>
      </c>
      <c r="Y284" s="14">
        <v>-0.86845590691688268</v>
      </c>
      <c r="Z284" s="14">
        <v>1.5147319342632211</v>
      </c>
      <c r="AA284" s="14">
        <v>1.2106401303584022</v>
      </c>
      <c r="AB284" s="14">
        <v>-0.27599466947076201</v>
      </c>
      <c r="AC284" s="14">
        <v>1.064231007209566</v>
      </c>
      <c r="AD284" s="14">
        <v>-0.81577860893900511</v>
      </c>
      <c r="AE284" s="14">
        <v>1.6894064716414516</v>
      </c>
      <c r="AF284" s="14">
        <v>7.9285954324424202E-2</v>
      </c>
      <c r="AG284" s="14">
        <v>0.21157474226286976</v>
      </c>
      <c r="AH284" s="14">
        <v>-1.3598830182058419</v>
      </c>
      <c r="AI284" s="14">
        <v>-1.6035170157808385</v>
      </c>
      <c r="AJ284" s="14">
        <v>-0.55682240893413004</v>
      </c>
      <c r="AK284" s="14">
        <v>0.23023036053173263</v>
      </c>
      <c r="AM284" s="14">
        <v>0.37680549885933079</v>
      </c>
      <c r="AN284" s="14">
        <v>0.79493284186209789</v>
      </c>
      <c r="AO284" s="14">
        <v>0.63717020272540703</v>
      </c>
      <c r="AP284" s="14">
        <v>0.54463062185011979</v>
      </c>
      <c r="AQ284" s="14">
        <v>0.82000104657254802</v>
      </c>
      <c r="AR284" s="14">
        <v>-0.71403110325819219</v>
      </c>
      <c r="AS284" s="14">
        <v>-0.92673795913603696</v>
      </c>
      <c r="AT284" s="14">
        <v>-0.14682733432982145</v>
      </c>
      <c r="AU284" s="14">
        <v>0.92039476553763699</v>
      </c>
      <c r="AV284" s="14">
        <v>0.61989699084006455</v>
      </c>
      <c r="AW284" s="14">
        <v>-0.4250252385706666</v>
      </c>
      <c r="AX284" s="14">
        <v>0.73435810447862382</v>
      </c>
      <c r="AY284" s="14">
        <v>-0.80161954470520502</v>
      </c>
      <c r="AZ284" s="14">
        <v>0.89802917007041227</v>
      </c>
      <c r="BA284" s="14">
        <v>0.50176993642295797</v>
      </c>
      <c r="BB284" s="14">
        <v>9.1550661312503237E-2</v>
      </c>
      <c r="BC284" s="14">
        <v>-0.32823126636842764</v>
      </c>
      <c r="BD284" s="14">
        <v>-0.77202185566464177</v>
      </c>
      <c r="BE284" s="14">
        <v>-0.8370640646721772</v>
      </c>
      <c r="BF284" s="14">
        <v>-0.19688276099678367</v>
      </c>
      <c r="BK284" s="16">
        <v>0.45610454283137275</v>
      </c>
      <c r="BL284" s="16">
        <v>-0.474045077489886</v>
      </c>
      <c r="BN284" s="17">
        <f t="shared" si="14"/>
        <v>0</v>
      </c>
    </row>
    <row r="285" spans="1:66" x14ac:dyDescent="0.2">
      <c r="A285">
        <v>0.57320322653964839</v>
      </c>
      <c r="B285">
        <v>-5.3820538785932737E-2</v>
      </c>
      <c r="C285">
        <v>0.66802660185803886</v>
      </c>
      <c r="D285">
        <v>0.40631010762475961</v>
      </c>
      <c r="E285">
        <v>1.397592285811166</v>
      </c>
      <c r="F285">
        <v>1.282192152748497</v>
      </c>
      <c r="G285">
        <v>1.0267235982967891</v>
      </c>
      <c r="H285">
        <v>0.43478176044050421</v>
      </c>
      <c r="I285">
        <v>0.2341016525815286</v>
      </c>
      <c r="J285">
        <v>0.83841127162547868</v>
      </c>
      <c r="M285" s="13">
        <v>1</v>
      </c>
      <c r="O285" s="10">
        <f t="shared" si="12"/>
        <v>0</v>
      </c>
      <c r="P285" s="10">
        <f t="shared" si="13"/>
        <v>1</v>
      </c>
      <c r="R285" s="14">
        <v>-0.46108822715317055</v>
      </c>
      <c r="S285" s="14">
        <v>-1.1162085973197122</v>
      </c>
      <c r="T285" s="14">
        <v>-0.66609993624750952</v>
      </c>
      <c r="U285" s="14">
        <v>-0.5495440704658483</v>
      </c>
      <c r="V285" s="14">
        <v>-0.56847252181651564</v>
      </c>
      <c r="W285" s="14">
        <v>0.37956298890750428</v>
      </c>
      <c r="X285" s="14">
        <v>1.0637251376535186</v>
      </c>
      <c r="Y285" s="14">
        <v>1.0440298450581182</v>
      </c>
      <c r="Z285" s="14">
        <v>-0.42554590870771725</v>
      </c>
      <c r="AA285" s="14">
        <v>-0.2404146442042403</v>
      </c>
      <c r="AB285" s="14">
        <v>0.26413576735546873</v>
      </c>
      <c r="AC285" s="14">
        <v>-0.28457949815771477</v>
      </c>
      <c r="AD285" s="14">
        <v>1.0813455487710828</v>
      </c>
      <c r="AE285" s="14">
        <v>-0.65991951961462236</v>
      </c>
      <c r="AF285" s="14">
        <v>-6.792772042251205E-2</v>
      </c>
      <c r="AG285" s="14">
        <v>-0.33478664193383301</v>
      </c>
      <c r="AH285" s="14">
        <v>-8.9018064712226619E-2</v>
      </c>
      <c r="AI285" s="14">
        <v>0.31300238280006576</v>
      </c>
      <c r="AJ285" s="14">
        <v>1.5452701296050022</v>
      </c>
      <c r="AK285" s="14">
        <v>-0.82594304078338088</v>
      </c>
      <c r="AM285" s="14">
        <v>0.31190937559888565</v>
      </c>
      <c r="AN285" s="14">
        <v>0.17980198999089883</v>
      </c>
      <c r="AO285" s="14">
        <v>3.2095118150910033E-2</v>
      </c>
      <c r="AP285" s="14">
        <v>-7.135146790597896E-2</v>
      </c>
      <c r="AQ285" s="14">
        <v>-2.5905326175742235E-3</v>
      </c>
      <c r="AR285" s="14">
        <v>-0.23126649931674553</v>
      </c>
      <c r="AS285" s="14">
        <v>-0.15638837452268917</v>
      </c>
      <c r="AT285" s="14">
        <v>-0.23127817569776349</v>
      </c>
      <c r="AU285" s="14">
        <v>-2.5023015835779875E-2</v>
      </c>
      <c r="AV285" s="14">
        <v>0.14196371513093911</v>
      </c>
      <c r="AW285" s="14">
        <v>0.3029542227044108</v>
      </c>
      <c r="AX285" s="14">
        <v>9.8951664556469088E-2</v>
      </c>
      <c r="AY285" s="14">
        <v>-5.8970834030597781E-2</v>
      </c>
      <c r="AZ285" s="14">
        <v>0.26024491991686749</v>
      </c>
      <c r="BA285" s="14">
        <v>0.18687241684357839</v>
      </c>
      <c r="BB285" s="14">
        <v>-0.10156462438210198</v>
      </c>
      <c r="BC285" s="14">
        <v>-8.9833520309670484E-2</v>
      </c>
      <c r="BD285" s="14">
        <v>-0.15949563531511426</v>
      </c>
      <c r="BE285" s="14">
        <v>-0.11122561366759184</v>
      </c>
      <c r="BF285" s="14">
        <v>-0.17072261506143091</v>
      </c>
      <c r="BK285" s="16">
        <v>0.61665376270396155</v>
      </c>
      <c r="BL285" s="16">
        <v>-0.1157638106111842</v>
      </c>
      <c r="BN285" s="17">
        <f t="shared" si="14"/>
        <v>0</v>
      </c>
    </row>
    <row r="286" spans="1:66" x14ac:dyDescent="0.2">
      <c r="A286">
        <v>-0.38468377485716659</v>
      </c>
      <c r="B286">
        <v>-0.80659133685471007</v>
      </c>
      <c r="C286">
        <v>-0.35789501137249891</v>
      </c>
      <c r="D286">
        <v>-0.42413202494365848</v>
      </c>
      <c r="E286">
        <v>-0.17094398595101651</v>
      </c>
      <c r="F286">
        <v>0.24944676045652611</v>
      </c>
      <c r="G286">
        <v>-0.42048332160780277</v>
      </c>
      <c r="H286">
        <v>-0.52796943231287263</v>
      </c>
      <c r="I286">
        <v>-0.53708654655559362</v>
      </c>
      <c r="J286">
        <v>-0.23232672852424011</v>
      </c>
      <c r="M286" s="13">
        <v>0</v>
      </c>
      <c r="O286" s="10">
        <f t="shared" si="12"/>
        <v>1</v>
      </c>
      <c r="P286" s="10">
        <f t="shared" si="13"/>
        <v>0</v>
      </c>
      <c r="R286" s="14">
        <v>0.337915278064983</v>
      </c>
      <c r="S286" s="14">
        <v>1.0356353000950469</v>
      </c>
      <c r="T286" s="14">
        <v>0.44732642086827223</v>
      </c>
      <c r="U286" s="14">
        <v>-0.50011832060007799</v>
      </c>
      <c r="V286" s="14">
        <v>1.490212540356789</v>
      </c>
      <c r="W286" s="14">
        <v>-0.35785624527477045</v>
      </c>
      <c r="X286" s="14">
        <v>-1.4659122888701708</v>
      </c>
      <c r="Y286" s="14">
        <v>-0.99026379028397371</v>
      </c>
      <c r="Z286" s="14">
        <v>0.7761073836685477</v>
      </c>
      <c r="AA286" s="14">
        <v>1.2121370550430526</v>
      </c>
      <c r="AB286" s="14">
        <v>-0.22034668718289385</v>
      </c>
      <c r="AC286" s="14">
        <v>1.0592796340865267</v>
      </c>
      <c r="AD286" s="14">
        <v>-0.81542443556183331</v>
      </c>
      <c r="AE286" s="14">
        <v>1.6894067101204056</v>
      </c>
      <c r="AF286" s="14">
        <v>0.23772452753286055</v>
      </c>
      <c r="AG286" s="14">
        <v>0.24159296503673033</v>
      </c>
      <c r="AH286" s="14">
        <v>-1.2480188802708998</v>
      </c>
      <c r="AI286" s="14">
        <v>-1.6035558899116396</v>
      </c>
      <c r="AJ286" s="14">
        <v>-0.55687779637659895</v>
      </c>
      <c r="AK286" s="14">
        <v>-0.32447013286795512</v>
      </c>
      <c r="AM286" s="14">
        <v>-0.5757243577725355</v>
      </c>
      <c r="AN286" s="14">
        <v>0.78523414152192361</v>
      </c>
      <c r="AO286" s="14">
        <v>0.43627564891210846</v>
      </c>
      <c r="AP286" s="14">
        <v>0.42264667513398146</v>
      </c>
      <c r="AQ286" s="14">
        <v>0.90035177498659824</v>
      </c>
      <c r="AR286" s="14">
        <v>0.38630890579098681</v>
      </c>
      <c r="AS286" s="14">
        <v>-0.91343064132100149</v>
      </c>
      <c r="AT286" s="14">
        <v>-0.80829542321202874</v>
      </c>
      <c r="AU286" s="14">
        <v>0.55266794708074496</v>
      </c>
      <c r="AV286" s="14">
        <v>0.73294301646145166</v>
      </c>
      <c r="AW286" s="14">
        <v>4.9891475468030751E-2</v>
      </c>
      <c r="AX286" s="14">
        <v>0.23643391733800218</v>
      </c>
      <c r="AY286" s="14">
        <v>-0.81165563251273687</v>
      </c>
      <c r="AZ286" s="14">
        <v>0.80937711827870329</v>
      </c>
      <c r="BA286" s="14">
        <v>-0.33183569362096649</v>
      </c>
      <c r="BB286" s="14">
        <v>0.68674646136678419</v>
      </c>
      <c r="BC286" s="14">
        <v>-0.55159732198593991</v>
      </c>
      <c r="BD286" s="14">
        <v>-0.75676943670633956</v>
      </c>
      <c r="BE286" s="14">
        <v>-0.91172864581547575</v>
      </c>
      <c r="BF286" s="14">
        <v>0.83651794791866552</v>
      </c>
      <c r="BK286" s="16">
        <v>0.78400680619804275</v>
      </c>
      <c r="BL286" s="16">
        <v>-0.29252911156934092</v>
      </c>
      <c r="BN286" s="17">
        <f t="shared" si="14"/>
        <v>0</v>
      </c>
    </row>
    <row r="287" spans="1:66" x14ac:dyDescent="0.2">
      <c r="A287">
        <v>-0.4733240645386631</v>
      </c>
      <c r="B287">
        <v>-0.14454535809715369</v>
      </c>
      <c r="C287">
        <v>-0.53427716575072648</v>
      </c>
      <c r="D287">
        <v>-0.50357813537308094</v>
      </c>
      <c r="E287">
        <v>-1.1678194079572191</v>
      </c>
      <c r="F287">
        <v>-1.1098594197462539</v>
      </c>
      <c r="G287">
        <v>-1.2122297283715719</v>
      </c>
      <c r="H287">
        <v>-0.61078673921638893</v>
      </c>
      <c r="I287">
        <v>-0.59287990501406718</v>
      </c>
      <c r="J287">
        <v>-1.623956670872674</v>
      </c>
      <c r="M287" s="13">
        <v>0</v>
      </c>
      <c r="O287" s="10">
        <f t="shared" si="12"/>
        <v>1</v>
      </c>
      <c r="P287" s="10">
        <f t="shared" si="13"/>
        <v>0</v>
      </c>
      <c r="R287" s="14">
        <v>0.47190224492745791</v>
      </c>
      <c r="S287" s="14">
        <v>0.92646135607309643</v>
      </c>
      <c r="T287" s="14">
        <v>0.37071196502337223</v>
      </c>
      <c r="U287" s="14">
        <v>-0.28030364946753344</v>
      </c>
      <c r="V287" s="14">
        <v>1.2466442976456342</v>
      </c>
      <c r="W287" s="14">
        <v>-0.54514230823621523</v>
      </c>
      <c r="X287" s="14">
        <v>-1.4617883297888019</v>
      </c>
      <c r="Y287" s="14">
        <v>-0.28486769870954998</v>
      </c>
      <c r="Z287" s="14">
        <v>1.3071484702961715</v>
      </c>
      <c r="AA287" s="14">
        <v>1.1162600920134054</v>
      </c>
      <c r="AB287" s="14">
        <v>-0.13571468866386971</v>
      </c>
      <c r="AC287" s="14">
        <v>1.0456962731760382</v>
      </c>
      <c r="AD287" s="14">
        <v>-0.65848064359121372</v>
      </c>
      <c r="AE287" s="14">
        <v>1.6843656652619576</v>
      </c>
      <c r="AF287" s="14">
        <v>5.8761855410850439E-2</v>
      </c>
      <c r="AG287" s="14">
        <v>-0.73288176280489825</v>
      </c>
      <c r="AH287" s="14">
        <v>-0.75690613208111102</v>
      </c>
      <c r="AI287" s="14">
        <v>-1.3541664146376675</v>
      </c>
      <c r="AJ287" s="14">
        <v>-0.23888169263654463</v>
      </c>
      <c r="AK287" s="14">
        <v>-1.2576537493843571</v>
      </c>
      <c r="AM287" s="14">
        <v>0.51325429994885108</v>
      </c>
      <c r="AN287" s="14">
        <v>0.91758371567970665</v>
      </c>
      <c r="AO287" s="14">
        <v>0.19865001471570531</v>
      </c>
      <c r="AP287" s="14">
        <v>-0.72178593541498093</v>
      </c>
      <c r="AQ287" s="14">
        <v>0.49591636704517356</v>
      </c>
      <c r="AR287" s="14">
        <v>0.31455104411331991</v>
      </c>
      <c r="AS287" s="14">
        <v>-0.88358706145589117</v>
      </c>
      <c r="AT287" s="14">
        <v>-0.95007016519838672</v>
      </c>
      <c r="AU287" s="14">
        <v>3.0372463986496489E-4</v>
      </c>
      <c r="AV287" s="14">
        <v>0.64638758194833679</v>
      </c>
      <c r="AW287" s="14">
        <v>0.89974309851254985</v>
      </c>
      <c r="AX287" s="14">
        <v>0.43824777525042141</v>
      </c>
      <c r="AY287" s="14">
        <v>-0.76033735720689166</v>
      </c>
      <c r="AZ287" s="14">
        <v>0.9135963872229953</v>
      </c>
      <c r="BA287" s="14">
        <v>-0.33855382227778141</v>
      </c>
      <c r="BB287" s="14">
        <v>-0.40244573726194555</v>
      </c>
      <c r="BC287" s="14">
        <v>-0.77163130213171582</v>
      </c>
      <c r="BD287" s="14">
        <v>-0.85809890072835149</v>
      </c>
      <c r="BE287" s="14">
        <v>-0.70645674537077252</v>
      </c>
      <c r="BF287" s="14">
        <v>0.48081836489374685</v>
      </c>
      <c r="BK287" s="16">
        <v>0.5276423704009654</v>
      </c>
      <c r="BL287" s="16">
        <v>-0.4280572879768425</v>
      </c>
      <c r="BN287" s="17">
        <f t="shared" si="14"/>
        <v>0</v>
      </c>
    </row>
    <row r="288" spans="1:66" x14ac:dyDescent="0.2">
      <c r="A288">
        <v>-0.65632337226820414</v>
      </c>
      <c r="B288">
        <v>0.43413186777982238</v>
      </c>
      <c r="C288">
        <v>-0.6156204651816265</v>
      </c>
      <c r="D288">
        <v>-0.6417452839459894</v>
      </c>
      <c r="E288">
        <v>-7.2445855141306012E-2</v>
      </c>
      <c r="F288">
        <v>-0.31788132059125962</v>
      </c>
      <c r="G288">
        <v>-0.31798774144500852</v>
      </c>
      <c r="H288">
        <v>-0.6646179887036745</v>
      </c>
      <c r="I288">
        <v>-0.62476182413319481</v>
      </c>
      <c r="J288">
        <v>-2.566680681702151E-2</v>
      </c>
      <c r="M288" s="13">
        <v>0</v>
      </c>
      <c r="O288" s="10">
        <f t="shared" si="12"/>
        <v>1</v>
      </c>
      <c r="P288" s="10">
        <f t="shared" si="13"/>
        <v>0</v>
      </c>
      <c r="R288" s="14">
        <v>0.39677082158755106</v>
      </c>
      <c r="S288" s="14">
        <v>0.9888342176215893</v>
      </c>
      <c r="T288" s="14">
        <v>0.44227775420789339</v>
      </c>
      <c r="U288" s="14">
        <v>0.10300429647771303</v>
      </c>
      <c r="V288" s="14">
        <v>1.4851924841505197</v>
      </c>
      <c r="W288" s="14">
        <v>-0.84792203504839114</v>
      </c>
      <c r="X288" s="14">
        <v>-1.4658915675701523</v>
      </c>
      <c r="Y288" s="14">
        <v>0.47129851340833068</v>
      </c>
      <c r="Z288" s="14">
        <v>1.6484420127038599</v>
      </c>
      <c r="AA288" s="14">
        <v>1.1883202646515747</v>
      </c>
      <c r="AB288" s="14">
        <v>-0.2866035076457556</v>
      </c>
      <c r="AC288" s="14">
        <v>1.0618621690184706</v>
      </c>
      <c r="AD288" s="14">
        <v>-0.81210084454023412</v>
      </c>
      <c r="AE288" s="14">
        <v>1.6891645244735893</v>
      </c>
      <c r="AF288" s="14">
        <v>0.24541534792913522</v>
      </c>
      <c r="AG288" s="14">
        <v>0.22360376125434023</v>
      </c>
      <c r="AH288" s="14">
        <v>-0.89439599796096869</v>
      </c>
      <c r="AI288" s="14">
        <v>-1.5947656117828037</v>
      </c>
      <c r="AJ288" s="14">
        <v>-0.55561976786205891</v>
      </c>
      <c r="AK288" s="14">
        <v>-0.93378475972426411</v>
      </c>
      <c r="AM288" s="14">
        <v>-0.37311829294042342</v>
      </c>
      <c r="AN288" s="14">
        <v>0.96021025096014578</v>
      </c>
      <c r="AO288" s="14">
        <v>0.25605111060906655</v>
      </c>
      <c r="AP288" s="14">
        <v>-0.758162163010206</v>
      </c>
      <c r="AQ288" s="14">
        <v>0.71515436743532745</v>
      </c>
      <c r="AR288" s="14">
        <v>0.70045705922352575</v>
      </c>
      <c r="AS288" s="14">
        <v>-0.94562246079527112</v>
      </c>
      <c r="AT288" s="14">
        <v>-0.98803706426801674</v>
      </c>
      <c r="AU288" s="14">
        <v>-0.46379697989531898</v>
      </c>
      <c r="AV288" s="14">
        <v>0.75168370308152799</v>
      </c>
      <c r="AW288" s="14">
        <v>0.95615264116192256</v>
      </c>
      <c r="AX288" s="14">
        <v>1.8769737348424301E-2</v>
      </c>
      <c r="AY288" s="14">
        <v>-0.89078805413219697</v>
      </c>
      <c r="AZ288" s="14">
        <v>0.93834016970992173</v>
      </c>
      <c r="BA288" s="14">
        <v>-0.62182657256972018</v>
      </c>
      <c r="BB288" s="14">
        <v>9.1477715150429059E-2</v>
      </c>
      <c r="BC288" s="14">
        <v>-0.8637740893605379</v>
      </c>
      <c r="BD288" s="14">
        <v>-0.94634486902169535</v>
      </c>
      <c r="BE288" s="14">
        <v>-0.91398815860119886</v>
      </c>
      <c r="BF288" s="14">
        <v>0.92385914596445162</v>
      </c>
      <c r="BK288" s="16">
        <v>0.57813543915048093</v>
      </c>
      <c r="BL288" s="16">
        <v>-0.50549723058562268</v>
      </c>
      <c r="BN288" s="17">
        <f t="shared" si="14"/>
        <v>0</v>
      </c>
    </row>
    <row r="289" spans="1:66" x14ac:dyDescent="0.2">
      <c r="A289">
        <v>-0.38468377485716659</v>
      </c>
      <c r="B289">
        <v>-1.4392130498897091</v>
      </c>
      <c r="C289">
        <v>-0.44878369798151491</v>
      </c>
      <c r="D289">
        <v>-0.42614696252701362</v>
      </c>
      <c r="E289">
        <v>-1.258326180984255</v>
      </c>
      <c r="F289">
        <v>-0.85272689350213127</v>
      </c>
      <c r="G289">
        <v>-0.98765961183533535</v>
      </c>
      <c r="H289">
        <v>-0.5859415471453342</v>
      </c>
      <c r="I289">
        <v>-0.5700311963120257</v>
      </c>
      <c r="J289">
        <v>-0.95174286177168754</v>
      </c>
      <c r="M289" s="13">
        <v>0</v>
      </c>
      <c r="O289" s="10">
        <f t="shared" si="12"/>
        <v>1</v>
      </c>
      <c r="P289" s="10">
        <f t="shared" si="13"/>
        <v>0</v>
      </c>
      <c r="R289" s="14">
        <v>8.6573930196142568E-2</v>
      </c>
      <c r="S289" s="14">
        <v>0.4283503025279663</v>
      </c>
      <c r="T289" s="14">
        <v>-0.64264671488134284</v>
      </c>
      <c r="U289" s="14">
        <v>-0.64447067699781935</v>
      </c>
      <c r="V289" s="14">
        <v>0.17796182308671493</v>
      </c>
      <c r="W289" s="14">
        <v>-0.55544594876979447</v>
      </c>
      <c r="X289" s="14">
        <v>-0.34652775557085042</v>
      </c>
      <c r="Y289" s="14">
        <v>-0.58663601611140925</v>
      </c>
      <c r="Z289" s="14">
        <v>0.48848838026379154</v>
      </c>
      <c r="AA289" s="14">
        <v>0.4707162661814423</v>
      </c>
      <c r="AB289" s="14">
        <v>1.4955811943302282</v>
      </c>
      <c r="AC289" s="14">
        <v>4.2100410659727985E-2</v>
      </c>
      <c r="AD289" s="14">
        <v>0.39951847661608986</v>
      </c>
      <c r="AE289" s="14">
        <v>1.2912981330044802</v>
      </c>
      <c r="AF289" s="14">
        <v>-0.43270692629362323</v>
      </c>
      <c r="AG289" s="14">
        <v>-0.90606972430020649</v>
      </c>
      <c r="AH289" s="14">
        <v>-0.56130877931981926</v>
      </c>
      <c r="AI289" s="14">
        <v>-0.95358158483731381</v>
      </c>
      <c r="AJ289" s="14">
        <v>0.44132013990551994</v>
      </c>
      <c r="AK289" s="14">
        <v>-0.82132224518016506</v>
      </c>
      <c r="AM289" s="14">
        <v>-0.90408538911082847</v>
      </c>
      <c r="AN289" s="14">
        <v>0.82055030920296401</v>
      </c>
      <c r="AO289" s="14">
        <v>0.47616449082989815</v>
      </c>
      <c r="AP289" s="14">
        <v>0.72587985739826355</v>
      </c>
      <c r="AQ289" s="14">
        <v>0.71046746189485488</v>
      </c>
      <c r="AR289" s="14">
        <v>0.93585024594816191</v>
      </c>
      <c r="AS289" s="14">
        <v>-0.88992902168743193</v>
      </c>
      <c r="AT289" s="14">
        <v>-0.93702127007823399</v>
      </c>
      <c r="AU289" s="14">
        <v>-0.60311490590356631</v>
      </c>
      <c r="AV289" s="14">
        <v>0.68568110869415566</v>
      </c>
      <c r="AW289" s="14">
        <v>-1.5723530965845098E-2</v>
      </c>
      <c r="AX289" s="14">
        <v>-0.58092163956621956</v>
      </c>
      <c r="AY289" s="14">
        <v>-0.8864187849367553</v>
      </c>
      <c r="AZ289" s="14">
        <v>0.60760933563627118</v>
      </c>
      <c r="BA289" s="14">
        <v>-0.79731880546111444</v>
      </c>
      <c r="BB289" s="14">
        <v>0.66047349401007027</v>
      </c>
      <c r="BC289" s="14">
        <v>-0.60330592683050266</v>
      </c>
      <c r="BD289" s="14">
        <v>-0.82252280961761537</v>
      </c>
      <c r="BE289" s="14">
        <v>-0.91751356676493501</v>
      </c>
      <c r="BF289" s="14">
        <v>0.92317514727885697</v>
      </c>
      <c r="BK289" s="16">
        <v>0.808182601439009</v>
      </c>
      <c r="BL289" s="16">
        <v>-0.3033567164334498</v>
      </c>
      <c r="BN289" s="17">
        <f t="shared" si="14"/>
        <v>0</v>
      </c>
    </row>
    <row r="290" spans="1:66" x14ac:dyDescent="0.2">
      <c r="A290">
        <v>-0.85076013673084128</v>
      </c>
      <c r="B290">
        <v>0.2379700962961018</v>
      </c>
      <c r="C290">
        <v>-0.78785245122154302</v>
      </c>
      <c r="D290">
        <v>-0.77674610203076855</v>
      </c>
      <c r="E290">
        <v>0.24349154556908631</v>
      </c>
      <c r="F290">
        <v>1.6862083873124451E-2</v>
      </c>
      <c r="G290">
        <v>0.14132536965858589</v>
      </c>
      <c r="H290">
        <v>-0.95033769752080588</v>
      </c>
      <c r="I290">
        <v>-0.81693894771238129</v>
      </c>
      <c r="J290">
        <v>-0.3605157814092973</v>
      </c>
      <c r="M290" s="13">
        <v>0</v>
      </c>
      <c r="O290" s="10">
        <f t="shared" si="12"/>
        <v>1</v>
      </c>
      <c r="P290" s="10">
        <f t="shared" si="13"/>
        <v>0</v>
      </c>
      <c r="R290" s="14">
        <v>-0.77826244507057041</v>
      </c>
      <c r="S290" s="14">
        <v>1.035789241241627</v>
      </c>
      <c r="T290" s="14">
        <v>0.41734748097427188</v>
      </c>
      <c r="U290" s="14">
        <v>6.8877388622829216E-2</v>
      </c>
      <c r="V290" s="14">
        <v>1.504536058760003</v>
      </c>
      <c r="W290" s="14">
        <v>0.65536091767584459</v>
      </c>
      <c r="X290" s="14">
        <v>-1.4659123743930096</v>
      </c>
      <c r="Y290" s="14">
        <v>-1.0675939642910008</v>
      </c>
      <c r="Z290" s="14">
        <v>1.1405923488995267</v>
      </c>
      <c r="AA290" s="14">
        <v>1.2160333561547243</v>
      </c>
      <c r="AB290" s="14">
        <v>-0.28235111792828294</v>
      </c>
      <c r="AC290" s="14">
        <v>0.99545634841329178</v>
      </c>
      <c r="AD290" s="14">
        <v>-0.81571613046750846</v>
      </c>
      <c r="AE290" s="14">
        <v>1.6893464767406479</v>
      </c>
      <c r="AF290" s="14">
        <v>0.20048499581899559</v>
      </c>
      <c r="AG290" s="14">
        <v>0.28932409615672006</v>
      </c>
      <c r="AH290" s="14">
        <v>-1.3478126498958707</v>
      </c>
      <c r="AI290" s="14">
        <v>-1.6034519301847374</v>
      </c>
      <c r="AJ290" s="14">
        <v>-0.55690295272615664</v>
      </c>
      <c r="AK290" s="14">
        <v>0.35680723306140671</v>
      </c>
      <c r="AM290" s="14">
        <v>-0.44310700100890732</v>
      </c>
      <c r="AN290" s="14">
        <v>0.72126021457689871</v>
      </c>
      <c r="AO290" s="14">
        <v>0.60034361042012629</v>
      </c>
      <c r="AP290" s="14">
        <v>0.64156166648002633</v>
      </c>
      <c r="AQ290" s="14">
        <v>0.88345693635555955</v>
      </c>
      <c r="AR290" s="14">
        <v>0.23814882583591951</v>
      </c>
      <c r="AS290" s="14">
        <v>-0.89426311765009892</v>
      </c>
      <c r="AT290" s="14">
        <v>-0.33074697761193111</v>
      </c>
      <c r="AU290" s="14">
        <v>0.8137357547681241</v>
      </c>
      <c r="AV290" s="14">
        <v>0.63125208007194289</v>
      </c>
      <c r="AW290" s="14">
        <v>-0.76749788869744195</v>
      </c>
      <c r="AX290" s="14">
        <v>0.44182382852659902</v>
      </c>
      <c r="AY290" s="14">
        <v>-0.80887201706803058</v>
      </c>
      <c r="AZ290" s="14">
        <v>0.75461877198204286</v>
      </c>
      <c r="BA290" s="14">
        <v>-0.27078944809761096</v>
      </c>
      <c r="BB290" s="14">
        <v>0.55393621087272549</v>
      </c>
      <c r="BC290" s="14">
        <v>-0.41930515234228627</v>
      </c>
      <c r="BD290" s="14">
        <v>-0.66937006856711623</v>
      </c>
      <c r="BE290" s="14">
        <v>-0.84707672985676286</v>
      </c>
      <c r="BF290" s="14">
        <v>0.55361006530610191</v>
      </c>
      <c r="BK290" s="16">
        <v>-0.49033289250456796</v>
      </c>
      <c r="BL290" s="16">
        <v>0.65119837867124197</v>
      </c>
      <c r="BN290" s="17">
        <f t="shared" si="14"/>
        <v>1</v>
      </c>
    </row>
    <row r="291" spans="1:66" x14ac:dyDescent="0.2">
      <c r="A291">
        <v>-0.81930713071482664</v>
      </c>
      <c r="B291">
        <v>-2.439627306337442E-2</v>
      </c>
      <c r="C291">
        <v>-0.8521800604653671</v>
      </c>
      <c r="D291">
        <v>-0.771276985733091</v>
      </c>
      <c r="E291">
        <v>-1.020629748332142</v>
      </c>
      <c r="F291">
        <v>-0.83549380712415</v>
      </c>
      <c r="G291">
        <v>-0.73154846140361496</v>
      </c>
      <c r="H291">
        <v>-0.84681606389141051</v>
      </c>
      <c r="I291">
        <v>-0.77850352299654402</v>
      </c>
      <c r="J291">
        <v>-0.82639912664926585</v>
      </c>
      <c r="M291" s="13">
        <v>0</v>
      </c>
      <c r="O291" s="10">
        <f t="shared" si="12"/>
        <v>1</v>
      </c>
      <c r="P291" s="10">
        <f t="shared" si="13"/>
        <v>0</v>
      </c>
      <c r="R291" s="14">
        <v>0.43758077073344259</v>
      </c>
      <c r="S291" s="14">
        <v>1.0358748838990708</v>
      </c>
      <c r="T291" s="14">
        <v>-3.2251507624248887E-2</v>
      </c>
      <c r="U291" s="14">
        <v>-1.4409046014297811</v>
      </c>
      <c r="V291" s="14">
        <v>1.0407315510018753</v>
      </c>
      <c r="W291" s="14">
        <v>0.50278644858057864</v>
      </c>
      <c r="X291" s="14">
        <v>-1.4656194970133922</v>
      </c>
      <c r="Y291" s="14">
        <v>-1.1204805264739466</v>
      </c>
      <c r="Z291" s="14">
        <v>-5.769504135380632E-2</v>
      </c>
      <c r="AA291" s="14">
        <v>1.1929772006514989</v>
      </c>
      <c r="AB291" s="14">
        <v>1.7110939533333061</v>
      </c>
      <c r="AC291" s="14">
        <v>0.92125706845574029</v>
      </c>
      <c r="AD291" s="14">
        <v>-0.79894959461449366</v>
      </c>
      <c r="AE291" s="14">
        <v>1.6893685633017079</v>
      </c>
      <c r="AF291" s="14">
        <v>-0.77420230397799406</v>
      </c>
      <c r="AG291" s="14">
        <v>-1.1025797903566907</v>
      </c>
      <c r="AH291" s="14">
        <v>-1.3694223716057066</v>
      </c>
      <c r="AI291" s="14">
        <v>-1.6030961810071438</v>
      </c>
      <c r="AJ291" s="14">
        <v>-0.5122385787018362</v>
      </c>
      <c r="AK291" s="14">
        <v>4.2199509600328589E-2</v>
      </c>
      <c r="AM291" s="14">
        <v>-0.20000354849276866</v>
      </c>
      <c r="AN291" s="14">
        <v>-0.18230300031468952</v>
      </c>
      <c r="AO291" s="14">
        <v>0.24329709537035765</v>
      </c>
      <c r="AP291" s="14">
        <v>0.69406536315096756</v>
      </c>
      <c r="AQ291" s="14">
        <v>0.64667917234434857</v>
      </c>
      <c r="AR291" s="14">
        <v>-0.30870230067882543</v>
      </c>
      <c r="AS291" s="14">
        <v>-0.19523278566994157</v>
      </c>
      <c r="AT291" s="14">
        <v>0.60552230917048078</v>
      </c>
      <c r="AU291" s="14">
        <v>0.68038728298145323</v>
      </c>
      <c r="AV291" s="14">
        <v>0.2925513687898264</v>
      </c>
      <c r="AW291" s="14">
        <v>-0.88918097353170467</v>
      </c>
      <c r="AX291" s="14">
        <v>0.14584496174119949</v>
      </c>
      <c r="AY291" s="14">
        <v>-5.1029532233845369E-2</v>
      </c>
      <c r="AZ291" s="14">
        <v>2.3254773969902824E-2</v>
      </c>
      <c r="BA291" s="14">
        <v>0.23957903927120011</v>
      </c>
      <c r="BB291" s="14">
        <v>0.61271094187691977</v>
      </c>
      <c r="BC291" s="14">
        <v>9.4027868172989526E-2</v>
      </c>
      <c r="BD291" s="14">
        <v>0.1976224364090132</v>
      </c>
      <c r="BE291" s="14">
        <v>-0.31398872093896762</v>
      </c>
      <c r="BF291" s="14">
        <v>-5.8474513745424922E-2</v>
      </c>
      <c r="BK291" s="16">
        <v>0.60522189978290442</v>
      </c>
      <c r="BL291" s="16">
        <v>-0.37597200768564126</v>
      </c>
      <c r="BN291" s="17">
        <f t="shared" si="14"/>
        <v>0</v>
      </c>
    </row>
    <row r="292" spans="1:66" x14ac:dyDescent="0.2">
      <c r="A292">
        <v>4.9939581000492922E-2</v>
      </c>
      <c r="B292">
        <v>0.18157358699453199</v>
      </c>
      <c r="C292">
        <v>0.13805010505569401</v>
      </c>
      <c r="D292">
        <v>-3.7264008939515127E-2</v>
      </c>
      <c r="E292">
        <v>1.163426918225817</v>
      </c>
      <c r="F292">
        <v>0.5556749860220922</v>
      </c>
      <c r="G292">
        <v>0.40050371949667413</v>
      </c>
      <c r="H292">
        <v>-0.14079852253893421</v>
      </c>
      <c r="I292">
        <v>-0.2329684625136923</v>
      </c>
      <c r="J292">
        <v>-0.2263365858660599</v>
      </c>
      <c r="M292" s="13">
        <v>0</v>
      </c>
      <c r="O292" s="10">
        <f t="shared" si="12"/>
        <v>1</v>
      </c>
      <c r="P292" s="10">
        <f t="shared" si="13"/>
        <v>0</v>
      </c>
      <c r="R292" s="14">
        <v>-0.39922349230820253</v>
      </c>
      <c r="S292" s="14">
        <v>1.0359329921349818</v>
      </c>
      <c r="T292" s="14">
        <v>0.12689482486148629</v>
      </c>
      <c r="U292" s="14">
        <v>-1.4664536108758774</v>
      </c>
      <c r="V292" s="14">
        <v>1.4456570356612226</v>
      </c>
      <c r="W292" s="14">
        <v>0.71618455180812557</v>
      </c>
      <c r="X292" s="14">
        <v>-1.4659111609954203</v>
      </c>
      <c r="Y292" s="14">
        <v>-1.1225442858091685</v>
      </c>
      <c r="Z292" s="14">
        <v>-0.22268669671218444</v>
      </c>
      <c r="AA292" s="14">
        <v>1.2149631982897522</v>
      </c>
      <c r="AB292" s="14">
        <v>1.7114427229769302</v>
      </c>
      <c r="AC292" s="14">
        <v>0.44605843666330552</v>
      </c>
      <c r="AD292" s="14">
        <v>-0.8156197780671951</v>
      </c>
      <c r="AE292" s="14">
        <v>1.6894077169602562</v>
      </c>
      <c r="AF292" s="14">
        <v>-0.60297183057556425</v>
      </c>
      <c r="AG292" s="14">
        <v>0.19733253081115099</v>
      </c>
      <c r="AH292" s="14">
        <v>-1.4272392497116273</v>
      </c>
      <c r="AI292" s="14">
        <v>-1.6036284189903673</v>
      </c>
      <c r="AJ292" s="14">
        <v>-0.55687202036596339</v>
      </c>
      <c r="AK292" s="14">
        <v>0.39651664455548685</v>
      </c>
      <c r="AM292" s="14">
        <v>0.1132078230535709</v>
      </c>
      <c r="AN292" s="14">
        <v>0.35927650010387124</v>
      </c>
      <c r="AO292" s="14">
        <v>0.28589207670788441</v>
      </c>
      <c r="AP292" s="14">
        <v>0.43024645447372384</v>
      </c>
      <c r="AQ292" s="14">
        <v>0.62018676945012519</v>
      </c>
      <c r="AR292" s="14">
        <v>-0.10199905615651708</v>
      </c>
      <c r="AS292" s="14">
        <v>-0.61095150841711221</v>
      </c>
      <c r="AT292" s="14">
        <v>-0.31819571205269398</v>
      </c>
      <c r="AU292" s="14">
        <v>0.49847010333817254</v>
      </c>
      <c r="AV292" s="14">
        <v>0.47060192330841166</v>
      </c>
      <c r="AW292" s="14">
        <v>-0.25444395290416277</v>
      </c>
      <c r="AX292" s="14">
        <v>0.30031328857478934</v>
      </c>
      <c r="AY292" s="14">
        <v>-0.40841325760604996</v>
      </c>
      <c r="AZ292" s="14">
        <v>0.50399456692908762</v>
      </c>
      <c r="BA292" s="14">
        <v>5.6328828818393274E-2</v>
      </c>
      <c r="BB292" s="14">
        <v>0.33550927548348497</v>
      </c>
      <c r="BC292" s="14">
        <v>-0.18925484897660352</v>
      </c>
      <c r="BD292" s="14">
        <v>-0.28971932116142868</v>
      </c>
      <c r="BE292" s="14">
        <v>-0.57523478629671498</v>
      </c>
      <c r="BF292" s="14">
        <v>0.11078368830030354</v>
      </c>
      <c r="BK292" s="16">
        <v>-0.33714092384214844</v>
      </c>
      <c r="BL292" s="16">
        <v>0.87049284306212782</v>
      </c>
      <c r="BN292" s="17">
        <f t="shared" si="14"/>
        <v>1</v>
      </c>
    </row>
    <row r="293" spans="1:66" x14ac:dyDescent="0.2">
      <c r="A293">
        <v>0.20720461108056731</v>
      </c>
      <c r="B293">
        <v>2.7096191951102411E-2</v>
      </c>
      <c r="C293">
        <v>0.1795517884388064</v>
      </c>
      <c r="D293">
        <v>6.7224897168746703E-2</v>
      </c>
      <c r="E293">
        <v>-0.1257835222024134</v>
      </c>
      <c r="F293">
        <v>-0.39648403112104469</v>
      </c>
      <c r="G293">
        <v>-5.5230992299490987E-2</v>
      </c>
      <c r="H293">
        <v>-4.1417754254714563E-2</v>
      </c>
      <c r="I293">
        <v>-0.15769170903797411</v>
      </c>
      <c r="J293">
        <v>0.47451010514102893</v>
      </c>
      <c r="M293" s="13">
        <v>0</v>
      </c>
      <c r="O293" s="10">
        <f t="shared" si="12"/>
        <v>1</v>
      </c>
      <c r="P293" s="10">
        <f t="shared" si="13"/>
        <v>0</v>
      </c>
      <c r="R293" s="14">
        <v>-1.4319937662866593</v>
      </c>
      <c r="S293" s="14">
        <v>1.0328451565673693</v>
      </c>
      <c r="T293" s="14">
        <v>0.3808558464191476</v>
      </c>
      <c r="U293" s="14">
        <v>0.28458603388320125</v>
      </c>
      <c r="V293" s="14">
        <v>1.4001399879248353</v>
      </c>
      <c r="W293" s="14">
        <v>0.74168020443207738</v>
      </c>
      <c r="X293" s="14">
        <v>-1.4652765391989322</v>
      </c>
      <c r="Y293" s="14">
        <v>-1.1168009388545019</v>
      </c>
      <c r="Z293" s="14">
        <v>-0.23575469015581307</v>
      </c>
      <c r="AA293" s="14">
        <v>1.2109712782523689</v>
      </c>
      <c r="AB293" s="14">
        <v>-0.16151372759497773</v>
      </c>
      <c r="AC293" s="14">
        <v>-0.83242264073339345</v>
      </c>
      <c r="AD293" s="14">
        <v>-0.81510283907879488</v>
      </c>
      <c r="AE293" s="14">
        <v>1.0053967402063773</v>
      </c>
      <c r="AF293" s="14">
        <v>-1.3146050391995978</v>
      </c>
      <c r="AG293" s="14">
        <v>0.28264702798422081</v>
      </c>
      <c r="AH293" s="14">
        <v>-1.2757270524248308</v>
      </c>
      <c r="AI293" s="14">
        <v>-1.6022192800796113</v>
      </c>
      <c r="AJ293" s="14">
        <v>-0.55674884793763368</v>
      </c>
      <c r="AK293" s="14">
        <v>0.39284841095300271</v>
      </c>
      <c r="AM293" s="14">
        <v>2.5301871919353611E-2</v>
      </c>
      <c r="AN293" s="14">
        <v>-0.31425366847874742</v>
      </c>
      <c r="AO293" s="14">
        <v>0.18709695793362169</v>
      </c>
      <c r="AP293" s="14">
        <v>0.42217361398767861</v>
      </c>
      <c r="AQ293" s="14">
        <v>0.30244458663832768</v>
      </c>
      <c r="AR293" s="14">
        <v>-0.39765608187202139</v>
      </c>
      <c r="AS293" s="14">
        <v>2.6381356213888589E-2</v>
      </c>
      <c r="AT293" s="14">
        <v>0.6086977077714546</v>
      </c>
      <c r="AU293" s="14">
        <v>0.55062121477080961</v>
      </c>
      <c r="AV293" s="14">
        <v>-1.522789168370952E-2</v>
      </c>
      <c r="AW293" s="14">
        <v>-0.72689925476287398</v>
      </c>
      <c r="AX293" s="14">
        <v>0.22228445303949504</v>
      </c>
      <c r="AY293" s="14">
        <v>0.10614706344821921</v>
      </c>
      <c r="AZ293" s="14">
        <v>-0.12123431150915219</v>
      </c>
      <c r="BA293" s="14">
        <v>0.25681381338200326</v>
      </c>
      <c r="BB293" s="14">
        <v>0.18608478559913547</v>
      </c>
      <c r="BC293" s="14">
        <v>0.20842626370529702</v>
      </c>
      <c r="BD293" s="14">
        <v>0.2867276126234159</v>
      </c>
      <c r="BE293" s="14">
        <v>7.1915709477211867E-3</v>
      </c>
      <c r="BF293" s="14">
        <v>-0.33913308015105248</v>
      </c>
      <c r="BK293" s="16">
        <v>0.35345374150044168</v>
      </c>
      <c r="BL293" s="16">
        <v>-0.28396182674074083</v>
      </c>
      <c r="BN293" s="17">
        <f t="shared" si="14"/>
        <v>0</v>
      </c>
    </row>
    <row r="294" spans="1:66" x14ac:dyDescent="0.2">
      <c r="A294">
        <v>-0.36752758975752248</v>
      </c>
      <c r="B294">
        <v>-0.72812662826122188</v>
      </c>
      <c r="C294">
        <v>-0.39690659375262438</v>
      </c>
      <c r="D294">
        <v>-0.43247962350327168</v>
      </c>
      <c r="E294">
        <v>-0.4751731182821412</v>
      </c>
      <c r="F294">
        <v>-0.36982853780258451</v>
      </c>
      <c r="G294">
        <v>-0.42559532061841587</v>
      </c>
      <c r="H294">
        <v>-0.56109635507427913</v>
      </c>
      <c r="I294">
        <v>-0.55515296738976616</v>
      </c>
      <c r="J294">
        <v>-0.17392283760698271</v>
      </c>
      <c r="M294" s="13">
        <v>0</v>
      </c>
      <c r="O294" s="10">
        <f t="shared" si="12"/>
        <v>1</v>
      </c>
      <c r="P294" s="10">
        <f t="shared" si="13"/>
        <v>0</v>
      </c>
      <c r="R294" s="14">
        <v>-0.73002180438942332</v>
      </c>
      <c r="S294" s="14">
        <v>1.0218366316645953</v>
      </c>
      <c r="T294" s="14">
        <v>0.44257943536015176</v>
      </c>
      <c r="U294" s="14">
        <v>0.21929535727268357</v>
      </c>
      <c r="V294" s="14">
        <v>1.5033946369898361</v>
      </c>
      <c r="W294" s="14">
        <v>0.54419895890128567</v>
      </c>
      <c r="X294" s="14">
        <v>-1.4659085465902046</v>
      </c>
      <c r="Y294" s="14">
        <v>2.449054379131535E-2</v>
      </c>
      <c r="Z294" s="14">
        <v>1.5394186103530489</v>
      </c>
      <c r="AA294" s="14">
        <v>1.2097006468226041</v>
      </c>
      <c r="AB294" s="14">
        <v>-0.28831586811440757</v>
      </c>
      <c r="AC294" s="14">
        <v>1.0483448357705367</v>
      </c>
      <c r="AD294" s="14">
        <v>-0.81501831608686437</v>
      </c>
      <c r="AE294" s="14">
        <v>1.6868710663282669</v>
      </c>
      <c r="AF294" s="14">
        <v>9.9500588031645187E-2</v>
      </c>
      <c r="AG294" s="14">
        <v>0.27993970099965393</v>
      </c>
      <c r="AH294" s="14">
        <v>-1.1092609068079204</v>
      </c>
      <c r="AI294" s="14">
        <v>-1.5913466162062007</v>
      </c>
      <c r="AJ294" s="14">
        <v>-0.55660342955976905</v>
      </c>
      <c r="AK294" s="14">
        <v>9.7992455178414262E-2</v>
      </c>
      <c r="AM294" s="14">
        <v>0.13118824524968828</v>
      </c>
      <c r="AN294" s="14">
        <v>0.55793960966929601</v>
      </c>
      <c r="AO294" s="14">
        <v>0.59300153702723968</v>
      </c>
      <c r="AP294" s="14">
        <v>0.80531006056664367</v>
      </c>
      <c r="AQ294" s="14">
        <v>0.55982084121821774</v>
      </c>
      <c r="AR294" s="14">
        <v>-0.26378895268036329</v>
      </c>
      <c r="AS294" s="14">
        <v>-0.80595114419088332</v>
      </c>
      <c r="AT294" s="14">
        <v>-0.30866964126549518</v>
      </c>
      <c r="AU294" s="14">
        <v>0.55664594895168706</v>
      </c>
      <c r="AV294" s="14">
        <v>0.52105000174829397</v>
      </c>
      <c r="AW294" s="14">
        <v>-0.44507810870596221</v>
      </c>
      <c r="AX294" s="14">
        <v>0.35200987391798577</v>
      </c>
      <c r="AY294" s="14">
        <v>-0.69415064557312367</v>
      </c>
      <c r="AZ294" s="14">
        <v>0.66701676217843442</v>
      </c>
      <c r="BA294" s="14">
        <v>0.26313541911359811</v>
      </c>
      <c r="BB294" s="14">
        <v>0.18164581823448178</v>
      </c>
      <c r="BC294" s="14">
        <v>-6.519723550779917E-2</v>
      </c>
      <c r="BD294" s="14">
        <v>-0.57788120211073368</v>
      </c>
      <c r="BE294" s="14">
        <v>-0.75735137580367073</v>
      </c>
      <c r="BF294" s="14">
        <v>-0.25063851101162721</v>
      </c>
      <c r="BK294" s="16">
        <v>0.48363668367431112</v>
      </c>
      <c r="BL294" s="16">
        <v>-0.47813199155670666</v>
      </c>
      <c r="BN294" s="17">
        <f t="shared" si="14"/>
        <v>0</v>
      </c>
    </row>
    <row r="295" spans="1:66" x14ac:dyDescent="0.2">
      <c r="A295">
        <v>-0.68205764991767082</v>
      </c>
      <c r="B295">
        <v>-0.37503543959052471</v>
      </c>
      <c r="C295">
        <v>-0.71231938746427825</v>
      </c>
      <c r="D295">
        <v>-0.66563668672005483</v>
      </c>
      <c r="E295">
        <v>-0.90280368242014863</v>
      </c>
      <c r="F295">
        <v>-0.79966386494259178</v>
      </c>
      <c r="G295">
        <v>-0.7041992666968343</v>
      </c>
      <c r="H295">
        <v>-0.70188577681025677</v>
      </c>
      <c r="I295">
        <v>-0.67488728585937907</v>
      </c>
      <c r="J295">
        <v>-0.38657290197238142</v>
      </c>
      <c r="M295" s="13">
        <v>0</v>
      </c>
      <c r="O295" s="10">
        <f t="shared" si="12"/>
        <v>1</v>
      </c>
      <c r="P295" s="10">
        <f t="shared" si="13"/>
        <v>0</v>
      </c>
      <c r="R295" s="14">
        <v>-0.79089455916616502</v>
      </c>
      <c r="S295" s="14">
        <v>-0.84147516149891355</v>
      </c>
      <c r="T295" s="14">
        <v>0.11579894285403591</v>
      </c>
      <c r="U295" s="14">
        <v>0.33456758408756182</v>
      </c>
      <c r="V295" s="14">
        <v>1.4370147228857078</v>
      </c>
      <c r="W295" s="14">
        <v>-0.59046406462578915</v>
      </c>
      <c r="X295" s="14">
        <v>-0.94604878981667673</v>
      </c>
      <c r="Y295" s="14">
        <v>0.81040245783021625</v>
      </c>
      <c r="Z295" s="14">
        <v>1.5754029668974896</v>
      </c>
      <c r="AA295" s="14">
        <v>0.89404344730071439</v>
      </c>
      <c r="AB295" s="14">
        <v>-0.28809842086443049</v>
      </c>
      <c r="AC295" s="14">
        <v>0.27436097066295767</v>
      </c>
      <c r="AD295" s="14">
        <v>0.18345437238572634</v>
      </c>
      <c r="AE295" s="14">
        <v>2.6072991648627974E-2</v>
      </c>
      <c r="AF295" s="14">
        <v>-0.18901207961057365</v>
      </c>
      <c r="AG295" s="14">
        <v>0.22180490945359455</v>
      </c>
      <c r="AH295" s="14">
        <v>-0.21044194772176036</v>
      </c>
      <c r="AI295" s="14">
        <v>0.21675244737421029</v>
      </c>
      <c r="AJ295" s="14">
        <v>-0.35949552961832471</v>
      </c>
      <c r="AK295" s="14">
        <v>-0.69626965581157518</v>
      </c>
      <c r="AM295" s="14">
        <v>-0.90908335772099058</v>
      </c>
      <c r="AN295" s="14">
        <v>0.70387804622534522</v>
      </c>
      <c r="AO295" s="14">
        <v>0.5066546860803709</v>
      </c>
      <c r="AP295" s="14">
        <v>0.8156253683480984</v>
      </c>
      <c r="AQ295" s="14">
        <v>0.92305790329610637</v>
      </c>
      <c r="AR295" s="14">
        <v>8.3842053430233585E-2</v>
      </c>
      <c r="AS295" s="14">
        <v>-0.8363902324270398</v>
      </c>
      <c r="AT295" s="14">
        <v>0.62257652048736145</v>
      </c>
      <c r="AU295" s="14">
        <v>0.90975225622543054</v>
      </c>
      <c r="AV295" s="14">
        <v>0.49013664394026157</v>
      </c>
      <c r="AW295" s="14">
        <v>-0.82826738404458156</v>
      </c>
      <c r="AX295" s="14">
        <v>0.47394851436045066</v>
      </c>
      <c r="AY295" s="14">
        <v>-0.79948318933810758</v>
      </c>
      <c r="AZ295" s="14">
        <v>0.68287277258915757</v>
      </c>
      <c r="BA295" s="14">
        <v>0.14616496293346695</v>
      </c>
      <c r="BB295" s="14">
        <v>0.82347744238955078</v>
      </c>
      <c r="BC295" s="14">
        <v>-4.0992573155352124E-2</v>
      </c>
      <c r="BD295" s="14">
        <v>-0.73209733848891123</v>
      </c>
      <c r="BE295" s="14">
        <v>-0.8322886718672885</v>
      </c>
      <c r="BF295" s="14">
        <v>0.84366802174490774</v>
      </c>
      <c r="BK295" s="16">
        <v>-3.1533406471793271E-2</v>
      </c>
      <c r="BL295" s="16">
        <v>0.59558896079598167</v>
      </c>
      <c r="BN295" s="17">
        <f t="shared" si="14"/>
        <v>1</v>
      </c>
    </row>
    <row r="296" spans="1:66" x14ac:dyDescent="0.2">
      <c r="A296">
        <v>-0.43329296597282579</v>
      </c>
      <c r="B296">
        <v>-1.2773795884156389</v>
      </c>
      <c r="C296">
        <v>-0.45334888315365718</v>
      </c>
      <c r="D296">
        <v>-0.49465484036108048</v>
      </c>
      <c r="E296">
        <v>-0.391542629858802</v>
      </c>
      <c r="F296">
        <v>-0.97323451910930947</v>
      </c>
      <c r="G296">
        <v>-0.79519284908574905</v>
      </c>
      <c r="H296">
        <v>-0.61078673921638893</v>
      </c>
      <c r="I296">
        <v>-0.61130056939400756</v>
      </c>
      <c r="J296">
        <v>-0.80543362734563495</v>
      </c>
      <c r="M296" s="13">
        <v>0</v>
      </c>
      <c r="O296" s="10">
        <f t="shared" si="12"/>
        <v>1</v>
      </c>
      <c r="P296" s="10">
        <f t="shared" si="13"/>
        <v>0</v>
      </c>
      <c r="R296" s="14">
        <v>6.3930102769986896E-2</v>
      </c>
      <c r="S296" s="14">
        <v>0.93586092529144416</v>
      </c>
      <c r="T296" s="14">
        <v>0.24479917484528924</v>
      </c>
      <c r="U296" s="14">
        <v>9.3938326337256517E-2</v>
      </c>
      <c r="V296" s="14">
        <v>1.4509391943856746</v>
      </c>
      <c r="W296" s="14">
        <v>1.651195148555723E-2</v>
      </c>
      <c r="X296" s="14">
        <v>-1.4609877117188255</v>
      </c>
      <c r="Y296" s="14">
        <v>-0.44472725518246098</v>
      </c>
      <c r="Z296" s="14">
        <v>1.2675629999787774</v>
      </c>
      <c r="AA296" s="14">
        <v>1.1875963767965412</v>
      </c>
      <c r="AB296" s="14">
        <v>-0.26217642084271164</v>
      </c>
      <c r="AC296" s="14">
        <v>0.88164663008199939</v>
      </c>
      <c r="AD296" s="14">
        <v>-0.72795051174255587</v>
      </c>
      <c r="AE296" s="14">
        <v>1.6611435448153158</v>
      </c>
      <c r="AF296" s="14">
        <v>2.3550052559004775E-2</v>
      </c>
      <c r="AG296" s="14">
        <v>0.2089354688561178</v>
      </c>
      <c r="AH296" s="14">
        <v>-0.88833564375821972</v>
      </c>
      <c r="AI296" s="14">
        <v>-1.4169046074267655</v>
      </c>
      <c r="AJ296" s="14">
        <v>-0.53181060541684189</v>
      </c>
      <c r="AK296" s="14">
        <v>-0.43753523236001146</v>
      </c>
      <c r="AM296" s="14">
        <v>-0.3863627210062745</v>
      </c>
      <c r="AN296" s="14">
        <v>-0.47351008101453085</v>
      </c>
      <c r="AO296" s="14">
        <v>-0.46408770471362215</v>
      </c>
      <c r="AP296" s="14">
        <v>-0.28161500439407289</v>
      </c>
      <c r="AQ296" s="14">
        <v>-0.65346780912309776</v>
      </c>
      <c r="AR296" s="14">
        <v>0.38762538515301159</v>
      </c>
      <c r="AS296" s="14">
        <v>0.69390633489666265</v>
      </c>
      <c r="AT296" s="14">
        <v>-9.6387310616212404E-3</v>
      </c>
      <c r="AU296" s="14">
        <v>-0.76789364635288426</v>
      </c>
      <c r="AV296" s="14">
        <v>-0.40775054775732927</v>
      </c>
      <c r="AW296" s="14">
        <v>0.50076729600454328</v>
      </c>
      <c r="AX296" s="14">
        <v>-0.62492020437691453</v>
      </c>
      <c r="AY296" s="14">
        <v>0.4920465945737742</v>
      </c>
      <c r="AZ296" s="14">
        <v>-0.65295313815223999</v>
      </c>
      <c r="BA296" s="14">
        <v>-0.19035799741766585</v>
      </c>
      <c r="BB296" s="14">
        <v>-6.9646690416100476E-3</v>
      </c>
      <c r="BC296" s="14">
        <v>0.20404533293986094</v>
      </c>
      <c r="BD296" s="14">
        <v>0.37754415093805216</v>
      </c>
      <c r="BE296" s="14">
        <v>0.50151039762912364</v>
      </c>
      <c r="BF296" s="14">
        <v>0.27310094454173989</v>
      </c>
      <c r="BK296" s="16">
        <v>0.57139484283508613</v>
      </c>
      <c r="BL296" s="16">
        <v>-0.17495911194091995</v>
      </c>
      <c r="BN296" s="17">
        <f t="shared" si="14"/>
        <v>0</v>
      </c>
    </row>
    <row r="297" spans="1:66" x14ac:dyDescent="0.2">
      <c r="A297">
        <v>-0.13305972672904809</v>
      </c>
      <c r="B297">
        <v>-1.402432717736511</v>
      </c>
      <c r="C297">
        <v>-0.19271831150771149</v>
      </c>
      <c r="D297">
        <v>-0.2338643474297159</v>
      </c>
      <c r="E297">
        <v>-0.79519912064878562</v>
      </c>
      <c r="F297">
        <v>-1.0011298028146749</v>
      </c>
      <c r="G297">
        <v>-0.79698204873946366</v>
      </c>
      <c r="H297">
        <v>-0.36854611652360392</v>
      </c>
      <c r="I297">
        <v>-0.42107178531654571</v>
      </c>
      <c r="J297">
        <v>-0.88645030679752279</v>
      </c>
      <c r="M297" s="13">
        <v>0</v>
      </c>
      <c r="O297" s="10">
        <f t="shared" si="12"/>
        <v>1</v>
      </c>
      <c r="P297" s="10">
        <f t="shared" si="13"/>
        <v>0</v>
      </c>
      <c r="R297" s="14">
        <v>-0.47027049062642895</v>
      </c>
      <c r="S297" s="14">
        <v>-0.89771695112240402</v>
      </c>
      <c r="T297" s="14">
        <v>-0.20052103752997202</v>
      </c>
      <c r="U297" s="14">
        <v>3.6584688347137018E-2</v>
      </c>
      <c r="V297" s="14">
        <v>0.92486451594496133</v>
      </c>
      <c r="W297" s="14">
        <v>-0.81204599515364939</v>
      </c>
      <c r="X297" s="14">
        <v>9.3479453275285007E-2</v>
      </c>
      <c r="Y297" s="14">
        <v>0.79412991899549912</v>
      </c>
      <c r="Z297" s="14">
        <v>1.4831668154033322</v>
      </c>
      <c r="AA297" s="14">
        <v>-5.201876113651599E-2</v>
      </c>
      <c r="AB297" s="14">
        <v>-0.27309793176970076</v>
      </c>
      <c r="AC297" s="14">
        <v>0.28969750775584069</v>
      </c>
      <c r="AD297" s="14">
        <v>0.79750688799025371</v>
      </c>
      <c r="AE297" s="14">
        <v>-0.12310646272901893</v>
      </c>
      <c r="AF297" s="14">
        <v>-0.44909672451007604</v>
      </c>
      <c r="AG297" s="14">
        <v>-0.45906850831537166</v>
      </c>
      <c r="AH297" s="14">
        <v>-7.2384611215638661E-2</v>
      </c>
      <c r="AI297" s="14">
        <v>0.2974001042431732</v>
      </c>
      <c r="AJ297" s="14">
        <v>0.83001074333284164</v>
      </c>
      <c r="AK297" s="14">
        <v>-1.0520680552150692</v>
      </c>
      <c r="AM297" s="14">
        <v>-0.40544326278165355</v>
      </c>
      <c r="AN297" s="14">
        <v>-0.4104139691900634</v>
      </c>
      <c r="AO297" s="14">
        <v>-0.17775462914226389</v>
      </c>
      <c r="AP297" s="14">
        <v>0.21679724279976212</v>
      </c>
      <c r="AQ297" s="14">
        <v>5.0054934775790969E-2</v>
      </c>
      <c r="AR297" s="14">
        <v>0.24970607073851384</v>
      </c>
      <c r="AS297" s="14">
        <v>0.43255557773439729</v>
      </c>
      <c r="AT297" s="14">
        <v>0.39302505571528307</v>
      </c>
      <c r="AU297" s="14">
        <v>-0.17278041909297648</v>
      </c>
      <c r="AV297" s="14">
        <v>-7.7912855027803721E-2</v>
      </c>
      <c r="AW297" s="14">
        <v>-0.53162382002766839</v>
      </c>
      <c r="AX297" s="14">
        <v>-0.32421640020993742</v>
      </c>
      <c r="AY297" s="14">
        <v>0.32852332499747899</v>
      </c>
      <c r="AZ297" s="14">
        <v>-0.46279895590161346</v>
      </c>
      <c r="BA297" s="14">
        <v>-0.11820259661830375</v>
      </c>
      <c r="BB297" s="14">
        <v>0.39396846060141361</v>
      </c>
      <c r="BC297" s="14">
        <v>0.11395087638174832</v>
      </c>
      <c r="BD297" s="14">
        <v>0.40485716437665781</v>
      </c>
      <c r="BE297" s="14">
        <v>0.22777887946970327</v>
      </c>
      <c r="BF297" s="14">
        <v>0.20528071474913667</v>
      </c>
      <c r="BK297" s="16">
        <v>0.7671090936845717</v>
      </c>
      <c r="BL297" s="16">
        <v>-7.9579520123439676E-2</v>
      </c>
      <c r="BN297" s="17">
        <f t="shared" si="14"/>
        <v>0</v>
      </c>
    </row>
    <row r="298" spans="1:66" x14ac:dyDescent="0.2">
      <c r="A298">
        <v>-0.95083788314543383</v>
      </c>
      <c r="B298">
        <v>-1.62801875494279</v>
      </c>
      <c r="C298">
        <v>-0.97793016111619768</v>
      </c>
      <c r="D298">
        <v>-0.86425196279361061</v>
      </c>
      <c r="E298">
        <v>-1.073967415393249</v>
      </c>
      <c r="F298">
        <v>-0.97968142912121625</v>
      </c>
      <c r="G298">
        <v>-0.93705082163026476</v>
      </c>
      <c r="H298">
        <v>-1.0517888984776129</v>
      </c>
      <c r="I298">
        <v>-0.8973522326017368</v>
      </c>
      <c r="J298">
        <v>-1.277007608110875</v>
      </c>
      <c r="M298" s="13">
        <v>0</v>
      </c>
      <c r="O298" s="10">
        <f t="shared" si="12"/>
        <v>1</v>
      </c>
      <c r="P298" s="10">
        <f t="shared" si="13"/>
        <v>0</v>
      </c>
      <c r="R298" s="14">
        <v>0.13769700112867145</v>
      </c>
      <c r="S298" s="14">
        <v>0.56407372764739638</v>
      </c>
      <c r="T298" s="14">
        <v>0.42828889005093485</v>
      </c>
      <c r="U298" s="14">
        <v>0.39120469123941104</v>
      </c>
      <c r="V298" s="14">
        <v>1.2735212821497581</v>
      </c>
      <c r="W298" s="14">
        <v>-2.9277714244461378E-2</v>
      </c>
      <c r="X298" s="14">
        <v>-1.4618660262023619</v>
      </c>
      <c r="Y298" s="14">
        <v>-6.9542162908849403E-3</v>
      </c>
      <c r="Z298" s="14">
        <v>0.91589221141102994</v>
      </c>
      <c r="AA298" s="14">
        <v>1.1654578207957234</v>
      </c>
      <c r="AB298" s="14">
        <v>-0.28561745074080969</v>
      </c>
      <c r="AC298" s="14">
        <v>0.95799769632529275</v>
      </c>
      <c r="AD298" s="14">
        <v>-0.78633782372101357</v>
      </c>
      <c r="AE298" s="14">
        <v>1.5955399376529578</v>
      </c>
      <c r="AF298" s="14">
        <v>0.21110833342158875</v>
      </c>
      <c r="AG298" s="14">
        <v>0.19288051386351912</v>
      </c>
      <c r="AH298" s="14">
        <v>-0.51741977997883082</v>
      </c>
      <c r="AI298" s="14">
        <v>-1.4771058676833597</v>
      </c>
      <c r="AJ298" s="14">
        <v>-0.54415661823003836</v>
      </c>
      <c r="AK298" s="14">
        <v>-0.98751415600175962</v>
      </c>
      <c r="AM298" s="14">
        <v>0.11301992309887156</v>
      </c>
      <c r="AN298" s="14">
        <v>-0.63371701912094813</v>
      </c>
      <c r="AO298" s="14">
        <v>-0.20750835641352391</v>
      </c>
      <c r="AP298" s="14">
        <v>-0.13029660939569215</v>
      </c>
      <c r="AQ298" s="14">
        <v>-0.37732020526643495</v>
      </c>
      <c r="AR298" s="14">
        <v>-0.26161817684053906</v>
      </c>
      <c r="AS298" s="14">
        <v>0.69190143418794503</v>
      </c>
      <c r="AT298" s="14">
        <v>0.67315855629925747</v>
      </c>
      <c r="AU298" s="14">
        <v>-9.9797519951959832E-2</v>
      </c>
      <c r="AV298" s="14">
        <v>-0.40254151811384759</v>
      </c>
      <c r="AW298" s="14">
        <v>-0.3668134395569983</v>
      </c>
      <c r="AX298" s="14">
        <v>-6.6073831654002754E-2</v>
      </c>
      <c r="AY298" s="14">
        <v>0.59419625392359188</v>
      </c>
      <c r="AZ298" s="14">
        <v>-0.59775983784152253</v>
      </c>
      <c r="BA298" s="14">
        <v>0.19207988227093298</v>
      </c>
      <c r="BB298" s="14">
        <v>-7.1833137812642764E-2</v>
      </c>
      <c r="BC298" s="14">
        <v>0.3599670049301103</v>
      </c>
      <c r="BD298" s="14">
        <v>0.5992032915527109</v>
      </c>
      <c r="BE298" s="14">
        <v>0.61069964885124062</v>
      </c>
      <c r="BF298" s="14">
        <v>-0.41148005881256294</v>
      </c>
      <c r="BK298" s="16">
        <v>-0.39095741630995257</v>
      </c>
      <c r="BL298" s="16">
        <v>0.53143657244314002</v>
      </c>
      <c r="BN298" s="17">
        <f t="shared" si="14"/>
        <v>1</v>
      </c>
    </row>
    <row r="299" spans="1:66" x14ac:dyDescent="0.2">
      <c r="A299">
        <v>-0.70779192756713749</v>
      </c>
      <c r="B299">
        <v>-0.2082979338293624</v>
      </c>
      <c r="C299">
        <v>-0.73473029649115917</v>
      </c>
      <c r="D299">
        <v>-0.67024225833915163</v>
      </c>
      <c r="E299">
        <v>-0.8522536983064859</v>
      </c>
      <c r="F299">
        <v>-0.80003580205866343</v>
      </c>
      <c r="G299">
        <v>-0.38853332779147037</v>
      </c>
      <c r="H299">
        <v>-0.63977279663261977</v>
      </c>
      <c r="I299">
        <v>-0.61147769116689166</v>
      </c>
      <c r="J299">
        <v>-0.68308496355230353</v>
      </c>
      <c r="M299" s="13">
        <v>1</v>
      </c>
      <c r="O299" s="10">
        <f t="shared" si="12"/>
        <v>0</v>
      </c>
      <c r="P299" s="10">
        <f t="shared" si="13"/>
        <v>1</v>
      </c>
      <c r="R299" s="14">
        <v>-1.4518973975180072</v>
      </c>
      <c r="S299" s="14">
        <v>0.96897933223933075</v>
      </c>
      <c r="T299" s="14">
        <v>0.44874784599464146</v>
      </c>
      <c r="U299" s="14">
        <v>0.43592865929269475</v>
      </c>
      <c r="V299" s="14">
        <v>1.5051036529378474</v>
      </c>
      <c r="W299" s="14">
        <v>0.10675367552030396</v>
      </c>
      <c r="X299" s="14">
        <v>-1.4659127533039014</v>
      </c>
      <c r="Y299" s="14">
        <v>0.86522829397032752</v>
      </c>
      <c r="Z299" s="14">
        <v>1.7299624076236213</v>
      </c>
      <c r="AA299" s="14">
        <v>1.197027363065966</v>
      </c>
      <c r="AB299" s="14">
        <v>-0.28839318724492291</v>
      </c>
      <c r="AC299" s="14">
        <v>1.0600276055552944</v>
      </c>
      <c r="AD299" s="14">
        <v>-0.81583583466032106</v>
      </c>
      <c r="AE299" s="14">
        <v>1.6889458745523447</v>
      </c>
      <c r="AF299" s="14">
        <v>0.24957943939373251</v>
      </c>
      <c r="AG299" s="14">
        <v>0.2900812442610059</v>
      </c>
      <c r="AH299" s="14">
        <v>-0.5881222909709154</v>
      </c>
      <c r="AI299" s="14">
        <v>-1.603570380735849</v>
      </c>
      <c r="AJ299" s="14">
        <v>-0.55690819342059172</v>
      </c>
      <c r="AK299" s="14">
        <v>0.35574119206663191</v>
      </c>
      <c r="AM299" s="14">
        <v>-0.50651065102366466</v>
      </c>
      <c r="AN299" s="14">
        <v>-0.25124991359720683</v>
      </c>
      <c r="AO299" s="14">
        <v>-0.45697460926802252</v>
      </c>
      <c r="AP299" s="14">
        <v>-0.29227595290301178</v>
      </c>
      <c r="AQ299" s="14">
        <v>-0.57473240686860216</v>
      </c>
      <c r="AR299" s="14">
        <v>0.59306590623510558</v>
      </c>
      <c r="AS299" s="14">
        <v>0.62077575940238194</v>
      </c>
      <c r="AT299" s="14">
        <v>-0.23416933044738972</v>
      </c>
      <c r="AU299" s="14">
        <v>-0.82361297036781256</v>
      </c>
      <c r="AV299" s="14">
        <v>-0.25597588349863648</v>
      </c>
      <c r="AW299" s="14">
        <v>0.47545191725338937</v>
      </c>
      <c r="AX299" s="14">
        <v>-0.6869975537147982</v>
      </c>
      <c r="AY299" s="14">
        <v>0.3666454026674037</v>
      </c>
      <c r="AZ299" s="14">
        <v>-0.55565595701874659</v>
      </c>
      <c r="BA299" s="14">
        <v>-0.3311809009279621</v>
      </c>
      <c r="BB299" s="14">
        <v>0.14951558474824617</v>
      </c>
      <c r="BC299" s="14">
        <v>1.2412660666774827E-2</v>
      </c>
      <c r="BD299" s="14">
        <v>0.19063654728392404</v>
      </c>
      <c r="BE299" s="14">
        <v>0.38709669302273497</v>
      </c>
      <c r="BF299" s="14">
        <v>0.49459410968398643</v>
      </c>
      <c r="BK299" s="16">
        <v>0.73719435348024098</v>
      </c>
      <c r="BL299" s="16">
        <v>-0.10062787796633614</v>
      </c>
      <c r="BN299" s="17">
        <f t="shared" si="14"/>
        <v>0</v>
      </c>
    </row>
    <row r="300" spans="1:66" x14ac:dyDescent="0.2">
      <c r="A300">
        <v>7.0491182513816707E-3</v>
      </c>
      <c r="B300">
        <v>-0.20094186739872261</v>
      </c>
      <c r="C300">
        <v>-6.1572992017076562E-2</v>
      </c>
      <c r="D300">
        <v>-8.8788841428162152E-2</v>
      </c>
      <c r="E300">
        <v>-0.98123049600825762</v>
      </c>
      <c r="F300">
        <v>-0.82607140018367087</v>
      </c>
      <c r="G300">
        <v>-0.93577282187761146</v>
      </c>
      <c r="H300">
        <v>-4.762905227247851E-2</v>
      </c>
      <c r="I300">
        <v>-0.14015665352245371</v>
      </c>
      <c r="J300">
        <v>-0.62767614396413618</v>
      </c>
      <c r="M300" s="13">
        <v>0</v>
      </c>
      <c r="O300" s="10">
        <f t="shared" si="12"/>
        <v>1</v>
      </c>
      <c r="P300" s="10">
        <f t="shared" si="13"/>
        <v>0</v>
      </c>
      <c r="R300" s="14">
        <v>-0.61157581604416233</v>
      </c>
      <c r="S300" s="14">
        <v>-0.87678871340866504</v>
      </c>
      <c r="T300" s="14">
        <v>-0.7712268632839081</v>
      </c>
      <c r="U300" s="14">
        <v>-0.97669296531040262</v>
      </c>
      <c r="V300" s="14">
        <v>-0.58719636174480128</v>
      </c>
      <c r="W300" s="14">
        <v>0.74995109634635404</v>
      </c>
      <c r="X300" s="14">
        <v>1.0621950465197763</v>
      </c>
      <c r="Y300" s="14">
        <v>-0.13237184311444283</v>
      </c>
      <c r="Z300" s="14">
        <v>-1.056456372309722</v>
      </c>
      <c r="AA300" s="14">
        <v>-0.15056638952747581</v>
      </c>
      <c r="AB300" s="14">
        <v>0.7691463100185888</v>
      </c>
      <c r="AC300" s="14">
        <v>-0.37902673246261276</v>
      </c>
      <c r="AD300" s="14">
        <v>1.0232902507007307</v>
      </c>
      <c r="AE300" s="14">
        <v>-0.64764497361792595</v>
      </c>
      <c r="AF300" s="14">
        <v>-0.20378283094283323</v>
      </c>
      <c r="AG300" s="14">
        <v>-0.12469325300506967</v>
      </c>
      <c r="AH300" s="14">
        <v>-0.36909767992920717</v>
      </c>
      <c r="AI300" s="14">
        <v>1.9848795381960271E-2</v>
      </c>
      <c r="AJ300" s="14">
        <v>1.4285219799229898</v>
      </c>
      <c r="AK300" s="14">
        <v>-0.23476209458951885</v>
      </c>
      <c r="AM300" s="14">
        <v>0.17688173585716188</v>
      </c>
      <c r="AN300" s="14">
        <v>-0.7445852129924857</v>
      </c>
      <c r="AO300" s="14">
        <v>-0.10680495132368345</v>
      </c>
      <c r="AP300" s="14">
        <v>0.14561471196815171</v>
      </c>
      <c r="AQ300" s="14">
        <v>-0.12269619231101318</v>
      </c>
      <c r="AR300" s="14">
        <v>-0.43147544070075827</v>
      </c>
      <c r="AS300" s="14">
        <v>0.72037817726499065</v>
      </c>
      <c r="AT300" s="14">
        <v>0.86441502818450588</v>
      </c>
      <c r="AU300" s="14">
        <v>0.34165000373990723</v>
      </c>
      <c r="AV300" s="14">
        <v>-0.37553983720663409</v>
      </c>
      <c r="AW300" s="14">
        <v>-0.8048169116688747</v>
      </c>
      <c r="AX300" s="14">
        <v>0.12653977651185061</v>
      </c>
      <c r="AY300" s="14">
        <v>0.65777403286571634</v>
      </c>
      <c r="AZ300" s="14">
        <v>-0.65158131832096744</v>
      </c>
      <c r="BA300" s="14">
        <v>0.29759888047432992</v>
      </c>
      <c r="BB300" s="14">
        <v>0.11034096084730158</v>
      </c>
      <c r="BC300" s="14">
        <v>0.45058401325051312</v>
      </c>
      <c r="BD300" s="14">
        <v>0.73442546328945479</v>
      </c>
      <c r="BE300" s="14">
        <v>0.64530405534904411</v>
      </c>
      <c r="BF300" s="14">
        <v>-0.57383148647926996</v>
      </c>
      <c r="BK300" s="16">
        <v>-0.34569964868046288</v>
      </c>
      <c r="BL300" s="16">
        <v>0.55377122030538406</v>
      </c>
      <c r="BN300" s="17">
        <f t="shared" si="14"/>
        <v>1</v>
      </c>
    </row>
    <row r="301" spans="1:66" x14ac:dyDescent="0.2">
      <c r="A301">
        <v>-1.0652124504763969</v>
      </c>
      <c r="B301">
        <v>1.0054530272261579</v>
      </c>
      <c r="C301">
        <v>-1.072969016063525</v>
      </c>
      <c r="D301">
        <v>-0.94916718952071055</v>
      </c>
      <c r="E301">
        <v>-0.68815209546691147</v>
      </c>
      <c r="F301">
        <v>-0.82359181940986081</v>
      </c>
      <c r="G301">
        <v>-0.80771724666175126</v>
      </c>
      <c r="H301">
        <v>-1.142887936071481</v>
      </c>
      <c r="I301">
        <v>-0.9496031556025295</v>
      </c>
      <c r="J301">
        <v>-1.2873406041962361</v>
      </c>
      <c r="M301" s="13">
        <v>0</v>
      </c>
      <c r="O301" s="10">
        <f t="shared" si="12"/>
        <v>1</v>
      </c>
      <c r="P301" s="10">
        <f t="shared" si="13"/>
        <v>0</v>
      </c>
      <c r="R301" s="14">
        <v>-0.63241143390423671</v>
      </c>
      <c r="S301" s="14">
        <v>-1.0452014807096086</v>
      </c>
      <c r="T301" s="14">
        <v>-0.48792067573751263</v>
      </c>
      <c r="U301" s="14">
        <v>-0.32156432109206867</v>
      </c>
      <c r="V301" s="14">
        <v>0.27372737755756055</v>
      </c>
      <c r="W301" s="14">
        <v>0.65546940167935397</v>
      </c>
      <c r="X301" s="14">
        <v>1.0377577016056103</v>
      </c>
      <c r="Y301" s="14">
        <v>0.92262917221447183</v>
      </c>
      <c r="Z301" s="14">
        <v>-0.34780064472434785</v>
      </c>
      <c r="AA301" s="14">
        <v>0.24547242832197547</v>
      </c>
      <c r="AB301" s="14">
        <v>-0.89290517857145024</v>
      </c>
      <c r="AC301" s="14">
        <v>-0.3194962708446456</v>
      </c>
      <c r="AD301" s="14">
        <v>0.94863437865411826</v>
      </c>
      <c r="AE301" s="14">
        <v>-0.64899735980400197</v>
      </c>
      <c r="AF301" s="14">
        <v>-8.5531510170704816E-2</v>
      </c>
      <c r="AG301" s="14">
        <v>0.72703953616008021</v>
      </c>
      <c r="AH301" s="14">
        <v>-0.40276671802277025</v>
      </c>
      <c r="AI301" s="14">
        <v>0.2482305647856079</v>
      </c>
      <c r="AJ301" s="14">
        <v>1.1321694132782691</v>
      </c>
      <c r="AK301" s="14">
        <v>-0.32568285275861802</v>
      </c>
      <c r="AM301" s="14">
        <v>0.5196271246075993</v>
      </c>
      <c r="AN301" s="14">
        <v>-0.58849329261711592</v>
      </c>
      <c r="AO301" s="14">
        <v>-0.37791596742023864</v>
      </c>
      <c r="AP301" s="14">
        <v>-0.2932009178522097</v>
      </c>
      <c r="AQ301" s="14">
        <v>-0.71416416968003227</v>
      </c>
      <c r="AR301" s="14">
        <v>-0.32083857026952778</v>
      </c>
      <c r="AS301" s="14">
        <v>0.74621324031952396</v>
      </c>
      <c r="AT301" s="14">
        <v>0.43715624156937594</v>
      </c>
      <c r="AU301" s="14">
        <v>-0.42167142541021502</v>
      </c>
      <c r="AV301" s="14">
        <v>-0.4539943724332216</v>
      </c>
      <c r="AW301" s="14">
        <v>0.39367587646084484</v>
      </c>
      <c r="AX301" s="14">
        <v>-0.10382049378648248</v>
      </c>
      <c r="AY301" s="14">
        <v>0.65206337379090573</v>
      </c>
      <c r="AZ301" s="14">
        <v>-0.57101691095174834</v>
      </c>
      <c r="BA301" s="14">
        <v>0.30028537451634724</v>
      </c>
      <c r="BB301" s="14">
        <v>-0.4246040236593801</v>
      </c>
      <c r="BC301" s="14">
        <v>0.39607966213241319</v>
      </c>
      <c r="BD301" s="14">
        <v>0.56726414271465453</v>
      </c>
      <c r="BE301" s="14">
        <v>0.71743125957393961</v>
      </c>
      <c r="BF301" s="14">
        <v>-0.6086355272109657</v>
      </c>
      <c r="BK301" s="16">
        <v>-0.70270340262582121</v>
      </c>
      <c r="BL301" s="16">
        <v>0.25119775267620764</v>
      </c>
      <c r="BN301" s="17">
        <f t="shared" si="14"/>
        <v>1</v>
      </c>
    </row>
    <row r="302" spans="1:66" x14ac:dyDescent="0.2">
      <c r="A302">
        <v>1.51393404283682</v>
      </c>
      <c r="B302">
        <v>-2.1944250919828399E-2</v>
      </c>
      <c r="C302">
        <v>1.5271114478884651</v>
      </c>
      <c r="D302">
        <v>1.5919569513160301</v>
      </c>
      <c r="E302">
        <v>1.1002394380837379</v>
      </c>
      <c r="F302">
        <v>1.590899959087873</v>
      </c>
      <c r="G302">
        <v>1.4275043207288629</v>
      </c>
      <c r="H302">
        <v>1.962761072810379</v>
      </c>
      <c r="I302">
        <v>2.044286171456446</v>
      </c>
      <c r="J302">
        <v>1.2098001164326539</v>
      </c>
      <c r="M302" s="13">
        <v>1</v>
      </c>
      <c r="O302" s="10">
        <f t="shared" si="12"/>
        <v>0</v>
      </c>
      <c r="P302" s="10">
        <f t="shared" si="13"/>
        <v>1</v>
      </c>
      <c r="R302" s="14">
        <v>-6.1905084476290922E-2</v>
      </c>
      <c r="S302" s="14">
        <v>-1.1123802113492356</v>
      </c>
      <c r="T302" s="14">
        <v>-0.60206644524397857</v>
      </c>
      <c r="U302" s="14">
        <v>-0.82884171724786249</v>
      </c>
      <c r="V302" s="14">
        <v>-0.3955816826417734</v>
      </c>
      <c r="W302" s="14">
        <v>-0.23739665975317831</v>
      </c>
      <c r="X302" s="14">
        <v>1.061211189508672</v>
      </c>
      <c r="Y302" s="14">
        <v>1.2140351934381908</v>
      </c>
      <c r="Z302" s="14">
        <v>9.3231921579841115E-2</v>
      </c>
      <c r="AA302" s="14">
        <v>-0.22147422851205734</v>
      </c>
      <c r="AB302" s="14">
        <v>-5.5259655403856717E-2</v>
      </c>
      <c r="AC302" s="14">
        <v>-5.3190718508198676E-2</v>
      </c>
      <c r="AD302" s="14">
        <v>1.1128070043337832</v>
      </c>
      <c r="AE302" s="14">
        <v>-0.64006294909038486</v>
      </c>
      <c r="AF302" s="14">
        <v>3.64132066120324E-2</v>
      </c>
      <c r="AG302" s="14">
        <v>-0.39835995467721819</v>
      </c>
      <c r="AH302" s="14">
        <v>-9.4476922173272415E-2</v>
      </c>
      <c r="AI302" s="14">
        <v>0.32132464463929167</v>
      </c>
      <c r="AJ302" s="14">
        <v>1.5450390925929196</v>
      </c>
      <c r="AK302" s="14">
        <v>-1.1558845930850326</v>
      </c>
      <c r="AM302" s="14">
        <v>4.0481137306256472E-2</v>
      </c>
      <c r="AN302" s="14">
        <v>0.77485777655137245</v>
      </c>
      <c r="AO302" s="14">
        <v>0.57621402675422084</v>
      </c>
      <c r="AP302" s="14">
        <v>-9.0787855499932013E-2</v>
      </c>
      <c r="AQ302" s="14">
        <v>0.90714736673101848</v>
      </c>
      <c r="AR302" s="14">
        <v>-0.69231127799919567</v>
      </c>
      <c r="AS302" s="14">
        <v>-0.90810086693842917</v>
      </c>
      <c r="AT302" s="14">
        <v>-0.28140286384212077</v>
      </c>
      <c r="AU302" s="14">
        <v>0.91339736009460204</v>
      </c>
      <c r="AV302" s="14">
        <v>0.61341120534662419</v>
      </c>
      <c r="AW302" s="14">
        <v>-0.26837975312433315</v>
      </c>
      <c r="AX302" s="14">
        <v>0.71546702199734058</v>
      </c>
      <c r="AY302" s="14">
        <v>-0.75575142350611713</v>
      </c>
      <c r="AZ302" s="14">
        <v>0.88557583108197646</v>
      </c>
      <c r="BA302" s="14">
        <v>0.34210757201327396</v>
      </c>
      <c r="BB302" s="14">
        <v>0.47704370714302069</v>
      </c>
      <c r="BC302" s="14">
        <v>-0.46437674883719132</v>
      </c>
      <c r="BD302" s="14">
        <v>-0.77154614991051196</v>
      </c>
      <c r="BE302" s="14">
        <v>-0.86782629275382439</v>
      </c>
      <c r="BF302" s="14">
        <v>0.4593859590940037</v>
      </c>
      <c r="BK302" s="16">
        <v>0.78970619678938803</v>
      </c>
      <c r="BL302" s="16">
        <v>-0.20770119671206072</v>
      </c>
      <c r="BN302" s="17">
        <f t="shared" si="14"/>
        <v>0</v>
      </c>
    </row>
    <row r="303" spans="1:66" x14ac:dyDescent="0.2">
      <c r="A303">
        <v>-0.50763643473795184</v>
      </c>
      <c r="B303">
        <v>0.2208059412912762</v>
      </c>
      <c r="C303">
        <v>-0.5093761557208587</v>
      </c>
      <c r="D303">
        <v>-0.55452727140934088</v>
      </c>
      <c r="E303">
        <v>-6.6870489246416587E-2</v>
      </c>
      <c r="F303">
        <v>-0.28614268668648851</v>
      </c>
      <c r="G303">
        <v>-0.49486290721222448</v>
      </c>
      <c r="H303">
        <v>-0.61906846990674047</v>
      </c>
      <c r="I303">
        <v>-0.61555149194322478</v>
      </c>
      <c r="J303">
        <v>-0.61344955515095811</v>
      </c>
      <c r="M303" s="13">
        <v>0</v>
      </c>
      <c r="O303" s="10">
        <f t="shared" si="12"/>
        <v>1</v>
      </c>
      <c r="P303" s="10">
        <f t="shared" si="13"/>
        <v>0</v>
      </c>
      <c r="R303" s="14">
        <v>-0.72418349629710355</v>
      </c>
      <c r="S303" s="14">
        <v>-0.53322326219779348</v>
      </c>
      <c r="T303" s="14">
        <v>-0.75938736368416959</v>
      </c>
      <c r="U303" s="14">
        <v>-1.0357874645046192</v>
      </c>
      <c r="V303" s="14">
        <v>-0.55600428214639985</v>
      </c>
      <c r="W303" s="14">
        <v>1.0672992052975094</v>
      </c>
      <c r="X303" s="14">
        <v>1.0585442241561955</v>
      </c>
      <c r="Y303" s="14">
        <v>-0.39840679618675856</v>
      </c>
      <c r="Z303" s="14">
        <v>-1.1729391740474027</v>
      </c>
      <c r="AA303" s="14">
        <v>-4.7073825374832401E-2</v>
      </c>
      <c r="AB303" s="14">
        <v>0.77542313604753499</v>
      </c>
      <c r="AC303" s="14">
        <v>-0.39443784655586278</v>
      </c>
      <c r="AD303" s="14">
        <v>0.90143593570939262</v>
      </c>
      <c r="AE303" s="14">
        <v>-0.64169759702887963</v>
      </c>
      <c r="AF303" s="14">
        <v>-0.2837058814808</v>
      </c>
      <c r="AG303" s="14">
        <v>8.4748718690938418E-2</v>
      </c>
      <c r="AH303" s="14">
        <v>-0.54959674048511531</v>
      </c>
      <c r="AI303" s="14">
        <v>-0.38064329572289507</v>
      </c>
      <c r="AJ303" s="14">
        <v>1.2074883605063025</v>
      </c>
      <c r="AK303" s="14">
        <v>2.4812993829542274E-2</v>
      </c>
      <c r="AM303" s="14">
        <v>-0.1089604922412266</v>
      </c>
      <c r="AN303" s="14">
        <v>-0.78912692510016302</v>
      </c>
      <c r="AO303" s="14">
        <v>-0.53332861787940378</v>
      </c>
      <c r="AP303" s="14">
        <v>-0.25374736673306475</v>
      </c>
      <c r="AQ303" s="14">
        <v>-0.84347405443227663</v>
      </c>
      <c r="AR303" s="14">
        <v>0.10258155781358561</v>
      </c>
      <c r="AS303" s="14">
        <v>0.87691317289292936</v>
      </c>
      <c r="AT303" s="14">
        <v>0.61558136166798005</v>
      </c>
      <c r="AU303" s="14">
        <v>-0.65177556356119071</v>
      </c>
      <c r="AV303" s="14">
        <v>-0.71156303984164315</v>
      </c>
      <c r="AW303" s="14">
        <v>0.32348885140729566</v>
      </c>
      <c r="AX303" s="14">
        <v>-0.49708099609667972</v>
      </c>
      <c r="AY303" s="14">
        <v>0.73935002373985803</v>
      </c>
      <c r="AZ303" s="14">
        <v>-0.84998149297919179</v>
      </c>
      <c r="BA303" s="14">
        <v>-5.0989455944413916E-3</v>
      </c>
      <c r="BB303" s="14">
        <v>-0.4023816142422581</v>
      </c>
      <c r="BC303" s="14">
        <v>0.56000978409525648</v>
      </c>
      <c r="BD303" s="14">
        <v>0.72399601572880457</v>
      </c>
      <c r="BE303" s="14">
        <v>0.82138279847492901</v>
      </c>
      <c r="BF303" s="14">
        <v>-0.33672207378116281</v>
      </c>
      <c r="BK303" s="16">
        <v>0.47594207034449953</v>
      </c>
      <c r="BL303" s="16">
        <v>-0.5705595440842931</v>
      </c>
      <c r="BN303" s="17">
        <f t="shared" si="14"/>
        <v>0</v>
      </c>
    </row>
    <row r="304" spans="1:66" x14ac:dyDescent="0.2">
      <c r="A304">
        <v>1.6740584371001681</v>
      </c>
      <c r="B304">
        <v>1.1942587322792391</v>
      </c>
      <c r="C304">
        <v>1.7429202014806491</v>
      </c>
      <c r="D304">
        <v>1.6783114191740971</v>
      </c>
      <c r="E304">
        <v>1.4644966765498371</v>
      </c>
      <c r="F304">
        <v>1.6975219323617139</v>
      </c>
      <c r="G304">
        <v>1.9847122128857</v>
      </c>
      <c r="H304">
        <v>1.4969137214781001</v>
      </c>
      <c r="I304">
        <v>1.411961442260413</v>
      </c>
      <c r="J304">
        <v>1.124440583553586</v>
      </c>
      <c r="M304" s="13">
        <v>1</v>
      </c>
      <c r="O304" s="10">
        <f t="shared" si="12"/>
        <v>0</v>
      </c>
      <c r="P304" s="10">
        <f t="shared" si="13"/>
        <v>1</v>
      </c>
      <c r="R304" s="14">
        <v>-2.2845147046921033E-2</v>
      </c>
      <c r="S304" s="14">
        <v>-1.130888527176138</v>
      </c>
      <c r="T304" s="14">
        <v>-0.44799588311398719</v>
      </c>
      <c r="U304" s="14">
        <v>-0.4207153550599303</v>
      </c>
      <c r="V304" s="14">
        <v>5.2872527056859076E-2</v>
      </c>
      <c r="W304" s="14">
        <v>-0.37399157898276564</v>
      </c>
      <c r="X304" s="14">
        <v>1.0619155571092387</v>
      </c>
      <c r="Y304" s="14">
        <v>1.3445341868610607</v>
      </c>
      <c r="Z304" s="14">
        <v>0.55980839566361484</v>
      </c>
      <c r="AA304" s="14">
        <v>-0.22011370212919068</v>
      </c>
      <c r="AB304" s="14">
        <v>-1.1605456104269245</v>
      </c>
      <c r="AC304" s="14">
        <v>0.22310189091626564</v>
      </c>
      <c r="AD304" s="14">
        <v>1.1275981590422866</v>
      </c>
      <c r="AE304" s="14">
        <v>-0.65464523664844587</v>
      </c>
      <c r="AF304" s="14">
        <v>7.9269926476111086E-2</v>
      </c>
      <c r="AG304" s="14">
        <v>-0.27107233023204635</v>
      </c>
      <c r="AH304" s="14">
        <v>3.5114642033254428E-2</v>
      </c>
      <c r="AI304" s="14">
        <v>0.34024747985307358</v>
      </c>
      <c r="AJ304" s="14">
        <v>1.5550549671293461</v>
      </c>
      <c r="AK304" s="14">
        <v>-1.3471119232863309</v>
      </c>
      <c r="AM304" s="14">
        <v>-0.28851372551181559</v>
      </c>
      <c r="AN304" s="14">
        <v>0.18375521693896829</v>
      </c>
      <c r="AO304" s="14">
        <v>0.39358615958755522</v>
      </c>
      <c r="AP304" s="14">
        <v>0.73481406357723589</v>
      </c>
      <c r="AQ304" s="14">
        <v>0.73381199268341224</v>
      </c>
      <c r="AR304" s="14">
        <v>-0.14016269705871087</v>
      </c>
      <c r="AS304" s="14">
        <v>-0.60776970704130695</v>
      </c>
      <c r="AT304" s="14">
        <v>0.28225961615097805</v>
      </c>
      <c r="AU304" s="14">
        <v>0.73838191049165824</v>
      </c>
      <c r="AV304" s="14">
        <v>0.417686322803627</v>
      </c>
      <c r="AW304" s="14">
        <v>-0.84796778197483114</v>
      </c>
      <c r="AX304" s="14">
        <v>0.21525359236361871</v>
      </c>
      <c r="AY304" s="14">
        <v>-0.43946693135909226</v>
      </c>
      <c r="AZ304" s="14">
        <v>0.34434716108548297</v>
      </c>
      <c r="BA304" s="14">
        <v>7.0868380373683953E-2</v>
      </c>
      <c r="BB304" s="14">
        <v>0.54509289920622994</v>
      </c>
      <c r="BC304" s="14">
        <v>-7.4383265536571055E-2</v>
      </c>
      <c r="BD304" s="14">
        <v>-0.15641895331144057</v>
      </c>
      <c r="BE304" s="14">
        <v>-0.6003535647324415</v>
      </c>
      <c r="BF304" s="14">
        <v>0.12040496527603109</v>
      </c>
      <c r="BK304" s="16">
        <v>0.5394693578135723</v>
      </c>
      <c r="BL304" s="16">
        <v>-0.12134751902549237</v>
      </c>
      <c r="BN304" s="17">
        <f t="shared" si="14"/>
        <v>0</v>
      </c>
    </row>
    <row r="305" spans="1:66" x14ac:dyDescent="0.2">
      <c r="A305">
        <v>-1.070931178842945</v>
      </c>
      <c r="B305">
        <v>-9.3052893082676863E-2</v>
      </c>
      <c r="C305">
        <v>-1.072553999229694</v>
      </c>
      <c r="D305">
        <v>-0.9488793412945169</v>
      </c>
      <c r="E305">
        <v>-0.71026771351663887</v>
      </c>
      <c r="F305">
        <v>-0.84813966907058225</v>
      </c>
      <c r="G305">
        <v>-0.83199924196216402</v>
      </c>
      <c r="H305">
        <v>-1.1159723113278379</v>
      </c>
      <c r="I305">
        <v>-0.92710869044625599</v>
      </c>
      <c r="J305">
        <v>-0.77772921755155133</v>
      </c>
      <c r="M305" s="13">
        <v>0</v>
      </c>
      <c r="O305" s="10">
        <f t="shared" si="12"/>
        <v>1</v>
      </c>
      <c r="P305" s="10">
        <f t="shared" si="13"/>
        <v>0</v>
      </c>
      <c r="R305" s="14">
        <v>0.71274222767910989</v>
      </c>
      <c r="S305" s="14">
        <v>-1.0954438526550265</v>
      </c>
      <c r="T305" s="14">
        <v>-0.7284360358709675</v>
      </c>
      <c r="U305" s="14">
        <v>-0.9430036656990104</v>
      </c>
      <c r="V305" s="14">
        <v>-0.63572629097543087</v>
      </c>
      <c r="W305" s="14">
        <v>-0.30792927365765038</v>
      </c>
      <c r="X305" s="14">
        <v>1.0643261545339502</v>
      </c>
      <c r="Y305" s="14">
        <v>0.87498506979674129</v>
      </c>
      <c r="Z305" s="14">
        <v>-0.31577508558962192</v>
      </c>
      <c r="AA305" s="14">
        <v>-0.23905186084942298</v>
      </c>
      <c r="AB305" s="14">
        <v>0.74956072292960307</v>
      </c>
      <c r="AC305" s="14">
        <v>5.7236967020863339E-2</v>
      </c>
      <c r="AD305" s="14">
        <v>1.1241307120182891</v>
      </c>
      <c r="AE305" s="14">
        <v>-0.61232706478714638</v>
      </c>
      <c r="AF305" s="14">
        <v>0.27690652661394982</v>
      </c>
      <c r="AG305" s="14">
        <v>-0.58420680676849102</v>
      </c>
      <c r="AH305" s="14">
        <v>-3.9631250988720335E-2</v>
      </c>
      <c r="AI305" s="14">
        <v>0.31329134961118743</v>
      </c>
      <c r="AJ305" s="14">
        <v>1.5638067549516532</v>
      </c>
      <c r="AK305" s="14">
        <v>-1.4000209317312837</v>
      </c>
      <c r="AM305" s="14">
        <v>0.23891934740502796</v>
      </c>
      <c r="AN305" s="14">
        <v>-0.29731697690717784</v>
      </c>
      <c r="AO305" s="14">
        <v>-0.44692408527996752</v>
      </c>
      <c r="AP305" s="14">
        <v>-0.51679051697042022</v>
      </c>
      <c r="AQ305" s="14">
        <v>-0.46891851205807256</v>
      </c>
      <c r="AR305" s="14">
        <v>0.52704694885946801</v>
      </c>
      <c r="AS305" s="14">
        <v>0.45147653105981728</v>
      </c>
      <c r="AT305" s="14">
        <v>-5.4476921913781957E-2</v>
      </c>
      <c r="AU305" s="14">
        <v>-0.17925272978568327</v>
      </c>
      <c r="AV305" s="14">
        <v>-0.36593190471326592</v>
      </c>
      <c r="AW305" s="14">
        <v>0.5591081697201491</v>
      </c>
      <c r="AX305" s="14">
        <v>8.3775669135966985E-2</v>
      </c>
      <c r="AY305" s="14">
        <v>0.38573794162021541</v>
      </c>
      <c r="AZ305" s="14">
        <v>-0.40324188314773657</v>
      </c>
      <c r="BA305" s="14">
        <v>-0.4396854316973548</v>
      </c>
      <c r="BB305" s="14">
        <v>-0.56446647054822496</v>
      </c>
      <c r="BC305" s="14">
        <v>5.9883807620952682E-2</v>
      </c>
      <c r="BD305" s="14">
        <v>0.46586441185871225</v>
      </c>
      <c r="BE305" s="14">
        <v>0.65666516657457796</v>
      </c>
      <c r="BF305" s="14">
        <v>-6.3638129170183397E-2</v>
      </c>
      <c r="BK305" s="16">
        <v>0.69037579302848429</v>
      </c>
      <c r="BL305" s="16">
        <v>-0.44119906234039696</v>
      </c>
      <c r="BN305" s="17">
        <f t="shared" si="14"/>
        <v>0</v>
      </c>
    </row>
    <row r="306" spans="1:66" x14ac:dyDescent="0.2">
      <c r="A306">
        <v>-0.79357285306535941</v>
      </c>
      <c r="B306">
        <v>-0.20339388954226939</v>
      </c>
      <c r="C306">
        <v>-0.79324767006134744</v>
      </c>
      <c r="D306">
        <v>-0.7508397616733482</v>
      </c>
      <c r="E306">
        <v>-0.52144865520972228</v>
      </c>
      <c r="F306">
        <v>-0.71833361556161557</v>
      </c>
      <c r="G306">
        <v>-0.90305602820968722</v>
      </c>
      <c r="H306">
        <v>-0.7805622183685974</v>
      </c>
      <c r="I306">
        <v>-0.72448138226691094</v>
      </c>
      <c r="J306">
        <v>-0.93032810176869307</v>
      </c>
      <c r="M306" s="13">
        <v>0</v>
      </c>
      <c r="O306" s="10">
        <f t="shared" si="12"/>
        <v>1</v>
      </c>
      <c r="P306" s="10">
        <f t="shared" si="13"/>
        <v>0</v>
      </c>
      <c r="R306" s="14">
        <v>0.2099892125659506</v>
      </c>
      <c r="S306" s="14">
        <v>1.0357818954718416</v>
      </c>
      <c r="T306" s="14">
        <v>0.44200928203761547</v>
      </c>
      <c r="U306" s="14">
        <v>-0.81884058911707602</v>
      </c>
      <c r="V306" s="14">
        <v>1.5049856675369822</v>
      </c>
      <c r="W306" s="14">
        <v>-0.82873584871490791</v>
      </c>
      <c r="X306" s="14">
        <v>-1.4659127485331152</v>
      </c>
      <c r="Y306" s="14">
        <v>-0.34465492510569018</v>
      </c>
      <c r="Z306" s="14">
        <v>1.7138443921248985</v>
      </c>
      <c r="AA306" s="14">
        <v>1.214534853988932</v>
      </c>
      <c r="AB306" s="14">
        <v>-0.28613332611884712</v>
      </c>
      <c r="AC306" s="14">
        <v>1.0645077488247294</v>
      </c>
      <c r="AD306" s="14">
        <v>-0.81560825419191729</v>
      </c>
      <c r="AE306" s="14">
        <v>1.6894092141272377</v>
      </c>
      <c r="AF306" s="14">
        <v>0.24435587537307435</v>
      </c>
      <c r="AG306" s="14">
        <v>0.28539958903984997</v>
      </c>
      <c r="AH306" s="14">
        <v>-1.2996936631710894</v>
      </c>
      <c r="AI306" s="14">
        <v>-1.6035050036909733</v>
      </c>
      <c r="AJ306" s="14">
        <v>-0.55690199654961337</v>
      </c>
      <c r="AK306" s="14">
        <v>6.2725461292247098E-2</v>
      </c>
      <c r="AM306" s="14">
        <v>7.9236440004344377E-2</v>
      </c>
      <c r="AN306" s="14">
        <v>-0.85894125681608913</v>
      </c>
      <c r="AO306" s="14">
        <v>-0.49404001306349193</v>
      </c>
      <c r="AP306" s="14">
        <v>-0.41071458346127099</v>
      </c>
      <c r="AQ306" s="14">
        <v>-0.67392611249854595</v>
      </c>
      <c r="AR306" s="14">
        <v>-0.37643508889859756</v>
      </c>
      <c r="AS306" s="14">
        <v>0.89743940917197096</v>
      </c>
      <c r="AT306" s="14">
        <v>0.86681793657950212</v>
      </c>
      <c r="AU306" s="14">
        <v>-0.13620165348301699</v>
      </c>
      <c r="AV306" s="14">
        <v>-0.70712826685806307</v>
      </c>
      <c r="AW306" s="14">
        <v>-0.25956618814022431</v>
      </c>
      <c r="AX306" s="14">
        <v>-0.16775947191489782</v>
      </c>
      <c r="AY306" s="14">
        <v>0.8274919701246366</v>
      </c>
      <c r="AZ306" s="14">
        <v>-0.84469990752621882</v>
      </c>
      <c r="BA306" s="14">
        <v>0.2370779121798175</v>
      </c>
      <c r="BB306" s="14">
        <v>-0.27234100878795769</v>
      </c>
      <c r="BC306" s="14">
        <v>0.57243914263403706</v>
      </c>
      <c r="BD306" s="14">
        <v>0.82863372025539039</v>
      </c>
      <c r="BE306" s="14">
        <v>0.8589273357034185</v>
      </c>
      <c r="BF306" s="14">
        <v>-0.50507625005078272</v>
      </c>
      <c r="BK306" s="16">
        <v>0.5927001975299353</v>
      </c>
      <c r="BL306" s="16">
        <v>-0.36272288642260775</v>
      </c>
      <c r="BN306" s="17">
        <f t="shared" si="14"/>
        <v>0</v>
      </c>
    </row>
    <row r="307" spans="1:66" x14ac:dyDescent="0.2">
      <c r="A307">
        <v>-0.75354175449952265</v>
      </c>
      <c r="B307">
        <v>1.3487361273226679</v>
      </c>
      <c r="C307">
        <v>-0.76668659269615547</v>
      </c>
      <c r="D307">
        <v>-0.71025316178005649</v>
      </c>
      <c r="E307">
        <v>-0.89425478804798508</v>
      </c>
      <c r="F307">
        <v>-0.88818489856761795</v>
      </c>
      <c r="G307">
        <v>-0.95136441885998169</v>
      </c>
      <c r="H307">
        <v>-0.8302526025107072</v>
      </c>
      <c r="I307">
        <v>-0.74803857806048868</v>
      </c>
      <c r="J307">
        <v>-1.0342570768881201</v>
      </c>
      <c r="M307" s="13">
        <v>0</v>
      </c>
      <c r="O307" s="10">
        <f t="shared" si="12"/>
        <v>1</v>
      </c>
      <c r="P307" s="10">
        <f t="shared" si="13"/>
        <v>0</v>
      </c>
      <c r="R307" s="14">
        <v>-0.41351431046974363</v>
      </c>
      <c r="S307" s="14">
        <v>-1.1298445033366815</v>
      </c>
      <c r="T307" s="14">
        <v>-0.79874415521846354</v>
      </c>
      <c r="U307" s="14">
        <v>-0.84486847946445265</v>
      </c>
      <c r="V307" s="14">
        <v>-0.66150012168546513</v>
      </c>
      <c r="W307" s="14">
        <v>6.3430251087031653E-2</v>
      </c>
      <c r="X307" s="14">
        <v>1.0654441064445859</v>
      </c>
      <c r="Y307" s="14">
        <v>1.1326653989216191</v>
      </c>
      <c r="Z307" s="14">
        <v>-0.50503316022339206</v>
      </c>
      <c r="AA307" s="14">
        <v>-0.29376564363165836</v>
      </c>
      <c r="AB307" s="14">
        <v>0.72093619908097029</v>
      </c>
      <c r="AC307" s="14">
        <v>-0.31681284340831628</v>
      </c>
      <c r="AD307" s="14">
        <v>1.1290573750397999</v>
      </c>
      <c r="AE307" s="14">
        <v>-0.66194315191875619</v>
      </c>
      <c r="AF307" s="14">
        <v>-0.181879933861813</v>
      </c>
      <c r="AG307" s="14">
        <v>-0.58847348302475011</v>
      </c>
      <c r="AH307" s="14">
        <v>0.10871897019755683</v>
      </c>
      <c r="AI307" s="14">
        <v>0.33548685958400137</v>
      </c>
      <c r="AJ307" s="14">
        <v>1.5668412996349126</v>
      </c>
      <c r="AK307" s="14">
        <v>-1.1100536994011316</v>
      </c>
      <c r="AM307" s="14">
        <v>0.45601367957655858</v>
      </c>
      <c r="AN307" s="14">
        <v>0.12770631352142886</v>
      </c>
      <c r="AO307" s="14">
        <v>0.45862998819804601</v>
      </c>
      <c r="AP307" s="14">
        <v>0.56329841449873752</v>
      </c>
      <c r="AQ307" s="14">
        <v>0.62879698888672275</v>
      </c>
      <c r="AR307" s="14">
        <v>-0.36377039943614387</v>
      </c>
      <c r="AS307" s="14">
        <v>-0.43341872240333407</v>
      </c>
      <c r="AT307" s="14">
        <v>0.35870064032975857</v>
      </c>
      <c r="AU307" s="14">
        <v>0.74574733548265226</v>
      </c>
      <c r="AV307" s="14">
        <v>0.39452161180276107</v>
      </c>
      <c r="AW307" s="14">
        <v>-0.85007654762181406</v>
      </c>
      <c r="AX307" s="14">
        <v>0.5338094624001597</v>
      </c>
      <c r="AY307" s="14">
        <v>-0.24717504808139495</v>
      </c>
      <c r="AZ307" s="14">
        <v>0.37586230397398512</v>
      </c>
      <c r="BA307" s="14">
        <v>0.20097487687513052</v>
      </c>
      <c r="BB307" s="14">
        <v>0.29242824786894456</v>
      </c>
      <c r="BC307" s="14">
        <v>-2.6845032899878957E-2</v>
      </c>
      <c r="BD307" s="14">
        <v>-3.3775753232311119E-3</v>
      </c>
      <c r="BE307" s="14">
        <v>-0.33029010928024455</v>
      </c>
      <c r="BF307" s="14">
        <v>-0.46737334643342537</v>
      </c>
      <c r="BK307" s="16">
        <v>0.75327108551810606</v>
      </c>
      <c r="BL307" s="16">
        <v>-0.21787287291295498</v>
      </c>
      <c r="BN307" s="17">
        <f t="shared" si="14"/>
        <v>0</v>
      </c>
    </row>
    <row r="308" spans="1:66" x14ac:dyDescent="0.2">
      <c r="A308">
        <v>-0.29604348517567058</v>
      </c>
      <c r="B308">
        <v>-0.77716707113215178</v>
      </c>
      <c r="C308">
        <v>-0.35831002820633018</v>
      </c>
      <c r="D308">
        <v>-0.36454744212159201</v>
      </c>
      <c r="E308">
        <v>-0.97546928458353876</v>
      </c>
      <c r="F308">
        <v>-1.114806183390006</v>
      </c>
      <c r="G308">
        <v>-1.203616010038689</v>
      </c>
      <c r="H308">
        <v>-0.42237736601088938</v>
      </c>
      <c r="I308">
        <v>-0.46393525435448407</v>
      </c>
      <c r="J308">
        <v>-1.380936583230302</v>
      </c>
      <c r="M308" s="13">
        <v>0</v>
      </c>
      <c r="O308" s="10">
        <f t="shared" si="12"/>
        <v>1</v>
      </c>
      <c r="P308" s="10">
        <f t="shared" si="13"/>
        <v>0</v>
      </c>
      <c r="R308" s="14">
        <v>-0.7005883663089516</v>
      </c>
      <c r="S308" s="14">
        <v>-0.3595702892640748</v>
      </c>
      <c r="T308" s="14">
        <v>0.34193844570847931</v>
      </c>
      <c r="U308" s="14">
        <v>0.34596148230213464</v>
      </c>
      <c r="V308" s="14">
        <v>1.4649149931769951</v>
      </c>
      <c r="W308" s="14">
        <v>-2.7864605731172276E-2</v>
      </c>
      <c r="X308" s="14">
        <v>-1.4303803096549674</v>
      </c>
      <c r="Y308" s="14">
        <v>0.69635996375879183</v>
      </c>
      <c r="Z308" s="14">
        <v>1.5157322363698889</v>
      </c>
      <c r="AA308" s="14">
        <v>1.0976983309377242</v>
      </c>
      <c r="AB308" s="14">
        <v>-0.28817341064806767</v>
      </c>
      <c r="AC308" s="14">
        <v>0.69180409782361629</v>
      </c>
      <c r="AD308" s="14">
        <v>-0.60406221759385059</v>
      </c>
      <c r="AE308" s="14">
        <v>0.68517197687482845</v>
      </c>
      <c r="AF308" s="14">
        <v>-0.10312666263069659</v>
      </c>
      <c r="AG308" s="14">
        <v>0.23995765455758444</v>
      </c>
      <c r="AH308" s="14">
        <v>-0.50729189148264831</v>
      </c>
      <c r="AI308" s="14">
        <v>-0.38652144230023516</v>
      </c>
      <c r="AJ308" s="14">
        <v>-0.50819750205552205</v>
      </c>
      <c r="AK308" s="14">
        <v>-0.47328162806606822</v>
      </c>
      <c r="AM308" s="14">
        <v>-9.3703518851001491E-2</v>
      </c>
      <c r="AN308" s="14">
        <v>-0.62146984791126836</v>
      </c>
      <c r="AO308" s="14">
        <v>-7.1188689922360979E-2</v>
      </c>
      <c r="AP308" s="14">
        <v>0.18432738040124108</v>
      </c>
      <c r="AQ308" s="14">
        <v>-0.14073067403487965</v>
      </c>
      <c r="AR308" s="14">
        <v>-0.36383641115756293</v>
      </c>
      <c r="AS308" s="14">
        <v>0.51005993263276872</v>
      </c>
      <c r="AT308" s="14">
        <v>0.76075378975727403</v>
      </c>
      <c r="AU308" s="14">
        <v>0.31209580540080289</v>
      </c>
      <c r="AV308" s="14">
        <v>-0.37656099420963862</v>
      </c>
      <c r="AW308" s="14">
        <v>-0.63016628061310931</v>
      </c>
      <c r="AX308" s="14">
        <v>1.1778542393138549E-2</v>
      </c>
      <c r="AY308" s="14">
        <v>0.45219639875574874</v>
      </c>
      <c r="AZ308" s="14">
        <v>-0.53784107566298778</v>
      </c>
      <c r="BA308" s="14">
        <v>0.22878280415050797</v>
      </c>
      <c r="BB308" s="14">
        <v>4.1667160895608052E-4</v>
      </c>
      <c r="BC308" s="14">
        <v>0.38714780199170579</v>
      </c>
      <c r="BD308" s="14">
        <v>0.56192360991640389</v>
      </c>
      <c r="BE308" s="14">
        <v>0.44542019622470735</v>
      </c>
      <c r="BF308" s="14">
        <v>-0.37995564116013786</v>
      </c>
      <c r="BK308" s="16">
        <v>-0.18505507976718069</v>
      </c>
      <c r="BL308" s="16">
        <v>-0.35695754716174516</v>
      </c>
      <c r="BN308" s="17">
        <f t="shared" si="14"/>
        <v>0</v>
      </c>
    </row>
    <row r="309" spans="1:66" x14ac:dyDescent="0.2">
      <c r="A309">
        <v>-1.496976442150783</v>
      </c>
      <c r="B309">
        <v>-1.1253542155157561</v>
      </c>
      <c r="C309">
        <v>-1.508321674752374</v>
      </c>
      <c r="D309">
        <v>-1.202185780344849</v>
      </c>
      <c r="E309">
        <v>-1.3722494907698251</v>
      </c>
      <c r="F309">
        <v>-1.0872828368007119</v>
      </c>
      <c r="G309">
        <v>-1.1982228510824919</v>
      </c>
      <c r="H309">
        <v>-1.3977581980670519</v>
      </c>
      <c r="I309">
        <v>-1.08634116426901</v>
      </c>
      <c r="J309">
        <v>-1.547312795561258</v>
      </c>
      <c r="M309" s="13">
        <v>0</v>
      </c>
      <c r="O309" s="10">
        <f t="shared" si="12"/>
        <v>1</v>
      </c>
      <c r="P309" s="10">
        <f t="shared" si="13"/>
        <v>0</v>
      </c>
      <c r="R309" s="14">
        <v>0.41744501783497712</v>
      </c>
      <c r="S309" s="14">
        <v>-0.7177572997189573</v>
      </c>
      <c r="T309" s="14">
        <v>-0.71167878385427485</v>
      </c>
      <c r="U309" s="14">
        <v>-1.2296672262022756</v>
      </c>
      <c r="V309" s="14">
        <v>-0.46308198076085927</v>
      </c>
      <c r="W309" s="14">
        <v>1.030009247496664</v>
      </c>
      <c r="X309" s="14">
        <v>1.0217360024273645</v>
      </c>
      <c r="Y309" s="14">
        <v>0.38816060937796426</v>
      </c>
      <c r="Z309" s="14">
        <v>-3.7213124960597282E-2</v>
      </c>
      <c r="AA309" s="14">
        <v>-0.12848307322918695</v>
      </c>
      <c r="AB309" s="14">
        <v>0.74477085065337123</v>
      </c>
      <c r="AC309" s="14">
        <v>0.62579468472804256</v>
      </c>
      <c r="AD309" s="14">
        <v>0.87295555078342923</v>
      </c>
      <c r="AE309" s="14">
        <v>-0.58634346181277985</v>
      </c>
      <c r="AF309" s="14">
        <v>-0.25715795319595436</v>
      </c>
      <c r="AG309" s="14">
        <v>-0.59394651768558859</v>
      </c>
      <c r="AH309" s="14">
        <v>-0.5517583723900793</v>
      </c>
      <c r="AI309" s="14">
        <v>0.27170823973513047</v>
      </c>
      <c r="AJ309" s="14">
        <v>1.5655075590901384</v>
      </c>
      <c r="AK309" s="14">
        <v>-0.79263035880127763</v>
      </c>
      <c r="AM309" s="14">
        <v>0.55518214460773119</v>
      </c>
      <c r="AN309" s="14">
        <v>-0.35232266256854911</v>
      </c>
      <c r="AO309" s="14">
        <v>-7.7135040634349381E-2</v>
      </c>
      <c r="AP309" s="14">
        <v>-4.1376497824711931E-3</v>
      </c>
      <c r="AQ309" s="14">
        <v>-0.20725624018075609</v>
      </c>
      <c r="AR309" s="14">
        <v>-0.39520738695139318</v>
      </c>
      <c r="AS309" s="14">
        <v>0.38544037898592359</v>
      </c>
      <c r="AT309" s="14">
        <v>0.39101113566172407</v>
      </c>
      <c r="AU309" s="14">
        <v>0.11784327058593563</v>
      </c>
      <c r="AV309" s="14">
        <v>-9.8705731510558906E-2</v>
      </c>
      <c r="AW309" s="14">
        <v>-0.14952582313308535</v>
      </c>
      <c r="AX309" s="14">
        <v>0.2216581575745081</v>
      </c>
      <c r="AY309" s="14">
        <v>0.40284386832202995</v>
      </c>
      <c r="AZ309" s="14">
        <v>-0.19173437683318623</v>
      </c>
      <c r="BA309" s="14">
        <v>0.30972971116903941</v>
      </c>
      <c r="BB309" s="14">
        <v>-0.18376144352611784</v>
      </c>
      <c r="BC309" s="14">
        <v>0.21030117314765864</v>
      </c>
      <c r="BD309" s="14">
        <v>0.39906793129851792</v>
      </c>
      <c r="BE309" s="14">
        <v>0.41099042370203159</v>
      </c>
      <c r="BF309" s="14">
        <v>-0.58555662619141791</v>
      </c>
      <c r="BK309" s="16">
        <v>0.2476247465360833</v>
      </c>
      <c r="BL309" s="16">
        <v>8.3520589506185128E-2</v>
      </c>
      <c r="BN309" s="17">
        <f t="shared" si="14"/>
        <v>0</v>
      </c>
    </row>
    <row r="310" spans="1:66" x14ac:dyDescent="0.2">
      <c r="A310">
        <v>-0.21026255967744811</v>
      </c>
      <c r="B310">
        <v>-1.5397459577751149</v>
      </c>
      <c r="C310">
        <v>-0.29107730112568803</v>
      </c>
      <c r="D310">
        <v>-0.28135930475165322</v>
      </c>
      <c r="E310">
        <v>-1.2796984169146639</v>
      </c>
      <c r="F310">
        <v>-1.098726102071846</v>
      </c>
      <c r="G310">
        <v>-1.1740175357672391</v>
      </c>
      <c r="H310">
        <v>-0.30643313634596647</v>
      </c>
      <c r="I310">
        <v>-0.35447399871214552</v>
      </c>
      <c r="J310">
        <v>-1.424365117502109</v>
      </c>
      <c r="M310" s="13">
        <v>0</v>
      </c>
      <c r="O310" s="10">
        <f t="shared" si="12"/>
        <v>1</v>
      </c>
      <c r="P310" s="10">
        <f t="shared" si="13"/>
        <v>0</v>
      </c>
      <c r="R310" s="14">
        <v>-0.2584046576048491</v>
      </c>
      <c r="S310" s="14">
        <v>-1.1325784719626442</v>
      </c>
      <c r="T310" s="14">
        <v>-0.80995259644276218</v>
      </c>
      <c r="U310" s="14">
        <v>-1.1230469884627541</v>
      </c>
      <c r="V310" s="14">
        <v>-0.59484963555852954</v>
      </c>
      <c r="W310" s="14">
        <v>-0.40893024181687959</v>
      </c>
      <c r="X310" s="14">
        <v>1.0654447225236661</v>
      </c>
      <c r="Y310" s="14">
        <v>1.3327303303513758</v>
      </c>
      <c r="Z310" s="14">
        <v>0.43110652597934607</v>
      </c>
      <c r="AA310" s="14">
        <v>-0.29571822447966367</v>
      </c>
      <c r="AB310" s="14">
        <v>0.43196513093485611</v>
      </c>
      <c r="AC310" s="14">
        <v>-0.20244235678050515</v>
      </c>
      <c r="AD310" s="14">
        <v>1.1379497897325641</v>
      </c>
      <c r="AE310" s="14">
        <v>-0.66123172029079536</v>
      </c>
      <c r="AF310" s="14">
        <v>-0.15006972525318574</v>
      </c>
      <c r="AG310" s="14">
        <v>-0.58650317638086291</v>
      </c>
      <c r="AH310" s="14">
        <v>0.11163060556003568</v>
      </c>
      <c r="AI310" s="14">
        <v>0.34123779430645662</v>
      </c>
      <c r="AJ310" s="14">
        <v>1.567522898212184</v>
      </c>
      <c r="AK310" s="14">
        <v>-1.2715810129538134</v>
      </c>
      <c r="AM310" s="14">
        <v>-0.54232729078239805</v>
      </c>
      <c r="AN310" s="14">
        <v>0.84881182935022392</v>
      </c>
      <c r="AO310" s="14">
        <v>0.60465362298344083</v>
      </c>
      <c r="AP310" s="14">
        <v>0.43426033829478616</v>
      </c>
      <c r="AQ310" s="14">
        <v>0.87860894234182385</v>
      </c>
      <c r="AR310" s="14">
        <v>0.34382463013201059</v>
      </c>
      <c r="AS310" s="14">
        <v>-0.93431182753724062</v>
      </c>
      <c r="AT310" s="14">
        <v>-0.65385190355169842</v>
      </c>
      <c r="AU310" s="14">
        <v>0.71046674474133131</v>
      </c>
      <c r="AV310" s="14">
        <v>0.67015778018435712</v>
      </c>
      <c r="AW310" s="14">
        <v>-0.46969817482191156</v>
      </c>
      <c r="AX310" s="14">
        <v>0.3672036113723694</v>
      </c>
      <c r="AY310" s="14">
        <v>-0.8733979479331575</v>
      </c>
      <c r="AZ310" s="14">
        <v>0.84919869704678486</v>
      </c>
      <c r="BA310" s="14">
        <v>-0.35054006020424455</v>
      </c>
      <c r="BB310" s="14">
        <v>0.45698243351613721</v>
      </c>
      <c r="BC310" s="14">
        <v>-0.58789747379057067</v>
      </c>
      <c r="BD310" s="14">
        <v>-0.8226754145852031</v>
      </c>
      <c r="BE310" s="14">
        <v>-0.89418920623343956</v>
      </c>
      <c r="BF310" s="14">
        <v>0.70690478475026775</v>
      </c>
      <c r="BK310" s="16">
        <v>0.9039713717629051</v>
      </c>
      <c r="BL310" s="16">
        <v>-0.15993887743854213</v>
      </c>
      <c r="BN310" s="17">
        <f t="shared" si="14"/>
        <v>0</v>
      </c>
    </row>
    <row r="311" spans="1:66" x14ac:dyDescent="0.2">
      <c r="A311">
        <v>-0.33893394792478132</v>
      </c>
      <c r="B311">
        <v>-1.26266745555436</v>
      </c>
      <c r="C311">
        <v>-0.41475231760736297</v>
      </c>
      <c r="D311">
        <v>-0.38383327327656031</v>
      </c>
      <c r="E311">
        <v>-1.257211107805277</v>
      </c>
      <c r="F311">
        <v>-1.0763974772036851</v>
      </c>
      <c r="G311">
        <v>-1.061297957583218</v>
      </c>
      <c r="H311">
        <v>-0.35612352048807627</v>
      </c>
      <c r="I311">
        <v>-0.40105702498064888</v>
      </c>
      <c r="J311">
        <v>-1.2263909026492521</v>
      </c>
      <c r="M311" s="13">
        <v>0</v>
      </c>
      <c r="O311" s="10">
        <f t="shared" si="12"/>
        <v>1</v>
      </c>
      <c r="P311" s="10">
        <f t="shared" si="13"/>
        <v>0</v>
      </c>
      <c r="R311" s="14">
        <v>0.29225641286385262</v>
      </c>
      <c r="S311" s="14">
        <v>4.0195947602621636E-2</v>
      </c>
      <c r="T311" s="14">
        <v>0.38026860459009193</v>
      </c>
      <c r="U311" s="14">
        <v>0.16959077984105109</v>
      </c>
      <c r="V311" s="14">
        <v>1.460864734180241</v>
      </c>
      <c r="W311" s="14">
        <v>-0.63250634773253089</v>
      </c>
      <c r="X311" s="14">
        <v>-1.4504475467847666</v>
      </c>
      <c r="Y311" s="14">
        <v>0.69019913283038559</v>
      </c>
      <c r="Z311" s="14">
        <v>1.6182706481116256</v>
      </c>
      <c r="AA311" s="14">
        <v>1.101354976337257</v>
      </c>
      <c r="AB311" s="14">
        <v>-0.28788407383157044</v>
      </c>
      <c r="AC311" s="14">
        <v>1.0304958234310491</v>
      </c>
      <c r="AD311" s="14">
        <v>-0.28758742463798803</v>
      </c>
      <c r="AE311" s="14">
        <v>1.5864790380215847</v>
      </c>
      <c r="AF311" s="14">
        <v>-0.28557619442817384</v>
      </c>
      <c r="AG311" s="14">
        <v>-0.10880990348257702</v>
      </c>
      <c r="AH311" s="14">
        <v>-0.4292906644413097</v>
      </c>
      <c r="AI311" s="14">
        <v>-2.0952819081718976E-2</v>
      </c>
      <c r="AJ311" s="14">
        <v>-0.17072781034826817</v>
      </c>
      <c r="AK311" s="14">
        <v>-1.2316583004606023</v>
      </c>
      <c r="AM311" s="14">
        <v>0.3821978915592405</v>
      </c>
      <c r="AN311" s="14">
        <v>-0.59817742695915588</v>
      </c>
      <c r="AO311" s="14">
        <v>-0.23476892812964367</v>
      </c>
      <c r="AP311" s="14">
        <v>-9.6578930067395624E-2</v>
      </c>
      <c r="AQ311" s="14">
        <v>-0.638536099358884</v>
      </c>
      <c r="AR311" s="14">
        <v>-0.35652104574871585</v>
      </c>
      <c r="AS311" s="14">
        <v>0.6135992106384609</v>
      </c>
      <c r="AT311" s="14">
        <v>0.57324558241501333</v>
      </c>
      <c r="AU311" s="14">
        <v>-5.4741683008947516E-2</v>
      </c>
      <c r="AV311" s="14">
        <v>-0.51572755531776371</v>
      </c>
      <c r="AW311" s="14">
        <v>0.12094039314226807</v>
      </c>
      <c r="AX311" s="14">
        <v>2.759247813207974E-2</v>
      </c>
      <c r="AY311" s="14">
        <v>0.5282079395120336</v>
      </c>
      <c r="AZ311" s="14">
        <v>-0.55058160948408152</v>
      </c>
      <c r="BA311" s="14">
        <v>0.25191599084094274</v>
      </c>
      <c r="BB311" s="14">
        <v>-0.51414415154243187</v>
      </c>
      <c r="BC311" s="14">
        <v>0.44575003244842459</v>
      </c>
      <c r="BD311" s="14">
        <v>0.5523591924475012</v>
      </c>
      <c r="BE311" s="14">
        <v>0.65051842197926524</v>
      </c>
      <c r="BF311" s="14">
        <v>-0.63039703344735776</v>
      </c>
      <c r="BK311" s="16">
        <v>0.79377926240637564</v>
      </c>
      <c r="BL311" s="16">
        <v>-0.13798579174975012</v>
      </c>
      <c r="BN311" s="17">
        <f t="shared" si="14"/>
        <v>0</v>
      </c>
    </row>
    <row r="312" spans="1:66" x14ac:dyDescent="0.2">
      <c r="A312">
        <v>-0.72494811266678205</v>
      </c>
      <c r="B312">
        <v>2.9548214094648431E-2</v>
      </c>
      <c r="C312">
        <v>-0.76253642435784452</v>
      </c>
      <c r="D312">
        <v>-0.70593543838715311</v>
      </c>
      <c r="E312">
        <v>-0.97509759352387948</v>
      </c>
      <c r="F312">
        <v>-0.9366607026956083</v>
      </c>
      <c r="G312">
        <v>-0.99353841069754034</v>
      </c>
      <c r="H312">
        <v>-0.79505524707671282</v>
      </c>
      <c r="I312">
        <v>-0.7363485410501418</v>
      </c>
      <c r="J312">
        <v>-0.89558527435124768</v>
      </c>
      <c r="M312" s="13">
        <v>0</v>
      </c>
      <c r="O312" s="10">
        <f t="shared" si="12"/>
        <v>1</v>
      </c>
      <c r="P312" s="10">
        <f t="shared" si="13"/>
        <v>0</v>
      </c>
      <c r="R312" s="14">
        <v>-0.25482368899526964</v>
      </c>
      <c r="S312" s="14">
        <v>-1.1272663630548441</v>
      </c>
      <c r="T312" s="14">
        <v>-0.34537091717188206</v>
      </c>
      <c r="U312" s="14">
        <v>-0.4071161278435374</v>
      </c>
      <c r="V312" s="14">
        <v>-0.19299827802189518</v>
      </c>
      <c r="W312" s="14">
        <v>-0.21395804791006673</v>
      </c>
      <c r="X312" s="14">
        <v>1.0577510574390112</v>
      </c>
      <c r="Y312" s="14">
        <v>1.3211813161558954</v>
      </c>
      <c r="Z312" s="14">
        <v>0.40270268602980741</v>
      </c>
      <c r="AA312" s="14">
        <v>-0.22042942459226222</v>
      </c>
      <c r="AB312" s="14">
        <v>-1.0645165790672868</v>
      </c>
      <c r="AC312" s="14">
        <v>7.0085260072328626E-2</v>
      </c>
      <c r="AD312" s="14">
        <v>1.0910389423081295</v>
      </c>
      <c r="AE312" s="14">
        <v>-0.65477492979710306</v>
      </c>
      <c r="AF312" s="14">
        <v>0.33514286240426122</v>
      </c>
      <c r="AG312" s="14">
        <v>-0.15812341868935997</v>
      </c>
      <c r="AH312" s="14">
        <v>-5.1024525580202873E-2</v>
      </c>
      <c r="AI312" s="14">
        <v>0.32909502134241186</v>
      </c>
      <c r="AJ312" s="14">
        <v>1.5240480098317675</v>
      </c>
      <c r="AK312" s="14">
        <v>-1.1394767385437199</v>
      </c>
      <c r="AM312" s="14">
        <v>0.64742136184940657</v>
      </c>
      <c r="AN312" s="14">
        <v>0.85300751637255146</v>
      </c>
      <c r="AO312" s="14">
        <v>0.66535631243591642</v>
      </c>
      <c r="AP312" s="14">
        <v>0.44822204765693791</v>
      </c>
      <c r="AQ312" s="14">
        <v>0.79255558024025541</v>
      </c>
      <c r="AR312" s="14">
        <v>-0.65795399488583162</v>
      </c>
      <c r="AS312" s="14">
        <v>-0.93878376848238254</v>
      </c>
      <c r="AT312" s="14">
        <v>-0.60422203085534676</v>
      </c>
      <c r="AU312" s="14">
        <v>0.84355448018200496</v>
      </c>
      <c r="AV312" s="14">
        <v>0.72606308380259832</v>
      </c>
      <c r="AW312" s="14">
        <v>-0.15866671427811219</v>
      </c>
      <c r="AX312" s="14">
        <v>0.71374833717675457</v>
      </c>
      <c r="AY312" s="14">
        <v>-0.82160118794420456</v>
      </c>
      <c r="AZ312" s="14">
        <v>0.9271830186054757</v>
      </c>
      <c r="BA312" s="14">
        <v>0.43594298356523364</v>
      </c>
      <c r="BB312" s="14">
        <v>1.9483892473276546E-2</v>
      </c>
      <c r="BC312" s="14">
        <v>-0.47859721798812493</v>
      </c>
      <c r="BD312" s="14">
        <v>-0.81785402710290434</v>
      </c>
      <c r="BE312" s="14">
        <v>-0.86524460130299774</v>
      </c>
      <c r="BF312" s="14">
        <v>-0.30536638193567484</v>
      </c>
      <c r="BK312" s="16">
        <v>0.85988809719298209</v>
      </c>
      <c r="BL312" s="16">
        <v>-0.31639213246764614</v>
      </c>
      <c r="BN312" s="17">
        <f t="shared" si="14"/>
        <v>0</v>
      </c>
    </row>
    <row r="313" spans="1:66" x14ac:dyDescent="0.2">
      <c r="A313">
        <v>0.10712686466597431</v>
      </c>
      <c r="B313">
        <v>-0.80904335899825652</v>
      </c>
      <c r="C313">
        <v>-9.8053427773217095E-4</v>
      </c>
      <c r="D313">
        <v>2.7468945013895229E-3</v>
      </c>
      <c r="E313">
        <v>-1.2980971243677979</v>
      </c>
      <c r="F313">
        <v>-0.95352185195751804</v>
      </c>
      <c r="G313">
        <v>-0.80720604676069008</v>
      </c>
      <c r="H313">
        <v>2.0613318696316679E-3</v>
      </c>
      <c r="I313">
        <v>-0.10278395944392089</v>
      </c>
      <c r="J313">
        <v>-0.88480301756652324</v>
      </c>
      <c r="M313" s="13">
        <v>0</v>
      </c>
      <c r="O313" s="10">
        <f t="shared" si="12"/>
        <v>1</v>
      </c>
      <c r="P313" s="10">
        <f t="shared" si="13"/>
        <v>0</v>
      </c>
      <c r="R313" s="14">
        <v>0.85319060387985302</v>
      </c>
      <c r="S313" s="14">
        <v>-0.99887289329916396</v>
      </c>
      <c r="T313" s="14">
        <v>-0.30173585640968192</v>
      </c>
      <c r="U313" s="14">
        <v>-0.60922739135866433</v>
      </c>
      <c r="V313" s="14">
        <v>-0.24001995759230299</v>
      </c>
      <c r="W313" s="14">
        <v>-0.25100522484719451</v>
      </c>
      <c r="X313" s="14">
        <v>1.0176745644871217</v>
      </c>
      <c r="Y313" s="14">
        <v>0.97287302123664843</v>
      </c>
      <c r="Z313" s="14">
        <v>0.14389522287319695</v>
      </c>
      <c r="AA313" s="14">
        <v>0.18717948981312782</v>
      </c>
      <c r="AB313" s="14">
        <v>-5.2107977209330303E-2</v>
      </c>
      <c r="AC313" s="14">
        <v>0.70930442913282643</v>
      </c>
      <c r="AD313" s="14">
        <v>1.0654050610103714</v>
      </c>
      <c r="AE313" s="14">
        <v>-0.28353942874648602</v>
      </c>
      <c r="AF313" s="14">
        <v>0.57959454076415118</v>
      </c>
      <c r="AG313" s="14">
        <v>-0.36213487412955303</v>
      </c>
      <c r="AH313" s="14">
        <v>-0.27465529946401401</v>
      </c>
      <c r="AI313" s="14">
        <v>0.27753045914934338</v>
      </c>
      <c r="AJ313" s="14">
        <v>1.5226252484751199</v>
      </c>
      <c r="AK313" s="14">
        <v>-1.3752832330674774</v>
      </c>
      <c r="AM313" s="14">
        <v>0.26538366415703213</v>
      </c>
      <c r="AN313" s="14">
        <v>0.70779164234492609</v>
      </c>
      <c r="AO313" s="14">
        <v>0.29149007602275268</v>
      </c>
      <c r="AP313" s="14">
        <v>-0.44276540800501918</v>
      </c>
      <c r="AQ313" s="14">
        <v>0.56308341975949672</v>
      </c>
      <c r="AR313" s="14">
        <v>5.4413347456790946E-2</v>
      </c>
      <c r="AS313" s="14">
        <v>-0.71901009375454095</v>
      </c>
      <c r="AT313" s="14">
        <v>-0.72616187552558442</v>
      </c>
      <c r="AU313" s="14">
        <v>0.21877190365446877</v>
      </c>
      <c r="AV313" s="14">
        <v>0.48918994027409318</v>
      </c>
      <c r="AW313" s="14">
        <v>0.43454527150898187</v>
      </c>
      <c r="AX313" s="14">
        <v>0.39398296617268669</v>
      </c>
      <c r="AY313" s="14">
        <v>-0.55255363011010672</v>
      </c>
      <c r="AZ313" s="14">
        <v>0.74609175618551205</v>
      </c>
      <c r="BA313" s="14">
        <v>-0.16085934183867859</v>
      </c>
      <c r="BB313" s="14">
        <v>-5.3757446687844816E-2</v>
      </c>
      <c r="BC313" s="14">
        <v>-0.5455827857196206</v>
      </c>
      <c r="BD313" s="14">
        <v>-0.62648226882894065</v>
      </c>
      <c r="BE313" s="14">
        <v>-0.58095040406831655</v>
      </c>
      <c r="BF313" s="14">
        <v>0.30073961927568255</v>
      </c>
      <c r="BK313" s="16">
        <v>0.73101240089185271</v>
      </c>
      <c r="BL313" s="16">
        <v>-0.43632561330100617</v>
      </c>
      <c r="BN313" s="17">
        <f t="shared" si="14"/>
        <v>0</v>
      </c>
    </row>
    <row r="314" spans="1:66" x14ac:dyDescent="0.2">
      <c r="A314">
        <v>-0.42185550923972981</v>
      </c>
      <c r="B314">
        <v>-1.3779124963010461</v>
      </c>
      <c r="C314">
        <v>-0.43218302462826969</v>
      </c>
      <c r="D314">
        <v>-0.46011305321785351</v>
      </c>
      <c r="E314">
        <v>-0.4742438906329931</v>
      </c>
      <c r="F314">
        <v>-0.63055645616873257</v>
      </c>
      <c r="G314">
        <v>-0.6356984799546177</v>
      </c>
      <c r="H314">
        <v>-0.46792688480782352</v>
      </c>
      <c r="I314">
        <v>-0.49599429524649591</v>
      </c>
      <c r="J314">
        <v>-0.49574325191771629</v>
      </c>
      <c r="M314" s="13">
        <v>0</v>
      </c>
      <c r="O314" s="10">
        <f t="shared" si="12"/>
        <v>1</v>
      </c>
      <c r="P314" s="10">
        <f t="shared" si="13"/>
        <v>0</v>
      </c>
      <c r="R314" s="14">
        <v>-0.89968467139941066</v>
      </c>
      <c r="S314" s="14">
        <v>1.0331750395211465</v>
      </c>
      <c r="T314" s="14">
        <v>0.43787561232663275</v>
      </c>
      <c r="U314" s="14">
        <v>-0.14653135681375901</v>
      </c>
      <c r="V314" s="14">
        <v>1.4993370908781074</v>
      </c>
      <c r="W314" s="14">
        <v>0.61968299395751392</v>
      </c>
      <c r="X314" s="14">
        <v>-1.4659080705391774</v>
      </c>
      <c r="Y314" s="14">
        <v>-0.77949631992570478</v>
      </c>
      <c r="Z314" s="14">
        <v>1.0168049807447652</v>
      </c>
      <c r="AA314" s="14">
        <v>1.2076522224697577</v>
      </c>
      <c r="AB314" s="14">
        <v>-0.28401579870394433</v>
      </c>
      <c r="AC314" s="14">
        <v>1.0059531922201759</v>
      </c>
      <c r="AD314" s="14">
        <v>-0.81532134334674822</v>
      </c>
      <c r="AE314" s="14">
        <v>1.6881597760823159</v>
      </c>
      <c r="AF314" s="14">
        <v>4.1578396229551062E-2</v>
      </c>
      <c r="AG314" s="14">
        <v>0.27140845591750495</v>
      </c>
      <c r="AH314" s="14">
        <v>-1.250936217193682</v>
      </c>
      <c r="AI314" s="14">
        <v>-1.6021713797100978</v>
      </c>
      <c r="AJ314" s="14">
        <v>-0.55674428214419591</v>
      </c>
      <c r="AK314" s="14">
        <v>0.25663798229328683</v>
      </c>
      <c r="AM314" s="14">
        <v>0.13193843221296814</v>
      </c>
      <c r="AN314" s="14">
        <v>-0.28723293676551681</v>
      </c>
      <c r="AO314" s="14">
        <v>-1.9845216943197321E-2</v>
      </c>
      <c r="AP314" s="14">
        <v>-0.38040004732885435</v>
      </c>
      <c r="AQ314" s="14">
        <v>-0.38742194482062059</v>
      </c>
      <c r="AR314" s="14">
        <v>-7.3873986235545641E-2</v>
      </c>
      <c r="AS314" s="14">
        <v>0.45912984587653644</v>
      </c>
      <c r="AT314" s="14">
        <v>0.22842072325329563</v>
      </c>
      <c r="AU314" s="14">
        <v>-0.36053452217390813</v>
      </c>
      <c r="AV314" s="14">
        <v>-0.30070194627933877</v>
      </c>
      <c r="AW314" s="14">
        <v>5.851516171297786E-2</v>
      </c>
      <c r="AX314" s="14">
        <v>-2.8457612189960547E-2</v>
      </c>
      <c r="AY314" s="14">
        <v>0.31360693150433772</v>
      </c>
      <c r="AZ314" s="14">
        <v>-0.31668847101791342</v>
      </c>
      <c r="BA314" s="14">
        <v>2.2719820335292091E-2</v>
      </c>
      <c r="BB314" s="14">
        <v>-0.256492687573114</v>
      </c>
      <c r="BC314" s="14">
        <v>0.13920354946359428</v>
      </c>
      <c r="BD314" s="14">
        <v>0.22702087997451872</v>
      </c>
      <c r="BE314" s="14">
        <v>0.40627558456936164</v>
      </c>
      <c r="BF314" s="14">
        <v>-0.28240951678530651</v>
      </c>
      <c r="BK314" s="16">
        <v>0.5182167667715083</v>
      </c>
      <c r="BL314" s="16">
        <v>-0.41237032403944285</v>
      </c>
      <c r="BN314" s="17">
        <f t="shared" si="14"/>
        <v>0</v>
      </c>
    </row>
    <row r="315" spans="1:66" x14ac:dyDescent="0.2">
      <c r="A315">
        <v>-0.77069793959916733</v>
      </c>
      <c r="B315">
        <v>-2.0276983643408699</v>
      </c>
      <c r="C315">
        <v>-0.78743743438771174</v>
      </c>
      <c r="D315">
        <v>-0.73356886810173461</v>
      </c>
      <c r="E315">
        <v>-0.84203219416585551</v>
      </c>
      <c r="F315">
        <v>-0.96344017505275903</v>
      </c>
      <c r="G315">
        <v>-1.0593042779690789</v>
      </c>
      <c r="H315">
        <v>-0.85095692923658617</v>
      </c>
      <c r="I315">
        <v>-0.76344817230140039</v>
      </c>
      <c r="J315">
        <v>-1.049232433533571</v>
      </c>
      <c r="M315" s="13">
        <v>0</v>
      </c>
      <c r="O315" s="10">
        <f t="shared" si="12"/>
        <v>1</v>
      </c>
      <c r="P315" s="10">
        <f t="shared" si="13"/>
        <v>0</v>
      </c>
      <c r="R315" s="14">
        <v>0.59440792751712135</v>
      </c>
      <c r="S315" s="14">
        <v>-1.1231835363418938</v>
      </c>
      <c r="T315" s="14">
        <v>-0.5715657569613708</v>
      </c>
      <c r="U315" s="14">
        <v>-0.72032355620987965</v>
      </c>
      <c r="V315" s="14">
        <v>-0.62880542463194689</v>
      </c>
      <c r="W315" s="14">
        <v>-0.24537863549164401</v>
      </c>
      <c r="X315" s="14">
        <v>1.0636949892662098</v>
      </c>
      <c r="Y315" s="14">
        <v>1.2128658189862624</v>
      </c>
      <c r="Z315" s="14">
        <v>9.0509475632489511E-2</v>
      </c>
      <c r="AA315" s="14">
        <v>-0.26861838926807247</v>
      </c>
      <c r="AB315" s="14">
        <v>0.47311577626756496</v>
      </c>
      <c r="AC315" s="14">
        <v>0.38603288995639579</v>
      </c>
      <c r="AD315" s="14">
        <v>1.1146754363917803</v>
      </c>
      <c r="AE315" s="14">
        <v>-0.6490725437786713</v>
      </c>
      <c r="AF315" s="14">
        <v>0.35351602527402454</v>
      </c>
      <c r="AG315" s="14">
        <v>-0.59692836357845269</v>
      </c>
      <c r="AH315" s="14">
        <v>1.6811521697533083E-2</v>
      </c>
      <c r="AI315" s="14">
        <v>0.3292316620206065</v>
      </c>
      <c r="AJ315" s="14">
        <v>1.565459755435785</v>
      </c>
      <c r="AK315" s="14">
        <v>-1.4308275711367937</v>
      </c>
      <c r="AM315" s="14">
        <v>-0.29387156521667618</v>
      </c>
      <c r="AN315" s="14">
        <v>-0.80706169851674614</v>
      </c>
      <c r="AO315" s="14">
        <v>-0.38529248204111194</v>
      </c>
      <c r="AP315" s="14">
        <v>-8.9283291698754402E-2</v>
      </c>
      <c r="AQ315" s="14">
        <v>-0.33524035536362029</v>
      </c>
      <c r="AR315" s="14">
        <v>-0.11465254607402904</v>
      </c>
      <c r="AS315" s="14">
        <v>0.82167503930507846</v>
      </c>
      <c r="AT315" s="14">
        <v>0.83954514232608868</v>
      </c>
      <c r="AU315" s="14">
        <v>-1.4597192123245568E-2</v>
      </c>
      <c r="AV315" s="14">
        <v>-0.54264274320891537</v>
      </c>
      <c r="AW315" s="14">
        <v>-0.62635658563510932</v>
      </c>
      <c r="AX315" s="14">
        <v>-0.24594036874821029</v>
      </c>
      <c r="AY315" s="14">
        <v>0.73167854374219088</v>
      </c>
      <c r="AZ315" s="14">
        <v>-0.79965557232439011</v>
      </c>
      <c r="BA315" s="14">
        <v>6.5225936484851893E-2</v>
      </c>
      <c r="BB315" s="14">
        <v>0.14374643439136162</v>
      </c>
      <c r="BC315" s="14">
        <v>0.45872578163667421</v>
      </c>
      <c r="BD315" s="14">
        <v>0.77991792195138132</v>
      </c>
      <c r="BE315" s="14">
        <v>0.72621624002799079</v>
      </c>
      <c r="BF315" s="14">
        <v>-0.18229022222774166</v>
      </c>
      <c r="BK315" s="16">
        <v>0.58147524370445058</v>
      </c>
      <c r="BL315" s="16">
        <v>-8.9158922364234866E-2</v>
      </c>
      <c r="BN315" s="17">
        <f t="shared" si="14"/>
        <v>0</v>
      </c>
    </row>
    <row r="316" spans="1:66" x14ac:dyDescent="0.2">
      <c r="A316">
        <v>-1.6122088187367281</v>
      </c>
      <c r="B316">
        <v>-9.5504915226222883E-2</v>
      </c>
      <c r="C316">
        <v>-1.602530496032039</v>
      </c>
      <c r="D316">
        <v>-1.2744356851194321</v>
      </c>
      <c r="E316">
        <v>-0.86470534880507188</v>
      </c>
      <c r="F316">
        <v>-1.1329195209426901</v>
      </c>
      <c r="G316">
        <v>-1.2869671539067371</v>
      </c>
      <c r="H316">
        <v>-1.552419518709369</v>
      </c>
      <c r="I316">
        <v>-1.1667544491583659</v>
      </c>
      <c r="J316">
        <v>-1.755320499366567</v>
      </c>
      <c r="M316" s="13">
        <v>0</v>
      </c>
      <c r="O316" s="10">
        <f t="shared" si="12"/>
        <v>1</v>
      </c>
      <c r="P316" s="10">
        <f t="shared" si="13"/>
        <v>0</v>
      </c>
      <c r="R316" s="14">
        <v>0.50267761320301596</v>
      </c>
      <c r="S316" s="14">
        <v>1.0302438364473059</v>
      </c>
      <c r="T316" s="14">
        <v>0.4405712391771901</v>
      </c>
      <c r="U316" s="14">
        <v>-8.789518003336233E-2</v>
      </c>
      <c r="V316" s="14">
        <v>1.4711885047478008</v>
      </c>
      <c r="W316" s="14">
        <v>-0.66159151054734422</v>
      </c>
      <c r="X316" s="14">
        <v>-1.46589091277999</v>
      </c>
      <c r="Y316" s="14">
        <v>-0.66492375021817973</v>
      </c>
      <c r="Z316" s="14">
        <v>1.3787006192878775</v>
      </c>
      <c r="AA316" s="14">
        <v>1.209323572468235</v>
      </c>
      <c r="AB316" s="14">
        <v>-0.26254987461304158</v>
      </c>
      <c r="AC316" s="14">
        <v>1.0608638972565929</v>
      </c>
      <c r="AD316" s="14">
        <v>-0.80686604617189894</v>
      </c>
      <c r="AE316" s="14">
        <v>1.6893573615968822</v>
      </c>
      <c r="AF316" s="14">
        <v>0.23071898245283029</v>
      </c>
      <c r="AG316" s="14">
        <v>0.12196300211602651</v>
      </c>
      <c r="AH316" s="14">
        <v>-1.1077459390389024</v>
      </c>
      <c r="AI316" s="14">
        <v>-1.5973820075978424</v>
      </c>
      <c r="AJ316" s="14">
        <v>-0.55440833093203179</v>
      </c>
      <c r="AK316" s="14">
        <v>-1.0630577429512442</v>
      </c>
      <c r="AM316" s="14">
        <v>-0.26762364361983054</v>
      </c>
      <c r="AN316" s="14">
        <v>-0.26672215237439567</v>
      </c>
      <c r="AO316" s="14">
        <v>-0.1897037412204976</v>
      </c>
      <c r="AP316" s="14">
        <v>0.17351391346559109</v>
      </c>
      <c r="AQ316" s="14">
        <v>-0.45227271086299736</v>
      </c>
      <c r="AR316" s="14">
        <v>0.48766127074451848</v>
      </c>
      <c r="AS316" s="14">
        <v>0.42804306040553686</v>
      </c>
      <c r="AT316" s="14">
        <v>-0.20676802028559646</v>
      </c>
      <c r="AU316" s="14">
        <v>-0.69532465936447241</v>
      </c>
      <c r="AV316" s="14">
        <v>-0.14500424684032617</v>
      </c>
      <c r="AW316" s="14">
        <v>0.26388983588828507</v>
      </c>
      <c r="AX316" s="14">
        <v>-0.47276090693402628</v>
      </c>
      <c r="AY316" s="14">
        <v>0.2172586325198039</v>
      </c>
      <c r="AZ316" s="14">
        <v>-0.45298285630759244</v>
      </c>
      <c r="BA316" s="14">
        <v>-0.22860061297930312</v>
      </c>
      <c r="BB316" s="14">
        <v>5.3361920456280812E-2</v>
      </c>
      <c r="BC316" s="14">
        <v>0.15532715650002404</v>
      </c>
      <c r="BD316" s="14">
        <v>0.20969890604158417</v>
      </c>
      <c r="BE316" s="14">
        <v>0.22455735040398592</v>
      </c>
      <c r="BF316" s="14">
        <v>0.12787327920985195</v>
      </c>
      <c r="BK316" s="16">
        <v>0.61542219481014304</v>
      </c>
      <c r="BL316" s="16">
        <v>-5.6399333038543754E-2</v>
      </c>
      <c r="BN316" s="17">
        <f t="shared" si="14"/>
        <v>0</v>
      </c>
    </row>
    <row r="317" spans="1:66" x14ac:dyDescent="0.2">
      <c r="A317">
        <v>-0.49905834218812972</v>
      </c>
      <c r="B317">
        <v>-0.52460879034686136</v>
      </c>
      <c r="C317">
        <v>-0.56083824311591846</v>
      </c>
      <c r="D317">
        <v>-0.52487890411140425</v>
      </c>
      <c r="E317">
        <v>-1.2388124003521419</v>
      </c>
      <c r="F317">
        <v>-1.077463696936424</v>
      </c>
      <c r="G317">
        <v>-1.122795305680895</v>
      </c>
      <c r="H317">
        <v>-0.64391366197779554</v>
      </c>
      <c r="I317">
        <v>-0.62812713781799168</v>
      </c>
      <c r="J317">
        <v>-1.3384065703572221</v>
      </c>
      <c r="M317" s="13">
        <v>0</v>
      </c>
      <c r="O317" s="10">
        <f t="shared" si="12"/>
        <v>1</v>
      </c>
      <c r="P317" s="10">
        <f t="shared" si="13"/>
        <v>0</v>
      </c>
      <c r="R317" s="14">
        <v>0.18634004812217386</v>
      </c>
      <c r="S317" s="14">
        <v>1.0332431790571028</v>
      </c>
      <c r="T317" s="14">
        <v>5.1412107854248768E-2</v>
      </c>
      <c r="U317" s="14">
        <v>-1.2521690673832366</v>
      </c>
      <c r="V317" s="14">
        <v>1.3040731722664527</v>
      </c>
      <c r="W317" s="14">
        <v>0.14074204314153388</v>
      </c>
      <c r="X317" s="14">
        <v>-1.4637697673092633</v>
      </c>
      <c r="Y317" s="14">
        <v>-1.0690231210558887</v>
      </c>
      <c r="Z317" s="14">
        <v>0.42189361696806149</v>
      </c>
      <c r="AA317" s="14">
        <v>1.1523279653895888</v>
      </c>
      <c r="AB317" s="14">
        <v>1.6208910307565347</v>
      </c>
      <c r="AC317" s="14">
        <v>0.82277821066231627</v>
      </c>
      <c r="AD317" s="14">
        <v>-0.73250558147173805</v>
      </c>
      <c r="AE317" s="14">
        <v>1.688293702925701</v>
      </c>
      <c r="AF317" s="14">
        <v>-0.71429940076013843</v>
      </c>
      <c r="AG317" s="14">
        <v>-0.53558983555034334</v>
      </c>
      <c r="AH317" s="14">
        <v>-1.2359004687174699</v>
      </c>
      <c r="AI317" s="14">
        <v>-1.591898853161124</v>
      </c>
      <c r="AJ317" s="14">
        <v>-0.50466340802839005</v>
      </c>
      <c r="AK317" s="14">
        <v>-0.12498942164683102</v>
      </c>
      <c r="AM317" s="14">
        <v>0.48234017543165963</v>
      </c>
      <c r="AN317" s="14">
        <v>-0.7506593222501855</v>
      </c>
      <c r="AO317" s="14">
        <v>-0.18730132883328099</v>
      </c>
      <c r="AP317" s="14">
        <v>-0.17844804126312214</v>
      </c>
      <c r="AQ317" s="14">
        <v>-0.52343441165735438</v>
      </c>
      <c r="AR317" s="14">
        <v>-0.54767329815800192</v>
      </c>
      <c r="AS317" s="14">
        <v>0.79278476068543446</v>
      </c>
      <c r="AT317" s="14">
        <v>0.82113619608498922</v>
      </c>
      <c r="AU317" s="14">
        <v>6.8191001873067203E-2</v>
      </c>
      <c r="AV317" s="14">
        <v>-0.52187457564644946</v>
      </c>
      <c r="AW317" s="14">
        <v>-0.43996153082507</v>
      </c>
      <c r="AX317" s="14">
        <v>0.16872696603247153</v>
      </c>
      <c r="AY317" s="14">
        <v>0.72000640605866961</v>
      </c>
      <c r="AZ317" s="14">
        <v>-0.6645606661468102</v>
      </c>
      <c r="BA317" s="14">
        <v>0.39943047184672303</v>
      </c>
      <c r="BB317" s="14">
        <v>-0.30053001293952614</v>
      </c>
      <c r="BC317" s="14">
        <v>0.513173097124213</v>
      </c>
      <c r="BD317" s="14">
        <v>0.72570334226659317</v>
      </c>
      <c r="BE317" s="14">
        <v>0.76228472487037091</v>
      </c>
      <c r="BF317" s="14">
        <v>-0.73425304760213317</v>
      </c>
      <c r="BK317" s="16">
        <v>0.65262724404174499</v>
      </c>
      <c r="BL317" s="16">
        <v>-0.44522853122889222</v>
      </c>
      <c r="BN317" s="17">
        <f t="shared" si="14"/>
        <v>0</v>
      </c>
    </row>
    <row r="318" spans="1:66" x14ac:dyDescent="0.2">
      <c r="A318">
        <v>-0.58769863186962623</v>
      </c>
      <c r="B318">
        <v>-1.2038189241092441</v>
      </c>
      <c r="C318">
        <v>-0.64135150887915637</v>
      </c>
      <c r="D318">
        <v>-0.58302424580250334</v>
      </c>
      <c r="E318">
        <v>-1.35440831990618</v>
      </c>
      <c r="F318">
        <v>-0.99369106049324407</v>
      </c>
      <c r="G318">
        <v>-1.157863618893701</v>
      </c>
      <c r="H318">
        <v>-0.74536486293460302</v>
      </c>
      <c r="I318">
        <v>-0.68321200918492897</v>
      </c>
      <c r="J318">
        <v>-1.477976894292822</v>
      </c>
      <c r="M318" s="13">
        <v>0</v>
      </c>
      <c r="O318" s="10">
        <f t="shared" si="12"/>
        <v>1</v>
      </c>
      <c r="P318" s="10">
        <f t="shared" si="13"/>
        <v>0</v>
      </c>
      <c r="R318" s="14">
        <v>7.6485011598223906E-2</v>
      </c>
      <c r="S318" s="14">
        <v>-0.65493544703692252</v>
      </c>
      <c r="T318" s="14">
        <v>-0.31025606868443023</v>
      </c>
      <c r="U318" s="14">
        <v>-1.3073172545140921</v>
      </c>
      <c r="V318" s="14">
        <v>-0.45165369637037844</v>
      </c>
      <c r="W318" s="14">
        <v>4.9123393536846693E-2</v>
      </c>
      <c r="X318" s="14">
        <v>0.98273080986979744</v>
      </c>
      <c r="Y318" s="14">
        <v>0.40297152376164419</v>
      </c>
      <c r="Z318" s="14">
        <v>-0.63991747972700352</v>
      </c>
      <c r="AA318" s="14">
        <v>-0.1323102803905466</v>
      </c>
      <c r="AB318" s="14">
        <v>0.71131418280204428</v>
      </c>
      <c r="AC318" s="14">
        <v>0.16115662875162934</v>
      </c>
      <c r="AD318" s="14">
        <v>0.9726688442302156</v>
      </c>
      <c r="AE318" s="14">
        <v>-0.22791681350965892</v>
      </c>
      <c r="AF318" s="14">
        <v>-7.6586739758508493E-2</v>
      </c>
      <c r="AG318" s="14">
        <v>-0.51472562413102718</v>
      </c>
      <c r="AH318" s="14">
        <v>-0.44130004840037673</v>
      </c>
      <c r="AI318" s="14">
        <v>-8.3617400456600377E-2</v>
      </c>
      <c r="AJ318" s="14">
        <v>1.4561042203124945</v>
      </c>
      <c r="AK318" s="14">
        <v>-0.95385218199767552</v>
      </c>
      <c r="AM318" s="14">
        <v>-0.30651403609240369</v>
      </c>
      <c r="AN318" s="14">
        <v>-0.22570174540425691</v>
      </c>
      <c r="AO318" s="14">
        <v>-0.45707785495513226</v>
      </c>
      <c r="AP318" s="14">
        <v>-0.47882247525447919</v>
      </c>
      <c r="AQ318" s="14">
        <v>-0.51712713934589849</v>
      </c>
      <c r="AR318" s="14">
        <v>0.68860662530573369</v>
      </c>
      <c r="AS318" s="14">
        <v>0.54644288310337408</v>
      </c>
      <c r="AT318" s="14">
        <v>-0.32994777847730666</v>
      </c>
      <c r="AU318" s="14">
        <v>-0.71820180817069501</v>
      </c>
      <c r="AV318" s="14">
        <v>-0.28789300638935245</v>
      </c>
      <c r="AW318" s="14">
        <v>0.60143490177373415</v>
      </c>
      <c r="AX318" s="14">
        <v>-0.45534073083405158</v>
      </c>
      <c r="AY318" s="14">
        <v>0.3429250558661559</v>
      </c>
      <c r="AZ318" s="14">
        <v>-0.49828058092624017</v>
      </c>
      <c r="BA318" s="14">
        <v>-0.50220461373853231</v>
      </c>
      <c r="BB318" s="14">
        <v>-0.15893986973574664</v>
      </c>
      <c r="BC318" s="14">
        <v>-2.7140829332409497E-2</v>
      </c>
      <c r="BD318" s="14">
        <v>0.27794318825583936</v>
      </c>
      <c r="BE318" s="14">
        <v>0.48980579564611448</v>
      </c>
      <c r="BF318" s="14">
        <v>0.42477411699011197</v>
      </c>
      <c r="BK318" s="16">
        <v>-9.1412524958997779E-2</v>
      </c>
      <c r="BL318" s="16">
        <v>0.77179831079528805</v>
      </c>
      <c r="BN318" s="17">
        <f t="shared" si="14"/>
        <v>1</v>
      </c>
    </row>
    <row r="319" spans="1:66" x14ac:dyDescent="0.2">
      <c r="A319">
        <v>1.139357334827916</v>
      </c>
      <c r="B319">
        <v>-2.9300317350467332E-2</v>
      </c>
      <c r="C319">
        <v>1.078893267350852</v>
      </c>
      <c r="D319">
        <v>1.0450453215482669</v>
      </c>
      <c r="E319">
        <v>0.12455040647811499</v>
      </c>
      <c r="F319">
        <v>0.26804361626010298</v>
      </c>
      <c r="G319">
        <v>0.74505245281200272</v>
      </c>
      <c r="H319">
        <v>1.115954109721925</v>
      </c>
      <c r="I319">
        <v>1.0382345014750829</v>
      </c>
      <c r="J319">
        <v>0.90430284086546153</v>
      </c>
      <c r="M319" s="13">
        <v>1</v>
      </c>
      <c r="O319" s="10">
        <f t="shared" si="12"/>
        <v>0</v>
      </c>
      <c r="P319" s="10">
        <f t="shared" si="13"/>
        <v>1</v>
      </c>
      <c r="R319" s="14">
        <v>-0.63562502346383376</v>
      </c>
      <c r="S319" s="14">
        <v>-1.1313959350885643</v>
      </c>
      <c r="T319" s="14">
        <v>-0.7599799485617007</v>
      </c>
      <c r="U319" s="14">
        <v>-0.68113139109707954</v>
      </c>
      <c r="V319" s="14">
        <v>-0.25554418837237813</v>
      </c>
      <c r="W319" s="14">
        <v>-0.15830043469109717</v>
      </c>
      <c r="X319" s="14">
        <v>1.0649975667875098</v>
      </c>
      <c r="Y319" s="14">
        <v>1.3282719779488734</v>
      </c>
      <c r="Z319" s="14">
        <v>0.3933670630066316</v>
      </c>
      <c r="AA319" s="14">
        <v>-0.27142030053776278</v>
      </c>
      <c r="AB319" s="14">
        <v>-0.81760112899702642</v>
      </c>
      <c r="AC319" s="14">
        <v>-0.30050196410600916</v>
      </c>
      <c r="AD319" s="14">
        <v>1.1298600215753298</v>
      </c>
      <c r="AE319" s="14">
        <v>-0.66159692428594497</v>
      </c>
      <c r="AF319" s="14">
        <v>-0.18958590265224484</v>
      </c>
      <c r="AG319" s="14">
        <v>-0.20430000645995094</v>
      </c>
      <c r="AH319" s="14">
        <v>8.1063029189327729E-3</v>
      </c>
      <c r="AI319" s="14">
        <v>0.33980124960537283</v>
      </c>
      <c r="AJ319" s="14">
        <v>1.5580438450491727</v>
      </c>
      <c r="AK319" s="14">
        <v>-0.85231164778312951</v>
      </c>
      <c r="AM319" s="14">
        <v>-0.27266438557201544</v>
      </c>
      <c r="AN319" s="14">
        <v>-0.65059714941302349</v>
      </c>
      <c r="AO319" s="14">
        <v>-0.33867602723022033</v>
      </c>
      <c r="AP319" s="14">
        <v>1.99872528741835E-2</v>
      </c>
      <c r="AQ319" s="14">
        <v>-0.5896052931247967</v>
      </c>
      <c r="AR319" s="14">
        <v>0.2900947159526141</v>
      </c>
      <c r="AS319" s="14">
        <v>0.71259564288831578</v>
      </c>
      <c r="AT319" s="14">
        <v>0.48959322211526873</v>
      </c>
      <c r="AU319" s="14">
        <v>-0.46116283474163977</v>
      </c>
      <c r="AV319" s="14">
        <v>-0.50467862842325839</v>
      </c>
      <c r="AW319" s="14">
        <v>-8.7340046891563133E-2</v>
      </c>
      <c r="AX319" s="14">
        <v>-0.38902758485083633</v>
      </c>
      <c r="AY319" s="14">
        <v>0.53945147810302196</v>
      </c>
      <c r="AZ319" s="14">
        <v>-0.72922260219769608</v>
      </c>
      <c r="BA319" s="14">
        <v>-0.15805558127284042</v>
      </c>
      <c r="BB319" s="14">
        <v>-0.15438690753966464</v>
      </c>
      <c r="BC319" s="14">
        <v>0.39547186199563455</v>
      </c>
      <c r="BD319" s="14">
        <v>0.60128602196687375</v>
      </c>
      <c r="BE319" s="14">
        <v>0.62761806116542873</v>
      </c>
      <c r="BF319" s="14">
        <v>-0.12763116229671123</v>
      </c>
      <c r="BK319" s="16">
        <v>0.66003035253323106</v>
      </c>
      <c r="BL319" s="16">
        <v>-0.24670078800266629</v>
      </c>
      <c r="BN319" s="17">
        <f t="shared" si="14"/>
        <v>0</v>
      </c>
    </row>
    <row r="320" spans="1:66" x14ac:dyDescent="0.2">
      <c r="A320">
        <v>-1.4849671125810311</v>
      </c>
      <c r="B320">
        <v>-2.1944250919828399E-2</v>
      </c>
      <c r="C320">
        <v>-1.3543504294010269</v>
      </c>
      <c r="D320">
        <v>-1.207367048416333</v>
      </c>
      <c r="E320">
        <v>1.7135296865215579</v>
      </c>
      <c r="F320">
        <v>1.3156664931949349</v>
      </c>
      <c r="G320">
        <v>-3.2482596702262292E-2</v>
      </c>
      <c r="H320">
        <v>-1.3230155785866291</v>
      </c>
      <c r="I320">
        <v>-1.065795038614461</v>
      </c>
      <c r="J320">
        <v>-4.0642163462472139E-2</v>
      </c>
      <c r="M320" s="13">
        <v>0</v>
      </c>
      <c r="O320" s="10">
        <f t="shared" si="12"/>
        <v>1</v>
      </c>
      <c r="P320" s="10">
        <f t="shared" si="13"/>
        <v>0</v>
      </c>
      <c r="R320" s="14">
        <v>-0.4217099272647753</v>
      </c>
      <c r="S320" s="14">
        <v>-0.69504337506279146</v>
      </c>
      <c r="T320" s="14">
        <v>-0.43316548444906011</v>
      </c>
      <c r="U320" s="14">
        <v>-0.34390670281666352</v>
      </c>
      <c r="V320" s="14">
        <v>-0.46750568255763281</v>
      </c>
      <c r="W320" s="14">
        <v>1.0614659086751268</v>
      </c>
      <c r="X320" s="14">
        <v>1.0252008209840666</v>
      </c>
      <c r="Y320" s="14">
        <v>-0.21167367763320377</v>
      </c>
      <c r="Z320" s="14">
        <v>-1.0720711300827992</v>
      </c>
      <c r="AA320" s="14">
        <v>0.3563563263231132</v>
      </c>
      <c r="AB320" s="14">
        <v>0.52363635134515885</v>
      </c>
      <c r="AC320" s="14">
        <v>-0.31375320210262958</v>
      </c>
      <c r="AD320" s="14">
        <v>0.65770419387294032</v>
      </c>
      <c r="AE320" s="14">
        <v>-0.62521004714107953</v>
      </c>
      <c r="AF320" s="14">
        <v>-1.6443196424489437E-2</v>
      </c>
      <c r="AG320" s="14">
        <v>0.24998592641970885</v>
      </c>
      <c r="AH320" s="14">
        <v>-0.42907017000237241</v>
      </c>
      <c r="AI320" s="14">
        <v>-0.1673865389869284</v>
      </c>
      <c r="AJ320" s="14">
        <v>1.1375313900702166</v>
      </c>
      <c r="AK320" s="14">
        <v>-0.43785635145388174</v>
      </c>
      <c r="AM320" s="14">
        <v>-8.9634917288084023E-2</v>
      </c>
      <c r="AN320" s="14">
        <v>0.22354189167112917</v>
      </c>
      <c r="AO320" s="14">
        <v>-0.2136662624430582</v>
      </c>
      <c r="AP320" s="14">
        <v>-0.5685170673708636</v>
      </c>
      <c r="AQ320" s="14">
        <v>0.28140341138746439</v>
      </c>
      <c r="AR320" s="14">
        <v>0.27963763195137131</v>
      </c>
      <c r="AS320" s="14">
        <v>-4.6402818719538462E-2</v>
      </c>
      <c r="AT320" s="14">
        <v>-0.41604019307834772</v>
      </c>
      <c r="AU320" s="14">
        <v>-0.14989433801138632</v>
      </c>
      <c r="AV320" s="14">
        <v>0.1861316576861784</v>
      </c>
      <c r="AW320" s="14">
        <v>0.35587668896548469</v>
      </c>
      <c r="AX320" s="14">
        <v>-4.9933874467349627E-2</v>
      </c>
      <c r="AY320" s="14">
        <v>3.4072735924104286E-2</v>
      </c>
      <c r="AZ320" s="14">
        <v>0.18204119413648026</v>
      </c>
      <c r="BA320" s="14">
        <v>-0.26860861972893924</v>
      </c>
      <c r="BB320" s="14">
        <v>0.18090091568934993</v>
      </c>
      <c r="BC320" s="14">
        <v>-0.37350447882192422</v>
      </c>
      <c r="BD320" s="14">
        <v>-9.7160429865820616E-2</v>
      </c>
      <c r="BE320" s="14">
        <v>-4.9873470683381466E-2</v>
      </c>
      <c r="BF320" s="14">
        <v>0.50544797271815001</v>
      </c>
      <c r="BK320" s="16">
        <v>-0.47763076894844242</v>
      </c>
      <c r="BL320" s="16">
        <v>0.65823780450921066</v>
      </c>
      <c r="BN320" s="17">
        <f t="shared" si="14"/>
        <v>1</v>
      </c>
    </row>
    <row r="321" spans="1:66" x14ac:dyDescent="0.2">
      <c r="A321">
        <v>-0.51621452728777428</v>
      </c>
      <c r="B321">
        <v>-0.48782845819366422</v>
      </c>
      <c r="C321">
        <v>-0.58532423631195485</v>
      </c>
      <c r="D321">
        <v>-0.53725637783772739</v>
      </c>
      <c r="E321">
        <v>-1.309433701687406</v>
      </c>
      <c r="F321">
        <v>-0.96653965102002182</v>
      </c>
      <c r="G321">
        <v>-0.85270283795514723</v>
      </c>
      <c r="H321">
        <v>-0.73501269957166326</v>
      </c>
      <c r="I321">
        <v>-0.67825259954417583</v>
      </c>
      <c r="J321">
        <v>-1.331218399167406</v>
      </c>
      <c r="M321" s="13">
        <v>0</v>
      </c>
      <c r="O321" s="10">
        <f t="shared" si="12"/>
        <v>1</v>
      </c>
      <c r="P321" s="10">
        <f t="shared" si="13"/>
        <v>0</v>
      </c>
      <c r="R321" s="14">
        <v>0.53585461903781673</v>
      </c>
      <c r="S321" s="14">
        <v>-1.1291173883789845</v>
      </c>
      <c r="T321" s="14">
        <v>-0.60249960771226252</v>
      </c>
      <c r="U321" s="14">
        <v>-0.87766299124874658</v>
      </c>
      <c r="V321" s="14">
        <v>-0.526887688574319</v>
      </c>
      <c r="W321" s="14">
        <v>-0.45389386834418416</v>
      </c>
      <c r="X321" s="14">
        <v>1.0642277308434116</v>
      </c>
      <c r="Y321" s="14">
        <v>1.320403189615889</v>
      </c>
      <c r="Z321" s="14">
        <v>0.42678716208884104</v>
      </c>
      <c r="AA321" s="14">
        <v>-0.27285007886123491</v>
      </c>
      <c r="AB321" s="14">
        <v>-0.15782368730677332</v>
      </c>
      <c r="AC321" s="14">
        <v>0.43107967761250388</v>
      </c>
      <c r="AD321" s="14">
        <v>1.1336755678286345</v>
      </c>
      <c r="AE321" s="14">
        <v>-0.64133786076530419</v>
      </c>
      <c r="AF321" s="14">
        <v>0.19533269110968343</v>
      </c>
      <c r="AG321" s="14">
        <v>-0.58435480879467616</v>
      </c>
      <c r="AH321" s="14">
        <v>7.8837130520427068E-2</v>
      </c>
      <c r="AI321" s="14">
        <v>0.33868858381476663</v>
      </c>
      <c r="AJ321" s="14">
        <v>1.565647976679196</v>
      </c>
      <c r="AK321" s="14">
        <v>-1.4918200984252901</v>
      </c>
      <c r="AM321" s="14">
        <v>0.46057975542158808</v>
      </c>
      <c r="AN321" s="14">
        <v>3.8363594689175898E-2</v>
      </c>
      <c r="AO321" s="14">
        <v>0.15919194125316008</v>
      </c>
      <c r="AP321" s="14">
        <v>0.50397917530748881</v>
      </c>
      <c r="AQ321" s="14">
        <v>7.0161546503933234E-2</v>
      </c>
      <c r="AR321" s="14">
        <v>-6.0060212000360311E-2</v>
      </c>
      <c r="AS321" s="14">
        <v>-3.4756028068716936E-2</v>
      </c>
      <c r="AT321" s="14">
        <v>-0.15768498802804898</v>
      </c>
      <c r="AU321" s="14">
        <v>-0.14048886402900773</v>
      </c>
      <c r="AV321" s="14">
        <v>0.33154358383998261</v>
      </c>
      <c r="AW321" s="14">
        <v>-0.21955750468445012</v>
      </c>
      <c r="AX321" s="14">
        <v>8.5816049416781059E-2</v>
      </c>
      <c r="AY321" s="14">
        <v>8.8077707009924754E-3</v>
      </c>
      <c r="AZ321" s="14">
        <v>0.13215113786301672</v>
      </c>
      <c r="BA321" s="14">
        <v>0.19682139450111572</v>
      </c>
      <c r="BB321" s="14">
        <v>0.17456734538198454</v>
      </c>
      <c r="BC321" s="14">
        <v>4.7568645392009536E-2</v>
      </c>
      <c r="BD321" s="14">
        <v>3.7268004731270683E-2</v>
      </c>
      <c r="BE321" s="14">
        <v>-0.11365781833387624</v>
      </c>
      <c r="BF321" s="14">
        <v>-0.41803744447361602</v>
      </c>
      <c r="BK321" s="16">
        <v>0.54911560442174923</v>
      </c>
      <c r="BL321" s="16">
        <v>-0.46868856228974076</v>
      </c>
      <c r="BN321" s="17">
        <f t="shared" si="14"/>
        <v>0</v>
      </c>
    </row>
    <row r="322" spans="1:66" x14ac:dyDescent="0.2">
      <c r="A322">
        <v>-1.139555919241523</v>
      </c>
      <c r="B322">
        <v>-0.68889427396447778</v>
      </c>
      <c r="C322">
        <v>-1.0866645715799521</v>
      </c>
      <c r="D322">
        <v>-0.97795201214006644</v>
      </c>
      <c r="E322">
        <v>0.1133996746883366</v>
      </c>
      <c r="F322">
        <v>-0.2990365067103018</v>
      </c>
      <c r="G322">
        <v>-0.27351335005267391</v>
      </c>
      <c r="H322">
        <v>-1.070422792530904</v>
      </c>
      <c r="I322">
        <v>-0.90054042451364957</v>
      </c>
      <c r="J322">
        <v>-0.29612174783385969</v>
      </c>
      <c r="M322" s="13">
        <v>0</v>
      </c>
      <c r="O322" s="10">
        <f t="shared" si="12"/>
        <v>1</v>
      </c>
      <c r="P322" s="10">
        <f t="shared" si="13"/>
        <v>0</v>
      </c>
      <c r="R322" s="14">
        <v>-0.51440917018442589</v>
      </c>
      <c r="S322" s="14">
        <v>-3.2796831812943766E-2</v>
      </c>
      <c r="T322" s="14">
        <v>-0.74217488329854053</v>
      </c>
      <c r="U322" s="14">
        <v>-1.2440519186638541</v>
      </c>
      <c r="V322" s="14">
        <v>-0.45553759836652663</v>
      </c>
      <c r="W322" s="14">
        <v>1.2250813579891255</v>
      </c>
      <c r="X322" s="14">
        <v>1.021232721443994</v>
      </c>
      <c r="Y322" s="14">
        <v>-0.40254109279387662</v>
      </c>
      <c r="Z322" s="14">
        <v>-1.0116418221002319</v>
      </c>
      <c r="AA322" s="14">
        <v>4.2576370607781522E-2</v>
      </c>
      <c r="AB322" s="14">
        <v>0.77695965231372621</v>
      </c>
      <c r="AC322" s="14">
        <v>-0.29812755745903163</v>
      </c>
      <c r="AD322" s="14">
        <v>0.67952383498858315</v>
      </c>
      <c r="AE322" s="14">
        <v>-0.58413605721741124</v>
      </c>
      <c r="AF322" s="14">
        <v>-0.31478257499325524</v>
      </c>
      <c r="AG322" s="14">
        <v>-0.30750998010801922</v>
      </c>
      <c r="AH322" s="14">
        <v>-0.72908631921514933</v>
      </c>
      <c r="AI322" s="14">
        <v>-0.27031363905505396</v>
      </c>
      <c r="AJ322" s="14">
        <v>1.4687959326363107</v>
      </c>
      <c r="AK322" s="14">
        <v>-6.0037367198302549E-2</v>
      </c>
      <c r="AM322" s="14">
        <v>0.38124495950054615</v>
      </c>
      <c r="AN322" s="14">
        <v>-0.34931336530449553</v>
      </c>
      <c r="AO322" s="14">
        <v>-0.10754514313099355</v>
      </c>
      <c r="AP322" s="14">
        <v>-3.8740603490300361E-2</v>
      </c>
      <c r="AQ322" s="14">
        <v>-0.40682957495513511</v>
      </c>
      <c r="AR322" s="14">
        <v>-8.3506041385011623E-2</v>
      </c>
      <c r="AS322" s="14">
        <v>0.51969838389222844</v>
      </c>
      <c r="AT322" s="14">
        <v>0.27476259113334556</v>
      </c>
      <c r="AU322" s="14">
        <v>-0.3253842517926564</v>
      </c>
      <c r="AV322" s="14">
        <v>-0.17371980265311149</v>
      </c>
      <c r="AW322" s="14">
        <v>-3.6140955769438071E-2</v>
      </c>
      <c r="AX322" s="14">
        <v>-1.1612380002433541E-2</v>
      </c>
      <c r="AY322" s="14">
        <v>0.40956637645666977</v>
      </c>
      <c r="AZ322" s="14">
        <v>-0.34150927710181755</v>
      </c>
      <c r="BA322" s="14">
        <v>0.14191690517566216</v>
      </c>
      <c r="BB322" s="14">
        <v>-0.17211612489228081</v>
      </c>
      <c r="BC322" s="14">
        <v>0.21902929468408333</v>
      </c>
      <c r="BD322" s="14">
        <v>0.36554929347681164</v>
      </c>
      <c r="BE322" s="14">
        <v>0.4710624194124392</v>
      </c>
      <c r="BF322" s="14">
        <v>-0.47230061875101431</v>
      </c>
      <c r="BK322" s="16">
        <v>0.71661760775141503</v>
      </c>
      <c r="BL322" s="16">
        <v>-0.30074611263824774</v>
      </c>
      <c r="BN322" s="17">
        <f t="shared" si="14"/>
        <v>0</v>
      </c>
    </row>
    <row r="323" spans="1:66" x14ac:dyDescent="0.2">
      <c r="A323">
        <v>1.6940739863830869</v>
      </c>
      <c r="B323">
        <v>0.16440943198970639</v>
      </c>
      <c r="C323">
        <v>1.5935141413014451</v>
      </c>
      <c r="D323">
        <v>1.756030440246358</v>
      </c>
      <c r="E323">
        <v>-0.35976304425793332</v>
      </c>
      <c r="F323">
        <v>0.29903837593273119</v>
      </c>
      <c r="G323">
        <v>0.68779806389313503</v>
      </c>
      <c r="H323">
        <v>1.3685468957776501</v>
      </c>
      <c r="I323">
        <v>1.3428839508356361</v>
      </c>
      <c r="J323">
        <v>0.37866782261014481</v>
      </c>
      <c r="M323" s="13">
        <v>1</v>
      </c>
      <c r="O323" s="10">
        <f t="shared" ref="O323:O386" si="15">IF(M323=0,1,0)</f>
        <v>0</v>
      </c>
      <c r="P323" s="10">
        <f t="shared" ref="P323:P386" si="16">IF(M323=1,1,0)</f>
        <v>1</v>
      </c>
      <c r="R323" s="14">
        <v>-0.53239460775837388</v>
      </c>
      <c r="S323" s="14">
        <v>-1.1206149589643846</v>
      </c>
      <c r="T323" s="14">
        <v>-0.680664145032019</v>
      </c>
      <c r="U323" s="14">
        <v>-0.52486005649250089</v>
      </c>
      <c r="V323" s="14">
        <v>-0.57870691183325307</v>
      </c>
      <c r="W323" s="14">
        <v>0.57303816613660263</v>
      </c>
      <c r="X323" s="14">
        <v>1.0642564688694169</v>
      </c>
      <c r="Y323" s="14">
        <v>1.0631302296703058</v>
      </c>
      <c r="Z323" s="14">
        <v>-0.47239761794234236</v>
      </c>
      <c r="AA323" s="14">
        <v>-0.2518301758723922</v>
      </c>
      <c r="AB323" s="14">
        <v>0.18478237255270263</v>
      </c>
      <c r="AC323" s="14">
        <v>-0.29562459878068337</v>
      </c>
      <c r="AD323" s="14">
        <v>1.0865376781697382</v>
      </c>
      <c r="AE323" s="14">
        <v>-0.66122569522342634</v>
      </c>
      <c r="AF323" s="14">
        <v>-0.19492492907662007</v>
      </c>
      <c r="AG323" s="14">
        <v>-0.40001825797339408</v>
      </c>
      <c r="AH323" s="14">
        <v>-5.2961795618771235E-2</v>
      </c>
      <c r="AI323" s="14">
        <v>0.32493760620506607</v>
      </c>
      <c r="AJ323" s="14">
        <v>1.5559663076413908</v>
      </c>
      <c r="AK323" s="14">
        <v>-0.82377082439652383</v>
      </c>
      <c r="AM323" s="14">
        <v>6.6055704410860339E-2</v>
      </c>
      <c r="AN323" s="14">
        <v>-0.56371260471091533</v>
      </c>
      <c r="AO323" s="14">
        <v>-0.19249008227116429</v>
      </c>
      <c r="AP323" s="14">
        <v>0.1980321505872617</v>
      </c>
      <c r="AQ323" s="14">
        <v>-0.58423340528604339</v>
      </c>
      <c r="AR323" s="14">
        <v>2.9328401287620622E-2</v>
      </c>
      <c r="AS323" s="14">
        <v>0.62687371108970891</v>
      </c>
      <c r="AT323" s="14">
        <v>0.39923253725384061</v>
      </c>
      <c r="AU323" s="14">
        <v>-0.44327606234685452</v>
      </c>
      <c r="AV323" s="14">
        <v>-0.37889924309314865</v>
      </c>
      <c r="AW323" s="14">
        <v>-4.001982193341614E-2</v>
      </c>
      <c r="AX323" s="14">
        <v>-0.27032651149667974</v>
      </c>
      <c r="AY323" s="14">
        <v>0.46805444079282577</v>
      </c>
      <c r="AZ323" s="14">
        <v>-0.60371075780892469</v>
      </c>
      <c r="BA323" s="14">
        <v>7.9618281740279781E-2</v>
      </c>
      <c r="BB323" s="14">
        <v>-0.18611551727293804</v>
      </c>
      <c r="BC323" s="14">
        <v>0.4049649577074122</v>
      </c>
      <c r="BD323" s="14">
        <v>0.50052473974563161</v>
      </c>
      <c r="BE323" s="14">
        <v>0.52679591404810255</v>
      </c>
      <c r="BF323" s="14">
        <v>-0.41029150985881918</v>
      </c>
      <c r="BK323" s="16">
        <v>0.74758391167516558</v>
      </c>
      <c r="BL323" s="16">
        <v>-0.3302176368551934</v>
      </c>
      <c r="BN323" s="17">
        <f t="shared" si="14"/>
        <v>0</v>
      </c>
    </row>
    <row r="324" spans="1:66" x14ac:dyDescent="0.2">
      <c r="A324">
        <v>-0.39326186740698921</v>
      </c>
      <c r="B324">
        <v>-1.3901726070187781</v>
      </c>
      <c r="C324">
        <v>-0.4101871324352207</v>
      </c>
      <c r="D324">
        <v>-0.45809811563449859</v>
      </c>
      <c r="E324">
        <v>-0.3095847512039297</v>
      </c>
      <c r="F324">
        <v>-0.66179917391874177</v>
      </c>
      <c r="G324">
        <v>-0.41792732210249611</v>
      </c>
      <c r="H324">
        <v>-0.49898337489664218</v>
      </c>
      <c r="I324">
        <v>-0.53017879741311602</v>
      </c>
      <c r="J324">
        <v>-2.566680681702151E-2</v>
      </c>
      <c r="M324" s="13">
        <v>0</v>
      </c>
      <c r="O324" s="10">
        <f t="shared" si="15"/>
        <v>1</v>
      </c>
      <c r="P324" s="10">
        <f t="shared" si="16"/>
        <v>0</v>
      </c>
      <c r="R324" s="14">
        <v>-2.8578310657331352E-2</v>
      </c>
      <c r="S324" s="14">
        <v>0.81112993786261889</v>
      </c>
      <c r="T324" s="14">
        <v>-0.5087921255411556</v>
      </c>
      <c r="U324" s="14">
        <v>-1.4355051128619878</v>
      </c>
      <c r="V324" s="14">
        <v>0.92387250685447142</v>
      </c>
      <c r="W324" s="14">
        <v>0.8327288340046437</v>
      </c>
      <c r="X324" s="14">
        <v>-0.53050314490110873</v>
      </c>
      <c r="Y324" s="14">
        <v>-0.47362011208641941</v>
      </c>
      <c r="Z324" s="14">
        <v>-0.50881091835895376</v>
      </c>
      <c r="AA324" s="14">
        <v>1.3014565543501284</v>
      </c>
      <c r="AB324" s="14">
        <v>0.73903379390327717</v>
      </c>
      <c r="AC324" s="14">
        <v>0.12886597623086404</v>
      </c>
      <c r="AD324" s="14">
        <v>2.8223513392004393E-2</v>
      </c>
      <c r="AE324" s="14">
        <v>1.2033646111298208</v>
      </c>
      <c r="AF324" s="14">
        <v>-9.1970376173971524E-2</v>
      </c>
      <c r="AG324" s="14">
        <v>0.55261677339597792</v>
      </c>
      <c r="AH324" s="14">
        <v>-1.2838565377540974</v>
      </c>
      <c r="AI324" s="14">
        <v>-1.3889961933715975</v>
      </c>
      <c r="AJ324" s="14">
        <v>8.9825468466892877E-2</v>
      </c>
      <c r="AK324" s="14">
        <v>5.9671848780655012E-2</v>
      </c>
      <c r="AM324" s="14">
        <v>0.57713386710507586</v>
      </c>
      <c r="AN324" s="14">
        <v>-0.66139483558769185</v>
      </c>
      <c r="AO324" s="14">
        <v>-0.38369069471935269</v>
      </c>
      <c r="AP324" s="14">
        <v>-0.20084029173361717</v>
      </c>
      <c r="AQ324" s="14">
        <v>-0.4638674340161083</v>
      </c>
      <c r="AR324" s="14">
        <v>-0.49994895250053212</v>
      </c>
      <c r="AS324" s="14">
        <v>0.779299278420724</v>
      </c>
      <c r="AT324" s="14">
        <v>0.63577737796502021</v>
      </c>
      <c r="AU324" s="14">
        <v>-0.15977553091962071</v>
      </c>
      <c r="AV324" s="14">
        <v>-0.28862326121694776</v>
      </c>
      <c r="AW324" s="14">
        <v>-6.8578127994982793E-2</v>
      </c>
      <c r="AX324" s="14">
        <v>1.002411155795516E-2</v>
      </c>
      <c r="AY324" s="14">
        <v>0.73920874502570677</v>
      </c>
      <c r="AZ324" s="14">
        <v>-0.5578844710110149</v>
      </c>
      <c r="BA324" s="14">
        <v>0.44300249963183302</v>
      </c>
      <c r="BB324" s="14">
        <v>-5.731416506662481E-2</v>
      </c>
      <c r="BC324" s="14">
        <v>0.37202038089926354</v>
      </c>
      <c r="BD324" s="14">
        <v>0.67777737028489293</v>
      </c>
      <c r="BE324" s="14">
        <v>0.70600514133563075</v>
      </c>
      <c r="BF324" s="14">
        <v>-0.61430883361411315</v>
      </c>
      <c r="BK324" s="16">
        <v>0.4750310954809045</v>
      </c>
      <c r="BL324" s="16">
        <v>-0.58094100502270818</v>
      </c>
      <c r="BN324" s="17">
        <f t="shared" si="14"/>
        <v>0</v>
      </c>
    </row>
    <row r="325" spans="1:66" x14ac:dyDescent="0.2">
      <c r="A325">
        <v>1.7455425416820201</v>
      </c>
      <c r="B325">
        <v>0.6180335285458104</v>
      </c>
      <c r="C325">
        <v>1.792722221540384</v>
      </c>
      <c r="D325">
        <v>1.7272456176270019</v>
      </c>
      <c r="E325">
        <v>1.5332595225868051</v>
      </c>
      <c r="F325">
        <v>2.0471428214689591</v>
      </c>
      <c r="G325">
        <v>2.5572561020743758</v>
      </c>
      <c r="H325">
        <v>1.832323814437341</v>
      </c>
      <c r="I325">
        <v>1.840596132639797</v>
      </c>
      <c r="J325">
        <v>2.2655627599369219</v>
      </c>
      <c r="M325" s="13">
        <v>1</v>
      </c>
      <c r="O325" s="10">
        <f t="shared" si="15"/>
        <v>0</v>
      </c>
      <c r="P325" s="10">
        <f t="shared" si="16"/>
        <v>1</v>
      </c>
      <c r="R325" s="14">
        <v>0.82066579514943838</v>
      </c>
      <c r="S325" s="14">
        <v>-0.28324585076771414</v>
      </c>
      <c r="T325" s="14">
        <v>0.51525592691816546</v>
      </c>
      <c r="U325" s="14">
        <v>2.8140574234264082E-2</v>
      </c>
      <c r="V325" s="14">
        <v>0.33349073614728381</v>
      </c>
      <c r="W325" s="14">
        <v>0.38869930716738904</v>
      </c>
      <c r="X325" s="14">
        <v>0.24360424841840705</v>
      </c>
      <c r="Y325" s="14">
        <v>7.9485802240559955E-2</v>
      </c>
      <c r="Z325" s="14">
        <v>-0.5609674282783611</v>
      </c>
      <c r="AA325" s="14">
        <v>1.4686787989653185</v>
      </c>
      <c r="AB325" s="14">
        <v>-0.92827123107167264</v>
      </c>
      <c r="AC325" s="14">
        <v>0.62783134522463968</v>
      </c>
      <c r="AD325" s="14">
        <v>0.41834467308882017</v>
      </c>
      <c r="AE325" s="14">
        <v>0.43013812105236726</v>
      </c>
      <c r="AF325" s="14">
        <v>0.97256013295365973</v>
      </c>
      <c r="AG325" s="14">
        <v>0.70152738615528898</v>
      </c>
      <c r="AH325" s="14">
        <v>-0.52341364671051815</v>
      </c>
      <c r="AI325" s="14">
        <v>-0.23263317936454925</v>
      </c>
      <c r="AJ325" s="14">
        <v>0.50952351870076729</v>
      </c>
      <c r="AK325" s="14">
        <v>-1.1988539537050042</v>
      </c>
      <c r="AM325" s="14">
        <v>0.64045384058953714</v>
      </c>
      <c r="AN325" s="14">
        <v>-0.67644133302747778</v>
      </c>
      <c r="AO325" s="14">
        <v>-0.24370606080149326</v>
      </c>
      <c r="AP325" s="14">
        <v>-0.13279490210641415</v>
      </c>
      <c r="AQ325" s="14">
        <v>-0.29617562180587825</v>
      </c>
      <c r="AR325" s="14">
        <v>-0.64785129329325009</v>
      </c>
      <c r="AS325" s="14">
        <v>0.721255123266478</v>
      </c>
      <c r="AT325" s="14">
        <v>0.76873517612692011</v>
      </c>
      <c r="AU325" s="14">
        <v>0.26315556946895441</v>
      </c>
      <c r="AV325" s="14">
        <v>-0.29482747162049183</v>
      </c>
      <c r="AW325" s="14">
        <v>-0.40180075642673246</v>
      </c>
      <c r="AX325" s="14">
        <v>0.26660552158185702</v>
      </c>
      <c r="AY325" s="14">
        <v>0.71240140639428373</v>
      </c>
      <c r="AZ325" s="14">
        <v>-0.49595633388453281</v>
      </c>
      <c r="BA325" s="14">
        <v>0.50975857153243942</v>
      </c>
      <c r="BB325" s="14">
        <v>-0.11212275795483084</v>
      </c>
      <c r="BC325" s="14">
        <v>0.40385793498743822</v>
      </c>
      <c r="BD325" s="14">
        <v>0.69665149134875093</v>
      </c>
      <c r="BE325" s="14">
        <v>0.68867978022702092</v>
      </c>
      <c r="BF325" s="14">
        <v>-0.72052589871612094</v>
      </c>
      <c r="BK325" s="16">
        <v>0.57104405543980086</v>
      </c>
      <c r="BL325" s="16">
        <v>-0.32201916549967458</v>
      </c>
      <c r="BN325" s="17">
        <f t="shared" si="14"/>
        <v>0</v>
      </c>
    </row>
    <row r="326" spans="1:66" x14ac:dyDescent="0.2">
      <c r="A326">
        <v>-0.58197990350307827</v>
      </c>
      <c r="B326">
        <v>-0.92674042188848849</v>
      </c>
      <c r="C326">
        <v>-0.60981022950799069</v>
      </c>
      <c r="D326">
        <v>-0.59309893371927791</v>
      </c>
      <c r="E326">
        <v>-0.73498516898398158</v>
      </c>
      <c r="F326">
        <v>-0.88570531779380757</v>
      </c>
      <c r="G326">
        <v>-0.85449203760886183</v>
      </c>
      <c r="H326">
        <v>-0.55902592240169124</v>
      </c>
      <c r="I326">
        <v>-0.55922676816609906</v>
      </c>
      <c r="J326">
        <v>-0.9232896841453313</v>
      </c>
      <c r="M326" s="13">
        <v>0</v>
      </c>
      <c r="O326" s="10">
        <f t="shared" si="15"/>
        <v>1</v>
      </c>
      <c r="P326" s="10">
        <f t="shared" si="16"/>
        <v>0</v>
      </c>
      <c r="R326" s="14">
        <v>0.49727894500355607</v>
      </c>
      <c r="S326" s="14">
        <v>-0.97373545555956031</v>
      </c>
      <c r="T326" s="14">
        <v>-0.36039868698629818</v>
      </c>
      <c r="U326" s="14">
        <v>-0.68894605229596717</v>
      </c>
      <c r="V326" s="14">
        <v>-0.46216594658313059</v>
      </c>
      <c r="W326" s="14">
        <v>9.5143087403839477E-3</v>
      </c>
      <c r="X326" s="14">
        <v>1.0393107988273029</v>
      </c>
      <c r="Y326" s="14">
        <v>0.6608716310397994</v>
      </c>
      <c r="Z326" s="14">
        <v>-0.48561337611378086</v>
      </c>
      <c r="AA326" s="14">
        <v>1.8044296012966976E-2</v>
      </c>
      <c r="AB326" s="14">
        <v>0.42061916054424098</v>
      </c>
      <c r="AC326" s="14">
        <v>0.18549396795299594</v>
      </c>
      <c r="AD326" s="14">
        <v>1.0397560936703989</v>
      </c>
      <c r="AE326" s="14">
        <v>-0.49402945765554346</v>
      </c>
      <c r="AF326" s="14">
        <v>0.19428444107233039</v>
      </c>
      <c r="AG326" s="14">
        <v>-0.41537582189261224</v>
      </c>
      <c r="AH326" s="14">
        <v>-0.23534571518046726</v>
      </c>
      <c r="AI326" s="14">
        <v>0.22964076980216186</v>
      </c>
      <c r="AJ326" s="14">
        <v>1.5156688298704821</v>
      </c>
      <c r="AK326" s="14">
        <v>-1.245143322454527</v>
      </c>
      <c r="AM326" s="14">
        <v>0.38616557089476067</v>
      </c>
      <c r="AN326" s="14">
        <v>-0.82706718447527905</v>
      </c>
      <c r="AO326" s="14">
        <v>-0.52882317716531857</v>
      </c>
      <c r="AP326" s="14">
        <v>-0.52719526295287622</v>
      </c>
      <c r="AQ326" s="14">
        <v>-0.76859341307736839</v>
      </c>
      <c r="AR326" s="14">
        <v>-0.35185984067993165</v>
      </c>
      <c r="AS326" s="14">
        <v>0.90519685504878</v>
      </c>
      <c r="AT326" s="14">
        <v>0.80032297324515655</v>
      </c>
      <c r="AU326" s="14">
        <v>-0.31229765190942171</v>
      </c>
      <c r="AV326" s="14">
        <v>-0.69395024509932834</v>
      </c>
      <c r="AW326" s="14">
        <v>8.930809247124398E-2</v>
      </c>
      <c r="AX326" s="14">
        <v>-0.10330882775544761</v>
      </c>
      <c r="AY326" s="14">
        <v>0.83578614394012829</v>
      </c>
      <c r="AZ326" s="14">
        <v>-0.81717552652227066</v>
      </c>
      <c r="BA326" s="14">
        <v>0.25064689949128233</v>
      </c>
      <c r="BB326" s="14">
        <v>-0.44635673837569639</v>
      </c>
      <c r="BC326" s="14">
        <v>0.54859449562483931</v>
      </c>
      <c r="BD326" s="14">
        <v>0.8104058538383816</v>
      </c>
      <c r="BE326" s="14">
        <v>0.8851860567672547</v>
      </c>
      <c r="BF326" s="14">
        <v>-0.62039458665530933</v>
      </c>
      <c r="BK326" s="16">
        <v>0.20106544330137913</v>
      </c>
      <c r="BL326" s="16">
        <v>-0.82320503179118243</v>
      </c>
      <c r="BN326" s="17">
        <f t="shared" si="14"/>
        <v>0</v>
      </c>
    </row>
    <row r="327" spans="1:66" x14ac:dyDescent="0.2">
      <c r="A327">
        <v>-0.44758978688919637</v>
      </c>
      <c r="B327">
        <v>-0.41426779388726881</v>
      </c>
      <c r="C327">
        <v>-0.47534477534670683</v>
      </c>
      <c r="D327">
        <v>-0.50098750133733894</v>
      </c>
      <c r="E327">
        <v>-0.52702402110461144</v>
      </c>
      <c r="F327">
        <v>-0.73705445040388295</v>
      </c>
      <c r="G327">
        <v>-0.74841805813863849</v>
      </c>
      <c r="H327">
        <v>-0.56730765309204279</v>
      </c>
      <c r="I327">
        <v>-0.57463636240701077</v>
      </c>
      <c r="J327">
        <v>-0.91640102008842406</v>
      </c>
      <c r="M327" s="13">
        <v>0</v>
      </c>
      <c r="O327" s="10">
        <f t="shared" si="15"/>
        <v>1</v>
      </c>
      <c r="P327" s="10">
        <f t="shared" si="16"/>
        <v>0</v>
      </c>
      <c r="R327" s="14">
        <v>-1.0629319100914775E-2</v>
      </c>
      <c r="S327" s="14">
        <v>-1.1115851207572998</v>
      </c>
      <c r="T327" s="14">
        <v>-0.49347828209925326</v>
      </c>
      <c r="U327" s="14">
        <v>-0.2976499135986857</v>
      </c>
      <c r="V327" s="14">
        <v>-0.59106391583210982</v>
      </c>
      <c r="W327" s="14">
        <v>0.22608893851924389</v>
      </c>
      <c r="X327" s="14">
        <v>1.0625048700650945</v>
      </c>
      <c r="Y327" s="14">
        <v>0.94628164319114538</v>
      </c>
      <c r="Z327" s="14">
        <v>-0.57478530095259472</v>
      </c>
      <c r="AA327" s="14">
        <v>-0.18150515204074347</v>
      </c>
      <c r="AB327" s="14">
        <v>0.10220184896783929</v>
      </c>
      <c r="AC327" s="14">
        <v>-0.16933831977421365</v>
      </c>
      <c r="AD327" s="14">
        <v>1.0762468733416177</v>
      </c>
      <c r="AE327" s="14">
        <v>-0.65553443305818915</v>
      </c>
      <c r="AF327" s="14">
        <v>0.14805417095295792</v>
      </c>
      <c r="AG327" s="14">
        <v>-0.37456066460795356</v>
      </c>
      <c r="AH327" s="14">
        <v>-3.3775030988541732E-2</v>
      </c>
      <c r="AI327" s="14">
        <v>0.30895555726352208</v>
      </c>
      <c r="AJ327" s="14">
        <v>1.5429002168452812</v>
      </c>
      <c r="AK327" s="14">
        <v>-1.1905722725538701</v>
      </c>
      <c r="AM327" s="14">
        <v>-0.11012340277452257</v>
      </c>
      <c r="AN327" s="14">
        <v>-0.54315530660334777</v>
      </c>
      <c r="AO327" s="14">
        <v>-0.3378811594751589</v>
      </c>
      <c r="AP327" s="14">
        <v>-7.3633752059448998E-2</v>
      </c>
      <c r="AQ327" s="14">
        <v>-0.49786715259028019</v>
      </c>
      <c r="AR327" s="14">
        <v>0.14782808864276856</v>
      </c>
      <c r="AS327" s="14">
        <v>0.55662686794255378</v>
      </c>
      <c r="AT327" s="14">
        <v>0.39124781446760848</v>
      </c>
      <c r="AU327" s="14">
        <v>-0.19733965597076281</v>
      </c>
      <c r="AV327" s="14">
        <v>-0.44763592608481312</v>
      </c>
      <c r="AW327" s="14">
        <v>0.12237193429126074</v>
      </c>
      <c r="AX327" s="14">
        <v>-0.21072681396732967</v>
      </c>
      <c r="AY327" s="14">
        <v>0.44480212104143668</v>
      </c>
      <c r="AZ327" s="14">
        <v>-0.58887428292429478</v>
      </c>
      <c r="BA327" s="14">
        <v>-0.10394494539215193</v>
      </c>
      <c r="BB327" s="14">
        <v>-0.28260398842523943</v>
      </c>
      <c r="BC327" s="14">
        <v>0.31704416372435817</v>
      </c>
      <c r="BD327" s="14">
        <v>0.51883351666292243</v>
      </c>
      <c r="BE327" s="14">
        <v>0.55431857408870033</v>
      </c>
      <c r="BF327" s="14">
        <v>-0.1470362704910394</v>
      </c>
      <c r="BK327" s="16">
        <v>0.42719244213537705</v>
      </c>
      <c r="BL327" s="16">
        <v>-0.54470743762492679</v>
      </c>
      <c r="BN327" s="17">
        <f t="shared" si="14"/>
        <v>0</v>
      </c>
    </row>
    <row r="328" spans="1:66" x14ac:dyDescent="0.2">
      <c r="A328">
        <v>-3.5841344497729577E-2</v>
      </c>
      <c r="B328">
        <v>-1.4980615813348239</v>
      </c>
      <c r="C328">
        <v>-0.1109599952429802</v>
      </c>
      <c r="D328">
        <v>-0.13657164697629301</v>
      </c>
      <c r="E328">
        <v>-0.96524778044290838</v>
      </c>
      <c r="F328">
        <v>-0.91409651765393496</v>
      </c>
      <c r="G328">
        <v>-0.58841248910644584</v>
      </c>
      <c r="H328">
        <v>-0.19048890668104401</v>
      </c>
      <c r="I328">
        <v>-0.26378765099551571</v>
      </c>
      <c r="J328">
        <v>-0.87327199294952629</v>
      </c>
      <c r="M328" s="13">
        <v>0</v>
      </c>
      <c r="O328" s="10">
        <f t="shared" si="15"/>
        <v>1</v>
      </c>
      <c r="P328" s="10">
        <f t="shared" si="16"/>
        <v>0</v>
      </c>
      <c r="R328" s="14">
        <v>0.7449513503466163</v>
      </c>
      <c r="S328" s="14">
        <v>-1.1027977203375705</v>
      </c>
      <c r="T328" s="14">
        <v>-0.75147183494756564</v>
      </c>
      <c r="U328" s="14">
        <v>-0.74786039401368243</v>
      </c>
      <c r="V328" s="14">
        <v>-0.42590555978849287</v>
      </c>
      <c r="W328" s="14">
        <v>-0.43268320833756663</v>
      </c>
      <c r="X328" s="14">
        <v>1.0638588001887648</v>
      </c>
      <c r="Y328" s="14">
        <v>1.1202294591037072</v>
      </c>
      <c r="Z328" s="14">
        <v>0.20407444647039286</v>
      </c>
      <c r="AA328" s="14">
        <v>-0.1056785351591184</v>
      </c>
      <c r="AB328" s="14">
        <v>0.47190633668202453</v>
      </c>
      <c r="AC328" s="14">
        <v>1.9537512671020552E-2</v>
      </c>
      <c r="AD328" s="14">
        <v>1.132005348246006</v>
      </c>
      <c r="AE328" s="14">
        <v>-0.56653497426879351</v>
      </c>
      <c r="AF328" s="14">
        <v>0.44372520365753321</v>
      </c>
      <c r="AG328" s="14">
        <v>-0.37094219476852841</v>
      </c>
      <c r="AH328" s="14">
        <v>-7.6356010762459792E-2</v>
      </c>
      <c r="AI328" s="14">
        <v>0.32872804360273222</v>
      </c>
      <c r="AJ328" s="14">
        <v>1.5557519332680034</v>
      </c>
      <c r="AK328" s="14">
        <v>-1.3910759088537277</v>
      </c>
      <c r="AM328" s="14">
        <v>4.7682871725645039E-2</v>
      </c>
      <c r="AN328" s="14">
        <v>-0.54534834518727759</v>
      </c>
      <c r="AO328" s="14">
        <v>5.5148223440612487E-2</v>
      </c>
      <c r="AP328" s="14">
        <v>0.38988348443478454</v>
      </c>
      <c r="AQ328" s="14">
        <v>-5.5799471299398898E-2</v>
      </c>
      <c r="AR328" s="14">
        <v>-0.416582414223018</v>
      </c>
      <c r="AS328" s="14">
        <v>0.42483613958887623</v>
      </c>
      <c r="AT328" s="14">
        <v>0.68891063492488414</v>
      </c>
      <c r="AU328" s="14">
        <v>0.23003908888720212</v>
      </c>
      <c r="AV328" s="14">
        <v>-0.20029607207619027</v>
      </c>
      <c r="AW328" s="14">
        <v>-0.65732378839483396</v>
      </c>
      <c r="AX328" s="14">
        <v>2.7761131202229585E-2</v>
      </c>
      <c r="AY328" s="14">
        <v>0.37858471577723679</v>
      </c>
      <c r="AZ328" s="14">
        <v>-0.42545964361557598</v>
      </c>
      <c r="BA328" s="14">
        <v>0.33090137414007298</v>
      </c>
      <c r="BB328" s="14">
        <v>0.14586774726365168</v>
      </c>
      <c r="BC328" s="14">
        <v>0.37313147189440321</v>
      </c>
      <c r="BD328" s="14">
        <v>0.4759504525505005</v>
      </c>
      <c r="BE328" s="14">
        <v>0.28667876422200061</v>
      </c>
      <c r="BF328" s="14">
        <v>-0.45884911636098347</v>
      </c>
      <c r="BK328" s="16">
        <v>0.75237573465079244</v>
      </c>
      <c r="BL328" s="16">
        <v>-0.30019557365985761</v>
      </c>
      <c r="BN328" s="17">
        <f t="shared" si="14"/>
        <v>0</v>
      </c>
    </row>
    <row r="329" spans="1:66" x14ac:dyDescent="0.2">
      <c r="A329">
        <v>-0.63058909461873747</v>
      </c>
      <c r="B329">
        <v>-0.2597903988438392</v>
      </c>
      <c r="C329">
        <v>-0.6894934616035665</v>
      </c>
      <c r="D329">
        <v>-0.62735287263631134</v>
      </c>
      <c r="E329">
        <v>-1.228033359622023</v>
      </c>
      <c r="F329">
        <v>-1.113752361561136</v>
      </c>
      <c r="G329">
        <v>-1.144035661569992</v>
      </c>
      <c r="H329">
        <v>-0.69981534413766888</v>
      </c>
      <c r="I329">
        <v>-0.66496846657787267</v>
      </c>
      <c r="J329">
        <v>-1.336609527559768</v>
      </c>
      <c r="M329" s="13">
        <v>0</v>
      </c>
      <c r="O329" s="10">
        <f t="shared" si="15"/>
        <v>1</v>
      </c>
      <c r="P329" s="10">
        <f t="shared" si="16"/>
        <v>0</v>
      </c>
      <c r="R329" s="14">
        <v>0.86058095306858118</v>
      </c>
      <c r="S329" s="14">
        <v>-1.1182469621638407</v>
      </c>
      <c r="T329" s="14">
        <v>-0.63918940710880945</v>
      </c>
      <c r="U329" s="14">
        <v>-0.70903817995140572</v>
      </c>
      <c r="V329" s="14">
        <v>-0.22847436690795375</v>
      </c>
      <c r="W329" s="14">
        <v>-0.47858186301407085</v>
      </c>
      <c r="X329" s="14">
        <v>1.0614624296328652</v>
      </c>
      <c r="Y329" s="14">
        <v>1.2941747624941446</v>
      </c>
      <c r="Z329" s="14">
        <v>0.53974260661883611</v>
      </c>
      <c r="AA329" s="14">
        <v>-0.13765131908291817</v>
      </c>
      <c r="AB329" s="14">
        <v>-0.36862582578756387</v>
      </c>
      <c r="AC329" s="14">
        <v>0.60221022286756776</v>
      </c>
      <c r="AD329" s="14">
        <v>1.1319809441952082</v>
      </c>
      <c r="AE329" s="14">
        <v>-0.53022273943507736</v>
      </c>
      <c r="AF329" s="14">
        <v>0.61932937056096016</v>
      </c>
      <c r="AG329" s="14">
        <v>-0.42939573654650753</v>
      </c>
      <c r="AH329" s="14">
        <v>-3.6318471351761472E-2</v>
      </c>
      <c r="AI329" s="14">
        <v>0.33589025882810575</v>
      </c>
      <c r="AJ329" s="14">
        <v>1.5593741855980399</v>
      </c>
      <c r="AK329" s="14">
        <v>-1.4856162957967167</v>
      </c>
      <c r="AM329" s="14">
        <v>-0.73856558639593795</v>
      </c>
      <c r="AN329" s="14">
        <v>-0.69993740078682043</v>
      </c>
      <c r="AO329" s="14">
        <v>-0.56980513433981839</v>
      </c>
      <c r="AP329" s="14">
        <v>-9.3859301320861635E-2</v>
      </c>
      <c r="AQ329" s="14">
        <v>-0.59916848550820523</v>
      </c>
      <c r="AR329" s="14">
        <v>0.75635130119321703</v>
      </c>
      <c r="AS329" s="14">
        <v>0.82799076818804573</v>
      </c>
      <c r="AT329" s="14">
        <v>0.37602282983082319</v>
      </c>
      <c r="AU329" s="14">
        <v>-0.7565761456435891</v>
      </c>
      <c r="AV329" s="14">
        <v>-0.53358745682265729</v>
      </c>
      <c r="AW329" s="14">
        <v>-6.6019578626740877E-2</v>
      </c>
      <c r="AX329" s="14">
        <v>-0.71901099645210043</v>
      </c>
      <c r="AY329" s="14">
        <v>0.61941544005096572</v>
      </c>
      <c r="AZ329" s="14">
        <v>-0.85433721246111249</v>
      </c>
      <c r="BA329" s="14">
        <v>-0.53295772644550976</v>
      </c>
      <c r="BB329" s="14">
        <v>0.21456882829974144</v>
      </c>
      <c r="BC329" s="14">
        <v>0.30468155593294405</v>
      </c>
      <c r="BD329" s="14">
        <v>0.66594581296093736</v>
      </c>
      <c r="BE329" s="14">
        <v>0.68035700458439052</v>
      </c>
      <c r="BF329" s="14">
        <v>0.53149922413675454</v>
      </c>
      <c r="BK329" s="16">
        <v>0.37867704979646821</v>
      </c>
      <c r="BL329" s="16">
        <v>-0.35001426704745986</v>
      </c>
      <c r="BN329" s="17">
        <f t="shared" si="14"/>
        <v>0</v>
      </c>
    </row>
    <row r="330" spans="1:66" x14ac:dyDescent="0.2">
      <c r="A330">
        <v>0.58178131908947095</v>
      </c>
      <c r="B330">
        <v>0.42187175706208968</v>
      </c>
      <c r="C330">
        <v>0.5891734034301257</v>
      </c>
      <c r="D330">
        <v>0.43106505507740572</v>
      </c>
      <c r="E330">
        <v>0.49995837673399268</v>
      </c>
      <c r="F330">
        <v>0.69949067090308681</v>
      </c>
      <c r="G330">
        <v>0.88256522619749722</v>
      </c>
      <c r="H330">
        <v>0.58592334553942149</v>
      </c>
      <c r="I330">
        <v>0.39351124817716709</v>
      </c>
      <c r="J330">
        <v>0.61527845760826461</v>
      </c>
      <c r="M330" s="13">
        <v>1</v>
      </c>
      <c r="O330" s="10">
        <f t="shared" si="15"/>
        <v>0</v>
      </c>
      <c r="P330" s="10">
        <f t="shared" si="16"/>
        <v>1</v>
      </c>
      <c r="R330" s="14">
        <v>0.26152065036458338</v>
      </c>
      <c r="S330" s="14">
        <v>-1.1303368246197096</v>
      </c>
      <c r="T330" s="14">
        <v>-0.81483333728071194</v>
      </c>
      <c r="U330" s="14">
        <v>-1.2578664562478843</v>
      </c>
      <c r="V330" s="14">
        <v>-0.63722235203359667</v>
      </c>
      <c r="W330" s="14">
        <v>-0.41719792419518414</v>
      </c>
      <c r="X330" s="14">
        <v>1.0654324030671734</v>
      </c>
      <c r="Y330" s="14">
        <v>1.2883250527430508</v>
      </c>
      <c r="Z330" s="14">
        <v>0.28816564638297082</v>
      </c>
      <c r="AA330" s="14">
        <v>-0.29472194828966036</v>
      </c>
      <c r="AB330" s="14">
        <v>0.72494423387828444</v>
      </c>
      <c r="AC330" s="14">
        <v>-6.1286777446965646E-2</v>
      </c>
      <c r="AD330" s="14">
        <v>1.1380087611925731</v>
      </c>
      <c r="AE330" s="14">
        <v>-0.65795730808834096</v>
      </c>
      <c r="AF330" s="14">
        <v>-0.14077368583622929</v>
      </c>
      <c r="AG330" s="14">
        <v>-0.62594222869139826</v>
      </c>
      <c r="AH330" s="14">
        <v>0.10141280267736874</v>
      </c>
      <c r="AI330" s="14">
        <v>0.34043439253065755</v>
      </c>
      <c r="AJ330" s="14">
        <v>1.5680100277219302</v>
      </c>
      <c r="AK330" s="14">
        <v>-1.3989682317829124</v>
      </c>
      <c r="AM330" s="14">
        <v>0.12678214755206529</v>
      </c>
      <c r="AN330" s="14">
        <v>0.86630807792954756</v>
      </c>
      <c r="AO330" s="14">
        <v>0.59611642094264572</v>
      </c>
      <c r="AP330" s="14">
        <v>-0.17561961632286169</v>
      </c>
      <c r="AQ330" s="14">
        <v>0.83609855516346931</v>
      </c>
      <c r="AR330" s="14">
        <v>-0.60325409128903518</v>
      </c>
      <c r="AS330" s="14">
        <v>-0.94097266001529456</v>
      </c>
      <c r="AT330" s="14">
        <v>-0.42576902597240296</v>
      </c>
      <c r="AU330" s="14">
        <v>0.906740910625083</v>
      </c>
      <c r="AV330" s="14">
        <v>0.53960794867749895</v>
      </c>
      <c r="AW330" s="14">
        <v>2.8972410740630235E-2</v>
      </c>
      <c r="AX330" s="14">
        <v>0.74008048104255564</v>
      </c>
      <c r="AY330" s="14">
        <v>-0.84173138777050438</v>
      </c>
      <c r="AZ330" s="14">
        <v>0.92052514829672982</v>
      </c>
      <c r="BA330" s="14">
        <v>0.24373549112061887</v>
      </c>
      <c r="BB330" s="14">
        <v>-5.5370301465705242E-2</v>
      </c>
      <c r="BC330" s="14">
        <v>-0.53547349751471329</v>
      </c>
      <c r="BD330" s="14">
        <v>-0.85301120551340581</v>
      </c>
      <c r="BE330" s="14">
        <v>-0.84766608977269009</v>
      </c>
      <c r="BF330" s="14">
        <v>0.29951851207499658</v>
      </c>
      <c r="BK330" s="16">
        <v>0.84290109506952149</v>
      </c>
      <c r="BL330" s="16">
        <v>-0.23410329533227692</v>
      </c>
      <c r="BN330" s="17">
        <f t="shared" si="14"/>
        <v>0</v>
      </c>
    </row>
    <row r="331" spans="1:66" x14ac:dyDescent="0.2">
      <c r="A331">
        <v>0.57892195490619747</v>
      </c>
      <c r="B331">
        <v>0.70875834785703051</v>
      </c>
      <c r="C331">
        <v>0.61407441345999292</v>
      </c>
      <c r="D331">
        <v>0.46877317270876168</v>
      </c>
      <c r="E331">
        <v>0.43305398599532158</v>
      </c>
      <c r="F331">
        <v>1.0974633850996329</v>
      </c>
      <c r="G331">
        <v>0.75297605127845335</v>
      </c>
      <c r="H331">
        <v>0.26500628128829579</v>
      </c>
      <c r="I331">
        <v>0.13526770331223281</v>
      </c>
      <c r="J331">
        <v>-0.18740065858788821</v>
      </c>
      <c r="M331" s="13">
        <v>1</v>
      </c>
      <c r="O331" s="10">
        <f t="shared" si="15"/>
        <v>0</v>
      </c>
      <c r="P331" s="10">
        <f t="shared" si="16"/>
        <v>1</v>
      </c>
      <c r="R331" s="14">
        <v>-0.80195870785500856</v>
      </c>
      <c r="S331" s="14">
        <v>-0.93152837448356263</v>
      </c>
      <c r="T331" s="14">
        <v>-1.3517147966178813</v>
      </c>
      <c r="U331" s="14">
        <v>-0.46732789129377617</v>
      </c>
      <c r="V331" s="14">
        <v>-0.34595607722260902</v>
      </c>
      <c r="W331" s="14">
        <v>-0.23627165476237505</v>
      </c>
      <c r="X331" s="14">
        <v>0.52909167346353025</v>
      </c>
      <c r="Y331" s="14">
        <v>0.54809719759072451</v>
      </c>
      <c r="Z331" s="14">
        <v>0.88250646844237435</v>
      </c>
      <c r="AA331" s="14">
        <v>-0.7002725106254859</v>
      </c>
      <c r="AB331" s="14">
        <v>1.2390631453767305</v>
      </c>
      <c r="AC331" s="14">
        <v>-0.61610797793497096</v>
      </c>
      <c r="AD331" s="14">
        <v>1.0852985203379879</v>
      </c>
      <c r="AE331" s="14">
        <v>-0.30423869174137541</v>
      </c>
      <c r="AF331" s="14">
        <v>-1.3588454753599337</v>
      </c>
      <c r="AG331" s="14">
        <v>-1.4669102307914823</v>
      </c>
      <c r="AH331" s="14">
        <v>5.4736464533078233E-2</v>
      </c>
      <c r="AI331" s="14">
        <v>0.36278379971133345</v>
      </c>
      <c r="AJ331" s="14">
        <v>1.4284185569572347</v>
      </c>
      <c r="AK331" s="14">
        <v>-0.83342684496498853</v>
      </c>
      <c r="AM331" s="14">
        <v>-0.28644634401018909</v>
      </c>
      <c r="AN331" s="14">
        <v>-0.32395528460953088</v>
      </c>
      <c r="AO331" s="14">
        <v>-0.28764345798890906</v>
      </c>
      <c r="AP331" s="14">
        <v>-0.15682824486415939</v>
      </c>
      <c r="AQ331" s="14">
        <v>-0.25665305082540935</v>
      </c>
      <c r="AR331" s="14">
        <v>0.34674011386004105</v>
      </c>
      <c r="AS331" s="14">
        <v>0.50835936751279098</v>
      </c>
      <c r="AT331" s="14">
        <v>0.13962891345963843</v>
      </c>
      <c r="AU331" s="14">
        <v>-0.46351938341524151</v>
      </c>
      <c r="AV331" s="14">
        <v>-0.17937770104076994</v>
      </c>
      <c r="AW331" s="14">
        <v>-2.559577482423097E-2</v>
      </c>
      <c r="AX331" s="14">
        <v>-0.36598172091315079</v>
      </c>
      <c r="AY331" s="14">
        <v>0.36012590893477953</v>
      </c>
      <c r="AZ331" s="14">
        <v>-0.45180018780945563</v>
      </c>
      <c r="BA331" s="14">
        <v>-0.19355903568570923</v>
      </c>
      <c r="BB331" s="14">
        <v>0.13985557402614993</v>
      </c>
      <c r="BC331" s="14">
        <v>5.8258407392618484E-2</v>
      </c>
      <c r="BD331" s="14">
        <v>0.32622639684583399</v>
      </c>
      <c r="BE331" s="14">
        <v>0.36622257237382488</v>
      </c>
      <c r="BF331" s="14">
        <v>0.21430275028469489</v>
      </c>
      <c r="BK331" s="16">
        <v>0.58180722521487505</v>
      </c>
      <c r="BL331" s="16">
        <v>-0.46246890890403586</v>
      </c>
      <c r="BN331" s="17">
        <f t="shared" si="14"/>
        <v>0</v>
      </c>
    </row>
    <row r="332" spans="1:66" x14ac:dyDescent="0.2">
      <c r="A332">
        <v>0.51315657869089359</v>
      </c>
      <c r="B332">
        <v>-0.85317975758209363</v>
      </c>
      <c r="C332">
        <v>0.54352155170870176</v>
      </c>
      <c r="D332">
        <v>0.37205616870772612</v>
      </c>
      <c r="E332">
        <v>0.59659805224540707</v>
      </c>
      <c r="F332">
        <v>0.35978810489108232</v>
      </c>
      <c r="G332">
        <v>0.51271209777963367</v>
      </c>
      <c r="H332">
        <v>0.47826084656485041</v>
      </c>
      <c r="I332">
        <v>0.30317914400630519</v>
      </c>
      <c r="J332">
        <v>1.211297652097199</v>
      </c>
      <c r="M332" s="13">
        <v>1</v>
      </c>
      <c r="O332" s="10">
        <f t="shared" si="15"/>
        <v>0</v>
      </c>
      <c r="P332" s="10">
        <f t="shared" si="16"/>
        <v>1</v>
      </c>
      <c r="R332" s="14">
        <v>3.9189960901403476E-3</v>
      </c>
      <c r="S332" s="14">
        <v>-1.1171895884442267</v>
      </c>
      <c r="T332" s="14">
        <v>2.4707734715495588E-4</v>
      </c>
      <c r="U332" s="14">
        <v>-0.13412827702062924</v>
      </c>
      <c r="V332" s="14">
        <v>2.3879080005211717E-2</v>
      </c>
      <c r="W332" s="14">
        <v>-0.23719835038380949</v>
      </c>
      <c r="X332" s="14">
        <v>1.0362828847042782</v>
      </c>
      <c r="Y332" s="14">
        <v>1.2826107541822622</v>
      </c>
      <c r="Z332" s="14">
        <v>0.27082538656498767</v>
      </c>
      <c r="AA332" s="14">
        <v>-2.3530680304040263E-3</v>
      </c>
      <c r="AB332" s="14">
        <v>-1.1448141146375845</v>
      </c>
      <c r="AC332" s="14">
        <v>0.1851771515891244</v>
      </c>
      <c r="AD332" s="14">
        <v>1.0463220102722168</v>
      </c>
      <c r="AE332" s="14">
        <v>-0.62965264921680619</v>
      </c>
      <c r="AF332" s="14">
        <v>0.73699337803780063</v>
      </c>
      <c r="AG332" s="14">
        <v>0.26529838522396776</v>
      </c>
      <c r="AH332" s="14">
        <v>-8.0526821017940176E-2</v>
      </c>
      <c r="AI332" s="14">
        <v>0.30825239752927003</v>
      </c>
      <c r="AJ332" s="14">
        <v>1.365932514096273</v>
      </c>
      <c r="AK332" s="14">
        <v>-1.224261668782288</v>
      </c>
      <c r="AM332" s="14">
        <v>-7.9029296760192866E-2</v>
      </c>
      <c r="AN332" s="14">
        <v>0.87565110885793995</v>
      </c>
      <c r="AO332" s="14">
        <v>0.5126172640426192</v>
      </c>
      <c r="AP332" s="14">
        <v>-0.19778201141097254</v>
      </c>
      <c r="AQ332" s="14">
        <v>0.89777100800372656</v>
      </c>
      <c r="AR332" s="14">
        <v>0.23545390803379293</v>
      </c>
      <c r="AS332" s="14">
        <v>-0.93987675345431254</v>
      </c>
      <c r="AT332" s="14">
        <v>-0.79823626883327725</v>
      </c>
      <c r="AU332" s="14">
        <v>0.78673201503008139</v>
      </c>
      <c r="AV332" s="14">
        <v>0.70158528395927888</v>
      </c>
      <c r="AW332" s="14">
        <v>4.00448165223544E-3</v>
      </c>
      <c r="AX332" s="14">
        <v>0.61425641320945701</v>
      </c>
      <c r="AY332" s="14">
        <v>-0.84481909763091645</v>
      </c>
      <c r="AZ332" s="14">
        <v>0.90016076616914253</v>
      </c>
      <c r="BA332" s="14">
        <v>-0.40154028388025786</v>
      </c>
      <c r="BB332" s="14">
        <v>0.25797403780065487</v>
      </c>
      <c r="BC332" s="14">
        <v>-0.70301262000624953</v>
      </c>
      <c r="BD332" s="14">
        <v>-0.81137306106849538</v>
      </c>
      <c r="BE332" s="14">
        <v>-0.86648466275628655</v>
      </c>
      <c r="BF332" s="14">
        <v>0.68586766286217027</v>
      </c>
      <c r="BK332" s="16">
        <v>0.17432819794086601</v>
      </c>
      <c r="BL332" s="16">
        <v>-0.61405567660095828</v>
      </c>
      <c r="BN332" s="17">
        <f t="shared" si="14"/>
        <v>0</v>
      </c>
    </row>
    <row r="333" spans="1:66" x14ac:dyDescent="0.2">
      <c r="A333">
        <v>-0.35894949720769992</v>
      </c>
      <c r="B333">
        <v>8.8396745539765065E-2</v>
      </c>
      <c r="C333">
        <v>-0.33963427068392948</v>
      </c>
      <c r="D333">
        <v>-0.43161607882469122</v>
      </c>
      <c r="E333">
        <v>0.13941804886448661</v>
      </c>
      <c r="F333">
        <v>-0.25180049296921653</v>
      </c>
      <c r="G333">
        <v>-0.53294729984129285</v>
      </c>
      <c r="H333">
        <v>-0.42030693333830149</v>
      </c>
      <c r="I333">
        <v>-0.46854042044946931</v>
      </c>
      <c r="J333">
        <v>-0.27904984125804588</v>
      </c>
      <c r="M333" s="13">
        <v>0</v>
      </c>
      <c r="O333" s="10">
        <f t="shared" si="15"/>
        <v>1</v>
      </c>
      <c r="P333" s="10">
        <f t="shared" si="16"/>
        <v>0</v>
      </c>
      <c r="R333" s="14">
        <v>-0.83375485008374128</v>
      </c>
      <c r="S333" s="14">
        <v>-1.1120203554637205</v>
      </c>
      <c r="T333" s="14">
        <v>-0.80583662311672177</v>
      </c>
      <c r="U333" s="14">
        <v>-0.60454872122611014</v>
      </c>
      <c r="V333" s="14">
        <v>-0.50920957121954091</v>
      </c>
      <c r="W333" s="14">
        <v>1.2399599318677357</v>
      </c>
      <c r="X333" s="14">
        <v>1.0649982707073344</v>
      </c>
      <c r="Y333" s="14">
        <v>0.72443702508024266</v>
      </c>
      <c r="Z333" s="14">
        <v>-0.89332607878546411</v>
      </c>
      <c r="AA333" s="14">
        <v>-0.24782471903202175</v>
      </c>
      <c r="AB333" s="14">
        <v>0.3826067923081552</v>
      </c>
      <c r="AC333" s="14">
        <v>-0.40032910193055027</v>
      </c>
      <c r="AD333" s="14">
        <v>1.0551155992914885</v>
      </c>
      <c r="AE333" s="14">
        <v>-0.66237819435114131</v>
      </c>
      <c r="AF333" s="14">
        <v>-0.36124329577125436</v>
      </c>
      <c r="AG333" s="14">
        <v>8.5187889954739027E-2</v>
      </c>
      <c r="AH333" s="14">
        <v>-0.17057537179176019</v>
      </c>
      <c r="AI333" s="14">
        <v>0.31747117333536445</v>
      </c>
      <c r="AJ333" s="14">
        <v>1.5354936481521153</v>
      </c>
      <c r="AK333" s="14">
        <v>5.5602595095101126E-2</v>
      </c>
      <c r="AM333" s="14">
        <v>-0.25076259591680533</v>
      </c>
      <c r="AN333" s="14">
        <v>-0.69348845225453171</v>
      </c>
      <c r="AO333" s="14">
        <v>-0.47527084020118487</v>
      </c>
      <c r="AP333" s="14">
        <v>-4.3929050069897453E-2</v>
      </c>
      <c r="AQ333" s="14">
        <v>-0.74163919369858133</v>
      </c>
      <c r="AR333" s="14">
        <v>0.41336805026195161</v>
      </c>
      <c r="AS333" s="14">
        <v>0.83664017670907098</v>
      </c>
      <c r="AT333" s="14">
        <v>0.39297836921233376</v>
      </c>
      <c r="AU333" s="14">
        <v>-0.75445423584040516</v>
      </c>
      <c r="AV333" s="14">
        <v>-0.52247771035329238</v>
      </c>
      <c r="AW333" s="14">
        <v>0.16625583870798638</v>
      </c>
      <c r="AX333" s="14">
        <v>-0.57594966763015809</v>
      </c>
      <c r="AY333" s="14">
        <v>0.6607773645951418</v>
      </c>
      <c r="AZ333" s="14">
        <v>-0.80349579022054629</v>
      </c>
      <c r="BA333" s="14">
        <v>-0.15872067858271174</v>
      </c>
      <c r="BB333" s="14">
        <v>-6.9485861068776647E-2</v>
      </c>
      <c r="BC333" s="14">
        <v>0.42884091664416141</v>
      </c>
      <c r="BD333" s="14">
        <v>0.64315914895148207</v>
      </c>
      <c r="BE333" s="14">
        <v>0.71780178171663789</v>
      </c>
      <c r="BF333" s="14">
        <v>-8.2625153888017749E-2</v>
      </c>
      <c r="BK333" s="16">
        <v>0.58632511291556744</v>
      </c>
      <c r="BL333" s="16">
        <v>-0.45965142281864302</v>
      </c>
      <c r="BN333" s="17">
        <f t="shared" si="14"/>
        <v>0</v>
      </c>
    </row>
    <row r="334" spans="1:66" x14ac:dyDescent="0.2">
      <c r="A334">
        <v>-0.86219759346393732</v>
      </c>
      <c r="B334">
        <v>0.21344987486063641</v>
      </c>
      <c r="C334">
        <v>-0.86172544764348313</v>
      </c>
      <c r="D334">
        <v>-0.79631978141193061</v>
      </c>
      <c r="E334">
        <v>-0.69149731500384504</v>
      </c>
      <c r="F334">
        <v>-1.0708556141742189</v>
      </c>
      <c r="G334">
        <v>-1.0931457114193379</v>
      </c>
      <c r="H334">
        <v>-0.9254925054497507</v>
      </c>
      <c r="I334">
        <v>-0.8195957743056419</v>
      </c>
      <c r="J334">
        <v>-1.4525187879955559</v>
      </c>
      <c r="M334" s="13">
        <v>0</v>
      </c>
      <c r="O334" s="10">
        <f t="shared" si="15"/>
        <v>1</v>
      </c>
      <c r="P334" s="10">
        <f t="shared" si="16"/>
        <v>0</v>
      </c>
      <c r="R334" s="14">
        <v>0.25275358288942762</v>
      </c>
      <c r="S334" s="14">
        <v>1.0347725493614051</v>
      </c>
      <c r="T334" s="14">
        <v>0.43910780751311684</v>
      </c>
      <c r="U334" s="14">
        <v>-1.0384346065474137</v>
      </c>
      <c r="V334" s="14">
        <v>1.4971195487802178</v>
      </c>
      <c r="W334" s="14">
        <v>-0.62076568403797416</v>
      </c>
      <c r="X334" s="14">
        <v>-1.465911972349706</v>
      </c>
      <c r="Y334" s="14">
        <v>-0.28336561378521408</v>
      </c>
      <c r="Z334" s="14">
        <v>1.6302311537238132</v>
      </c>
      <c r="AA334" s="14">
        <v>1.1852260777058357</v>
      </c>
      <c r="AB334" s="14">
        <v>-0.22745439533472012</v>
      </c>
      <c r="AC334" s="14">
        <v>1.0635068710707365</v>
      </c>
      <c r="AD334" s="14">
        <v>-0.81514438527246835</v>
      </c>
      <c r="AE334" s="14">
        <v>1.6894024937132741</v>
      </c>
      <c r="AF334" s="14">
        <v>0.23592107185407074</v>
      </c>
      <c r="AG334" s="14">
        <v>0.17189660440900956</v>
      </c>
      <c r="AH334" s="14">
        <v>-1.2337587432453798</v>
      </c>
      <c r="AI334" s="14">
        <v>-1.6032383668857313</v>
      </c>
      <c r="AJ334" s="14">
        <v>-0.55660099043168065</v>
      </c>
      <c r="AK334" s="14">
        <v>-0.18508506406166314</v>
      </c>
      <c r="AM334" s="14">
        <v>-0.26163173824293456</v>
      </c>
      <c r="AN334" s="14">
        <v>-0.64532880925329283</v>
      </c>
      <c r="AO334" s="14">
        <v>-0.38720227289165793</v>
      </c>
      <c r="AP334" s="14">
        <v>-0.13064656064217955</v>
      </c>
      <c r="AQ334" s="14">
        <v>-0.55223868281716182</v>
      </c>
      <c r="AR334" s="14">
        <v>9.7284471849982554E-2</v>
      </c>
      <c r="AS334" s="14">
        <v>0.74300857125721054</v>
      </c>
      <c r="AT334" s="14">
        <v>0.50108348483028775</v>
      </c>
      <c r="AU334" s="14">
        <v>-0.4957250736227416</v>
      </c>
      <c r="AV334" s="14">
        <v>-0.46565491006021742</v>
      </c>
      <c r="AW334" s="14">
        <v>-2.5705717119001825E-2</v>
      </c>
      <c r="AX334" s="14">
        <v>-0.43769490549124135</v>
      </c>
      <c r="AY334" s="14">
        <v>0.59672962776765393</v>
      </c>
      <c r="AZ334" s="14">
        <v>-0.70734043437177019</v>
      </c>
      <c r="BA334" s="14">
        <v>-1.1223346285016594E-2</v>
      </c>
      <c r="BB334" s="14">
        <v>4.6325814069243045E-4</v>
      </c>
      <c r="BC334" s="14">
        <v>0.35060583268527717</v>
      </c>
      <c r="BD334" s="14">
        <v>0.57967629181507829</v>
      </c>
      <c r="BE334" s="14">
        <v>0.606210866029536</v>
      </c>
      <c r="BF334" s="14">
        <v>-5.2858635462033364E-2</v>
      </c>
      <c r="BK334" s="16">
        <v>0.47687808410722105</v>
      </c>
      <c r="BL334" s="16">
        <v>-0.53416307210861136</v>
      </c>
      <c r="BN334" s="17">
        <f t="shared" si="14"/>
        <v>0</v>
      </c>
    </row>
    <row r="335" spans="1:66" x14ac:dyDescent="0.2">
      <c r="A335">
        <v>-0.85361950091411531</v>
      </c>
      <c r="B335">
        <v>-1.032177374060989</v>
      </c>
      <c r="C335">
        <v>-0.88496639033802615</v>
      </c>
      <c r="D335">
        <v>-0.78854787930470449</v>
      </c>
      <c r="E335">
        <v>-1.122844789738445</v>
      </c>
      <c r="F335">
        <v>-1.120847681945395</v>
      </c>
      <c r="G335">
        <v>-1.21179520845567</v>
      </c>
      <c r="H335">
        <v>-0.7639987569878941</v>
      </c>
      <c r="I335">
        <v>-0.71934485085327371</v>
      </c>
      <c r="J335">
        <v>-1.505681304086905</v>
      </c>
      <c r="M335" s="13">
        <v>0</v>
      </c>
      <c r="O335" s="10">
        <f t="shared" si="15"/>
        <v>1</v>
      </c>
      <c r="P335" s="10">
        <f t="shared" si="16"/>
        <v>0</v>
      </c>
      <c r="R335" s="14">
        <v>-0.53448284720225403</v>
      </c>
      <c r="S335" s="14">
        <v>-0.8500411629402258</v>
      </c>
      <c r="T335" s="14">
        <v>-0.64045810772667322</v>
      </c>
      <c r="U335" s="14">
        <v>-0.86174496646097598</v>
      </c>
      <c r="V335" s="14">
        <v>-0.25779030110341694</v>
      </c>
      <c r="W335" s="14">
        <v>0.71986338216846124</v>
      </c>
      <c r="X335" s="14">
        <v>1.0433449547427798</v>
      </c>
      <c r="Y335" s="14">
        <v>0.31950407258394581</v>
      </c>
      <c r="Z335" s="14">
        <v>-0.74602268553791873</v>
      </c>
      <c r="AA335" s="14">
        <v>4.2443561045480527E-2</v>
      </c>
      <c r="AB335" s="14">
        <v>0.52889069292137403</v>
      </c>
      <c r="AC335" s="14">
        <v>-0.31815554246703837</v>
      </c>
      <c r="AD335" s="14">
        <v>0.94722522864454861</v>
      </c>
      <c r="AE335" s="14">
        <v>-0.62427933859036822</v>
      </c>
      <c r="AF335" s="14">
        <v>-0.18999989718133903</v>
      </c>
      <c r="AG335" s="14">
        <v>7.4685126485235342E-2</v>
      </c>
      <c r="AH335" s="14">
        <v>-0.4973014133107676</v>
      </c>
      <c r="AI335" s="14">
        <v>0.10192973073627021</v>
      </c>
      <c r="AJ335" s="14">
        <v>1.3535222759403911</v>
      </c>
      <c r="AK335" s="14">
        <v>-0.30975090677760608</v>
      </c>
      <c r="AM335" s="14">
        <v>-0.75619496052122259</v>
      </c>
      <c r="AN335" s="14">
        <v>-0.67881289499640429</v>
      </c>
      <c r="AO335" s="14">
        <v>-0.33822030794612268</v>
      </c>
      <c r="AP335" s="14">
        <v>0.34892185881736276</v>
      </c>
      <c r="AQ335" s="14">
        <v>-0.42543301970175934</v>
      </c>
      <c r="AR335" s="14">
        <v>0.68999083291352814</v>
      </c>
      <c r="AS335" s="14">
        <v>0.72432497230190862</v>
      </c>
      <c r="AT335" s="14">
        <v>0.40575621223019037</v>
      </c>
      <c r="AU335" s="14">
        <v>-0.67588377521206189</v>
      </c>
      <c r="AV335" s="14">
        <v>-0.41690791794084903</v>
      </c>
      <c r="AW335" s="14">
        <v>-0.42621115078744265</v>
      </c>
      <c r="AX335" s="14">
        <v>-0.67862799484415948</v>
      </c>
      <c r="AY335" s="14">
        <v>0.47523482485494933</v>
      </c>
      <c r="AZ335" s="14">
        <v>-0.81577289013320375</v>
      </c>
      <c r="BA335" s="14">
        <v>-0.44593166885428059</v>
      </c>
      <c r="BB335" s="14">
        <v>0.36008827743281779</v>
      </c>
      <c r="BC335" s="14">
        <v>0.3566136730330019</v>
      </c>
      <c r="BD335" s="14">
        <v>0.60506612880193067</v>
      </c>
      <c r="BE335" s="14">
        <v>0.4685947615323251</v>
      </c>
      <c r="BF335" s="14">
        <v>0.42763958400852992</v>
      </c>
      <c r="BK335" s="16">
        <v>-0.59800505805236948</v>
      </c>
      <c r="BL335" s="16">
        <v>0.43046261304885425</v>
      </c>
      <c r="BN335" s="17">
        <f t="shared" si="14"/>
        <v>1</v>
      </c>
    </row>
    <row r="336" spans="1:66" x14ac:dyDescent="0.2">
      <c r="A336">
        <v>-0.553386261670337</v>
      </c>
      <c r="B336">
        <v>7.4800148027299122E-3</v>
      </c>
      <c r="C336">
        <v>-0.61520544834779567</v>
      </c>
      <c r="D336">
        <v>-0.57438879901669659</v>
      </c>
      <c r="E336">
        <v>-1.1704212453748339</v>
      </c>
      <c r="F336">
        <v>-1.0367613785343279</v>
      </c>
      <c r="G336">
        <v>-1.06881259612882</v>
      </c>
      <c r="H336">
        <v>-0.64184322930520765</v>
      </c>
      <c r="I336">
        <v>-0.6279500160451077</v>
      </c>
      <c r="J336">
        <v>-1.1588520441782699</v>
      </c>
      <c r="M336" s="13">
        <v>0</v>
      </c>
      <c r="O336" s="10">
        <f t="shared" si="15"/>
        <v>1</v>
      </c>
      <c r="P336" s="10">
        <f t="shared" si="16"/>
        <v>0</v>
      </c>
      <c r="R336" s="14">
        <v>7.7848867416539513E-2</v>
      </c>
      <c r="S336" s="14">
        <v>1.0358529190144659</v>
      </c>
      <c r="T336" s="14">
        <v>0.42577999099957131</v>
      </c>
      <c r="U336" s="14">
        <v>-1.0117611126179107</v>
      </c>
      <c r="V336" s="14">
        <v>1.5037072853335762</v>
      </c>
      <c r="W336" s="14">
        <v>0.56757362112121945</v>
      </c>
      <c r="X336" s="14">
        <v>-1.4659124722950192</v>
      </c>
      <c r="Y336" s="14">
        <v>-1.0407317044319302</v>
      </c>
      <c r="Z336" s="14">
        <v>1.4120884962035258</v>
      </c>
      <c r="AA336" s="14">
        <v>1.2143133566395163</v>
      </c>
      <c r="AB336" s="14">
        <v>-0.21946324382652027</v>
      </c>
      <c r="AC336" s="14">
        <v>1.0588283098748192</v>
      </c>
      <c r="AD336" s="14">
        <v>-0.81536655991196749</v>
      </c>
      <c r="AE336" s="14">
        <v>1.6893989726776177</v>
      </c>
      <c r="AF336" s="14">
        <v>-9.6265844086420693E-2</v>
      </c>
      <c r="AG336" s="14">
        <v>0.24161699404712145</v>
      </c>
      <c r="AH336" s="14">
        <v>-1.3722078325260836</v>
      </c>
      <c r="AI336" s="14">
        <v>-1.60309920977701</v>
      </c>
      <c r="AJ336" s="14">
        <v>-0.55661306301908331</v>
      </c>
      <c r="AK336" s="14">
        <v>0.24518862377090789</v>
      </c>
      <c r="AM336" s="14">
        <v>0.14738889051604381</v>
      </c>
      <c r="AN336" s="14">
        <v>-0.77139114224185801</v>
      </c>
      <c r="AO336" s="14">
        <v>-0.30898561036933908</v>
      </c>
      <c r="AP336" s="14">
        <v>-7.8912785454483658E-2</v>
      </c>
      <c r="AQ336" s="14">
        <v>-0.28626924867519477</v>
      </c>
      <c r="AR336" s="14">
        <v>-0.51789288333983963</v>
      </c>
      <c r="AS336" s="14">
        <v>0.78128589802478898</v>
      </c>
      <c r="AT336" s="14">
        <v>0.84495553139854773</v>
      </c>
      <c r="AU336" s="14">
        <v>0.1893058301476169</v>
      </c>
      <c r="AV336" s="14">
        <v>-0.44642271215822488</v>
      </c>
      <c r="AW336" s="14">
        <v>-0.59117208786381537</v>
      </c>
      <c r="AX336" s="14">
        <v>-2.58310092034768E-2</v>
      </c>
      <c r="AY336" s="14">
        <v>0.73163240829463638</v>
      </c>
      <c r="AZ336" s="14">
        <v>-0.68993035137804137</v>
      </c>
      <c r="BA336" s="14">
        <v>0.37787975602825247</v>
      </c>
      <c r="BB336" s="14">
        <v>8.5558010702548259E-2</v>
      </c>
      <c r="BC336" s="14">
        <v>0.45559424372895496</v>
      </c>
      <c r="BD336" s="14">
        <v>0.74635716136917529</v>
      </c>
      <c r="BE336" s="14">
        <v>0.69143518454800357</v>
      </c>
      <c r="BF336" s="14">
        <v>-0.48769865267976836</v>
      </c>
      <c r="BK336" s="16">
        <v>0.36865679799283702</v>
      </c>
      <c r="BL336" s="16">
        <v>-0.68802175871810745</v>
      </c>
      <c r="BN336" s="17">
        <f t="shared" si="14"/>
        <v>0</v>
      </c>
    </row>
    <row r="337" spans="1:66" x14ac:dyDescent="0.2">
      <c r="A337">
        <v>0.80767108956812272</v>
      </c>
      <c r="B337">
        <v>0.49298039922493819</v>
      </c>
      <c r="C337">
        <v>0.79253165200737596</v>
      </c>
      <c r="D337">
        <v>0.73301784435444917</v>
      </c>
      <c r="E337">
        <v>1.1184633282033179E-2</v>
      </c>
      <c r="F337">
        <v>0.73668438251024071</v>
      </c>
      <c r="G337">
        <v>1.25216275466483</v>
      </c>
      <c r="H337">
        <v>0.93996733255195297</v>
      </c>
      <c r="I337">
        <v>0.82037472082771024</v>
      </c>
      <c r="J337">
        <v>0.98067715975725955</v>
      </c>
      <c r="M337" s="13">
        <v>1</v>
      </c>
      <c r="O337" s="10">
        <f t="shared" si="15"/>
        <v>0</v>
      </c>
      <c r="P337" s="10">
        <f t="shared" si="16"/>
        <v>1</v>
      </c>
      <c r="R337" s="14">
        <v>-0.58180349176519719</v>
      </c>
      <c r="S337" s="14">
        <v>-1.1148552078808285</v>
      </c>
      <c r="T337" s="14">
        <v>-0.76921906959098363</v>
      </c>
      <c r="U337" s="14">
        <v>-0.5305150066692832</v>
      </c>
      <c r="V337" s="14">
        <v>-0.62496798706676915</v>
      </c>
      <c r="W337" s="14">
        <v>0.60520164589058179</v>
      </c>
      <c r="X337" s="14">
        <v>1.065106772683257</v>
      </c>
      <c r="Y337" s="14">
        <v>0.71643216233207352</v>
      </c>
      <c r="Z337" s="14">
        <v>-0.88194816721584823</v>
      </c>
      <c r="AA337" s="14">
        <v>-0.24731074616429471</v>
      </c>
      <c r="AB337" s="14">
        <v>0.62239554631953087</v>
      </c>
      <c r="AC337" s="14">
        <v>-0.36784195885692783</v>
      </c>
      <c r="AD337" s="14">
        <v>1.1037095567466202</v>
      </c>
      <c r="AE337" s="14">
        <v>-0.66134048492125208</v>
      </c>
      <c r="AF337" s="14">
        <v>-0.23238680853273275</v>
      </c>
      <c r="AG337" s="14">
        <v>-0.35794978868073446</v>
      </c>
      <c r="AH337" s="14">
        <v>-1.229639064518695E-2</v>
      </c>
      <c r="AI337" s="14">
        <v>0.31832393587362295</v>
      </c>
      <c r="AJ337" s="14">
        <v>1.5541552315574332</v>
      </c>
      <c r="AK337" s="14">
        <v>-0.74922852095407599</v>
      </c>
      <c r="AM337" s="14">
        <v>-0.22997321110762545</v>
      </c>
      <c r="AN337" s="14">
        <v>-0.89169739013108318</v>
      </c>
      <c r="AO337" s="14">
        <v>-0.64975710763137007</v>
      </c>
      <c r="AP337" s="14">
        <v>-0.51562648141655842</v>
      </c>
      <c r="AQ337" s="14">
        <v>-0.89937599942122537</v>
      </c>
      <c r="AR337" s="14">
        <v>4.7185053126876861E-2</v>
      </c>
      <c r="AS337" s="14">
        <v>0.94656549640493259</v>
      </c>
      <c r="AT337" s="14">
        <v>0.81111814554695061</v>
      </c>
      <c r="AU337" s="14">
        <v>-0.66160305572034406</v>
      </c>
      <c r="AV337" s="14">
        <v>-0.84281049708965683</v>
      </c>
      <c r="AW337" s="14">
        <v>0.27179155970647095</v>
      </c>
      <c r="AX337" s="14">
        <v>-0.54559917320576445</v>
      </c>
      <c r="AY337" s="14">
        <v>0.85493396853248194</v>
      </c>
      <c r="AZ337" s="14">
        <v>-0.9283022091206854</v>
      </c>
      <c r="BA337" s="14">
        <v>-2.7783780103308529E-2</v>
      </c>
      <c r="BB337" s="14">
        <v>-0.48500733873888935</v>
      </c>
      <c r="BC337" s="14">
        <v>0.65801063769865065</v>
      </c>
      <c r="BD337" s="14">
        <v>0.84269381326432824</v>
      </c>
      <c r="BE337" s="14">
        <v>0.91545062533203259</v>
      </c>
      <c r="BF337" s="14">
        <v>-0.34396586052257661</v>
      </c>
      <c r="BK337" s="16">
        <v>0.55669684185349388</v>
      </c>
      <c r="BL337" s="16">
        <v>-0.43702499338911838</v>
      </c>
      <c r="BN337" s="17">
        <f t="shared" si="14"/>
        <v>0</v>
      </c>
    </row>
    <row r="338" spans="1:66" x14ac:dyDescent="0.2">
      <c r="A338">
        <v>-0.35609013302442588</v>
      </c>
      <c r="B338">
        <v>-1.167038591956046</v>
      </c>
      <c r="C338">
        <v>-0.35789501137249891</v>
      </c>
      <c r="D338">
        <v>-0.43075253414611059</v>
      </c>
      <c r="E338">
        <v>-9.9393456966604052E-2</v>
      </c>
      <c r="F338">
        <v>-0.66948587431755358</v>
      </c>
      <c r="G338">
        <v>-0.75071845769341439</v>
      </c>
      <c r="H338">
        <v>-0.5652372204194549</v>
      </c>
      <c r="I338">
        <v>-0.57180241404086607</v>
      </c>
      <c r="J338">
        <v>-0.8792621356077065</v>
      </c>
      <c r="M338" s="13">
        <v>0</v>
      </c>
      <c r="O338" s="10">
        <f t="shared" si="15"/>
        <v>1</v>
      </c>
      <c r="P338" s="10">
        <f t="shared" si="16"/>
        <v>0</v>
      </c>
      <c r="R338" s="14">
        <v>-0.54160500233098885</v>
      </c>
      <c r="S338" s="14">
        <v>-1.1071932000107392</v>
      </c>
      <c r="T338" s="14">
        <v>-0.74312398726954987</v>
      </c>
      <c r="U338" s="14">
        <v>-0.75803140575696804</v>
      </c>
      <c r="V338" s="14">
        <v>-0.5387657332150716</v>
      </c>
      <c r="W338" s="14">
        <v>0.20409507478080968</v>
      </c>
      <c r="X338" s="14">
        <v>1.0642352884216808</v>
      </c>
      <c r="Y338" s="14">
        <v>0.95003401426762724</v>
      </c>
      <c r="Z338" s="14">
        <v>-0.51660044663312044</v>
      </c>
      <c r="AA338" s="14">
        <v>-0.23356167245912429</v>
      </c>
      <c r="AB338" s="14">
        <v>0.51097285165631345</v>
      </c>
      <c r="AC338" s="14">
        <v>-0.34158107834741025</v>
      </c>
      <c r="AD338" s="14">
        <v>1.1027110142510019</v>
      </c>
      <c r="AE338" s="14">
        <v>-0.65822986446021026</v>
      </c>
      <c r="AF338" s="14">
        <v>-0.13281897739406323</v>
      </c>
      <c r="AG338" s="14">
        <v>-0.24262615310448898</v>
      </c>
      <c r="AH338" s="14">
        <v>-0.12489002079148048</v>
      </c>
      <c r="AI338" s="14">
        <v>0.30436730941690138</v>
      </c>
      <c r="AJ338" s="14">
        <v>1.5320967291913741</v>
      </c>
      <c r="AK338" s="14">
        <v>-0.68408120016724838</v>
      </c>
      <c r="AM338" s="14">
        <v>0.44620659793064449</v>
      </c>
      <c r="AN338" s="14">
        <v>-0.80173646323980863</v>
      </c>
      <c r="AO338" s="14">
        <v>-0.24938306430208199</v>
      </c>
      <c r="AP338" s="14">
        <v>-0.25395308281245277</v>
      </c>
      <c r="AQ338" s="14">
        <v>-0.32747120016390724</v>
      </c>
      <c r="AR338" s="14">
        <v>-0.75335597466592519</v>
      </c>
      <c r="AS338" s="14">
        <v>0.78462876925376301</v>
      </c>
      <c r="AT338" s="14">
        <v>0.90994158298098204</v>
      </c>
      <c r="AU338" s="14">
        <v>0.50758365083529311</v>
      </c>
      <c r="AV338" s="14">
        <v>-0.55003332004435568</v>
      </c>
      <c r="AW338" s="14">
        <v>-0.60567966426915965</v>
      </c>
      <c r="AX338" s="14">
        <v>0.28931169142158703</v>
      </c>
      <c r="AY338" s="14">
        <v>0.76450276013066376</v>
      </c>
      <c r="AZ338" s="14">
        <v>-0.65807497255099034</v>
      </c>
      <c r="BA338" s="14">
        <v>0.53992637793347464</v>
      </c>
      <c r="BB338" s="14">
        <v>-0.20555656538184197</v>
      </c>
      <c r="BC338" s="14">
        <v>0.52583123979304691</v>
      </c>
      <c r="BD338" s="14">
        <v>0.77877324528377567</v>
      </c>
      <c r="BE338" s="14">
        <v>0.76488527832925768</v>
      </c>
      <c r="BF338" s="14">
        <v>-0.72073003044087858</v>
      </c>
      <c r="BK338" s="16">
        <v>0.33195082113257213</v>
      </c>
      <c r="BL338" s="16">
        <v>-0.66435566188682915</v>
      </c>
      <c r="BN338" s="17">
        <f t="shared" si="14"/>
        <v>0</v>
      </c>
    </row>
    <row r="339" spans="1:66" x14ac:dyDescent="0.2">
      <c r="A339">
        <v>1.29662236490799</v>
      </c>
      <c r="B339">
        <v>0.5984173513974379</v>
      </c>
      <c r="C339">
        <v>1.2532003375599241</v>
      </c>
      <c r="D339">
        <v>1.2321466685740809</v>
      </c>
      <c r="E339">
        <v>0.65421016649259611</v>
      </c>
      <c r="F339">
        <v>0.18125828917674411</v>
      </c>
      <c r="G339">
        <v>0.2696365448249769</v>
      </c>
      <c r="H339">
        <v>1.67497093132066</v>
      </c>
      <c r="I339">
        <v>1.725466980265169</v>
      </c>
      <c r="J339">
        <v>1.3116325416217181</v>
      </c>
      <c r="M339" s="13">
        <v>1</v>
      </c>
      <c r="O339" s="10">
        <f t="shared" si="15"/>
        <v>0</v>
      </c>
      <c r="P339" s="10">
        <f t="shared" si="16"/>
        <v>1</v>
      </c>
      <c r="R339" s="14">
        <v>-0.83089939025009596</v>
      </c>
      <c r="S339" s="14">
        <v>-1.1177400005550104</v>
      </c>
      <c r="T339" s="14">
        <v>-0.66729811091965074</v>
      </c>
      <c r="U339" s="14">
        <v>-9.7201173068390934E-2</v>
      </c>
      <c r="V339" s="14">
        <v>-0.36400242249779735</v>
      </c>
      <c r="W339" s="14">
        <v>1.2367858639455063</v>
      </c>
      <c r="X339" s="14">
        <v>1.0636035066822012</v>
      </c>
      <c r="Y339" s="14">
        <v>0.87647018309759417</v>
      </c>
      <c r="Z339" s="14">
        <v>-0.88037269940076701</v>
      </c>
      <c r="AA339" s="14">
        <v>-0.15420340413782085</v>
      </c>
      <c r="AB339" s="14">
        <v>-0.8308222280330646</v>
      </c>
      <c r="AC339" s="14">
        <v>-0.39634658276860435</v>
      </c>
      <c r="AD339" s="14">
        <v>0.9763396091447637</v>
      </c>
      <c r="AE339" s="14">
        <v>-0.66235929765704293</v>
      </c>
      <c r="AF339" s="14">
        <v>-0.31257793286403124</v>
      </c>
      <c r="AG339" s="14">
        <v>0.62657899445235388</v>
      </c>
      <c r="AH339" s="14">
        <v>-0.1355426496064196</v>
      </c>
      <c r="AI339" s="14">
        <v>0.31137817881388341</v>
      </c>
      <c r="AJ339" s="14">
        <v>1.411777618994988</v>
      </c>
      <c r="AK339" s="14">
        <v>-4.6309555561045435E-2</v>
      </c>
      <c r="AM339" s="14">
        <v>0.32778798774129342</v>
      </c>
      <c r="AN339" s="14">
        <v>-0.75816577807385921</v>
      </c>
      <c r="AO339" s="14">
        <v>-0.24140062879982294</v>
      </c>
      <c r="AP339" s="14">
        <v>-0.14912900826493605</v>
      </c>
      <c r="AQ339" s="14">
        <v>-0.38313242773302136</v>
      </c>
      <c r="AR339" s="14">
        <v>-0.65418836769387012</v>
      </c>
      <c r="AS339" s="14">
        <v>0.72861804029539889</v>
      </c>
      <c r="AT339" s="14">
        <v>0.86160690934273254</v>
      </c>
      <c r="AU339" s="14">
        <v>0.39236838680208719</v>
      </c>
      <c r="AV339" s="14">
        <v>-0.53531607634367762</v>
      </c>
      <c r="AW339" s="14">
        <v>-0.49080991399977725</v>
      </c>
      <c r="AX339" s="14">
        <v>0.17451639977696734</v>
      </c>
      <c r="AY339" s="14">
        <v>0.6950809538209104</v>
      </c>
      <c r="AZ339" s="14">
        <v>-0.63755406794937697</v>
      </c>
      <c r="BA339" s="14">
        <v>0.45149415106564006</v>
      </c>
      <c r="BB339" s="14">
        <v>-0.23904423996015595</v>
      </c>
      <c r="BC339" s="14">
        <v>0.50237359235953349</v>
      </c>
      <c r="BD339" s="14">
        <v>0.72325862642857808</v>
      </c>
      <c r="BE339" s="14">
        <v>0.71003354890271242</v>
      </c>
      <c r="BF339" s="14">
        <v>-0.65219202544353505</v>
      </c>
      <c r="BK339" s="16">
        <v>-0.3367145003256497</v>
      </c>
      <c r="BL339" s="16">
        <v>0.68040757304124821</v>
      </c>
      <c r="BN339" s="17">
        <f t="shared" ref="BN339:BN402" si="17">IF(BK339&gt;BL339,0,1)</f>
        <v>1</v>
      </c>
    </row>
    <row r="340" spans="1:66" x14ac:dyDescent="0.2">
      <c r="A340">
        <v>-1.196743202907004</v>
      </c>
      <c r="B340">
        <v>-0.35787128458569911</v>
      </c>
      <c r="C340">
        <v>-1.174233123518319</v>
      </c>
      <c r="D340">
        <v>-1.016523674450003</v>
      </c>
      <c r="E340">
        <v>-0.58983981018703058</v>
      </c>
      <c r="F340">
        <v>-0.82160815479081251</v>
      </c>
      <c r="G340">
        <v>-0.83327724171481721</v>
      </c>
      <c r="H340">
        <v>-1.0952679846019591</v>
      </c>
      <c r="I340">
        <v>-0.91187621797822827</v>
      </c>
      <c r="J340">
        <v>-0.78207207097873199</v>
      </c>
      <c r="M340" s="13">
        <v>0</v>
      </c>
      <c r="O340" s="10">
        <f t="shared" si="15"/>
        <v>1</v>
      </c>
      <c r="P340" s="10">
        <f t="shared" si="16"/>
        <v>0</v>
      </c>
      <c r="R340" s="14">
        <v>-5.5237907161906435E-2</v>
      </c>
      <c r="S340" s="14">
        <v>-1.1300756593498946</v>
      </c>
      <c r="T340" s="14">
        <v>-0.71912469584404826</v>
      </c>
      <c r="U340" s="14">
        <v>-0.66986238947033439</v>
      </c>
      <c r="V340" s="14">
        <v>-0.22669388325773077</v>
      </c>
      <c r="W340" s="14">
        <v>-0.42865217743636214</v>
      </c>
      <c r="X340" s="14">
        <v>1.0645531106092039</v>
      </c>
      <c r="Y340" s="14">
        <v>1.3300707492591817</v>
      </c>
      <c r="Z340" s="14">
        <v>0.5070292394633964</v>
      </c>
      <c r="AA340" s="14">
        <v>-0.2452489114396077</v>
      </c>
      <c r="AB340" s="14">
        <v>-0.75056203552887457</v>
      </c>
      <c r="AC340" s="14">
        <v>-0.11170071171535412</v>
      </c>
      <c r="AD340" s="14">
        <v>1.1334637824495892</v>
      </c>
      <c r="AE340" s="14">
        <v>-0.65441885948382428</v>
      </c>
      <c r="AF340" s="14">
        <v>0.20334364047762415</v>
      </c>
      <c r="AG340" s="14">
        <v>-0.25010964526156731</v>
      </c>
      <c r="AH340" s="14">
        <v>1.239515939545599E-2</v>
      </c>
      <c r="AI340" s="14">
        <v>0.3387777607039506</v>
      </c>
      <c r="AJ340" s="14">
        <v>1.5552496758519117</v>
      </c>
      <c r="AK340" s="14">
        <v>-1.2489352551004327</v>
      </c>
      <c r="AM340" s="14">
        <v>-0.26540642858791241</v>
      </c>
      <c r="AN340" s="14">
        <v>-0.69054790688223799</v>
      </c>
      <c r="AO340" s="14">
        <v>-0.31168501202863652</v>
      </c>
      <c r="AP340" s="14">
        <v>0.15456239955029819</v>
      </c>
      <c r="AQ340" s="14">
        <v>-0.54739915404480521</v>
      </c>
      <c r="AR340" s="14">
        <v>0.18931488673949104</v>
      </c>
      <c r="AS340" s="14">
        <v>0.75677260919934675</v>
      </c>
      <c r="AT340" s="14">
        <v>0.57803334056883793</v>
      </c>
      <c r="AU340" s="14">
        <v>-0.49098678308335403</v>
      </c>
      <c r="AV340" s="14">
        <v>-0.45335867885415182</v>
      </c>
      <c r="AW340" s="14">
        <v>-0.29767308746665783</v>
      </c>
      <c r="AX340" s="14">
        <v>-0.42812256758874678</v>
      </c>
      <c r="AY340" s="14">
        <v>0.59300337362696376</v>
      </c>
      <c r="AZ340" s="14">
        <v>-0.74877363891996185</v>
      </c>
      <c r="BA340" s="14">
        <v>-3.7563299408772996E-2</v>
      </c>
      <c r="BB340" s="14">
        <v>4.3287822855590581E-2</v>
      </c>
      <c r="BC340" s="14">
        <v>0.42836473158753202</v>
      </c>
      <c r="BD340" s="14">
        <v>0.63438978002540869</v>
      </c>
      <c r="BE340" s="14">
        <v>0.61588631210022537</v>
      </c>
      <c r="BF340" s="14">
        <v>-0.17900552861226635</v>
      </c>
      <c r="BK340" s="16">
        <v>1.105085291443648</v>
      </c>
      <c r="BL340" s="16">
        <v>-8.5165184506010239E-2</v>
      </c>
      <c r="BN340" s="17">
        <f t="shared" si="17"/>
        <v>0</v>
      </c>
    </row>
    <row r="341" spans="1:66" x14ac:dyDescent="0.2">
      <c r="A341">
        <v>2.6519609877799031</v>
      </c>
      <c r="B341">
        <v>1.294791640164646</v>
      </c>
      <c r="C341">
        <v>2.589554542496141</v>
      </c>
      <c r="D341">
        <v>3.1175525501418928</v>
      </c>
      <c r="E341">
        <v>0.43305398599532158</v>
      </c>
      <c r="F341">
        <v>1.728516692034342</v>
      </c>
      <c r="G341">
        <v>2.3169921485755558</v>
      </c>
      <c r="H341">
        <v>2.944146159617048</v>
      </c>
      <c r="I341">
        <v>3.5551348941573311</v>
      </c>
      <c r="J341">
        <v>1.373031503868066</v>
      </c>
      <c r="M341" s="13">
        <v>1</v>
      </c>
      <c r="O341" s="10">
        <f t="shared" si="15"/>
        <v>0</v>
      </c>
      <c r="P341" s="10">
        <f t="shared" si="16"/>
        <v>1</v>
      </c>
      <c r="R341" s="14">
        <v>-0.62381966548680556</v>
      </c>
      <c r="S341" s="14">
        <v>-1.1331613391866773</v>
      </c>
      <c r="T341" s="14">
        <v>-0.83325321555850906</v>
      </c>
      <c r="U341" s="14">
        <v>-1.2289308766625571</v>
      </c>
      <c r="V341" s="14">
        <v>-0.668503708648989</v>
      </c>
      <c r="W341" s="14">
        <v>-0.16759268031628866</v>
      </c>
      <c r="X341" s="14">
        <v>1.0655234551413526</v>
      </c>
      <c r="Y341" s="14">
        <v>1.2912983257707424</v>
      </c>
      <c r="Z341" s="14">
        <v>-0.16514478313606792</v>
      </c>
      <c r="AA341" s="14">
        <v>-0.30058722660184134</v>
      </c>
      <c r="AB341" s="14">
        <v>0.75438206337932834</v>
      </c>
      <c r="AC341" s="14">
        <v>-0.34320161864690235</v>
      </c>
      <c r="AD341" s="14">
        <v>1.1378428076903637</v>
      </c>
      <c r="AE341" s="14">
        <v>-0.66241318684220607</v>
      </c>
      <c r="AF341" s="14">
        <v>-0.30477303636767294</v>
      </c>
      <c r="AG341" s="14">
        <v>-0.63023908852719634</v>
      </c>
      <c r="AH341" s="14">
        <v>0.18173164038228506</v>
      </c>
      <c r="AI341" s="14">
        <v>0.34115548736208667</v>
      </c>
      <c r="AJ341" s="14">
        <v>1.5681784246316166</v>
      </c>
      <c r="AK341" s="14">
        <v>-1.1050539828112462</v>
      </c>
      <c r="AM341" s="14">
        <v>0.34510678783663018</v>
      </c>
      <c r="AN341" s="14">
        <v>-0.60749458190958339</v>
      </c>
      <c r="AO341" s="14">
        <v>-7.6029970834517509E-3</v>
      </c>
      <c r="AP341" s="14">
        <v>0.16041505136257761</v>
      </c>
      <c r="AQ341" s="14">
        <v>-2.879605768084257E-2</v>
      </c>
      <c r="AR341" s="14">
        <v>-0.62291130258165384</v>
      </c>
      <c r="AS341" s="14">
        <v>0.46115209196438106</v>
      </c>
      <c r="AT341" s="14">
        <v>0.81421191782763802</v>
      </c>
      <c r="AU341" s="14">
        <v>0.59091096045933644</v>
      </c>
      <c r="AV341" s="14">
        <v>-0.30442636478229873</v>
      </c>
      <c r="AW341" s="14">
        <v>-0.68259774624581548</v>
      </c>
      <c r="AX341" s="14">
        <v>0.32797830928209115</v>
      </c>
      <c r="AY341" s="14">
        <v>0.48905330731969704</v>
      </c>
      <c r="AZ341" s="14">
        <v>-0.39987416571967577</v>
      </c>
      <c r="BA341" s="14">
        <v>0.42527820853621634</v>
      </c>
      <c r="BB341" s="14">
        <v>-9.4674078197921771E-2</v>
      </c>
      <c r="BC341" s="14">
        <v>0.39795336156523609</v>
      </c>
      <c r="BD341" s="14">
        <v>0.59116360693012271</v>
      </c>
      <c r="BE341" s="14">
        <v>0.48217141424092141</v>
      </c>
      <c r="BF341" s="14">
        <v>-0.63547237858116279</v>
      </c>
      <c r="BK341" s="16">
        <v>1.2880329407567725E-3</v>
      </c>
      <c r="BL341" s="16">
        <v>0.94012521012104422</v>
      </c>
      <c r="BN341" s="17">
        <f t="shared" si="17"/>
        <v>1</v>
      </c>
    </row>
    <row r="342" spans="1:66" x14ac:dyDescent="0.2">
      <c r="A342">
        <v>5.2798945183766932E-2</v>
      </c>
      <c r="B342">
        <v>-0.60062147679680367</v>
      </c>
      <c r="C342">
        <v>6.002694029544297E-2</v>
      </c>
      <c r="D342">
        <v>-6.5473135106483796E-2</v>
      </c>
      <c r="E342">
        <v>0.16543642304063649</v>
      </c>
      <c r="F342">
        <v>-0.1402193581477551</v>
      </c>
      <c r="G342">
        <v>-0.2075685628157638</v>
      </c>
      <c r="H342">
        <v>4.5540417993977893E-2</v>
      </c>
      <c r="I342">
        <v>-6.5057021819619643E-2</v>
      </c>
      <c r="J342">
        <v>0.36219493030014932</v>
      </c>
      <c r="M342" s="13">
        <v>0</v>
      </c>
      <c r="O342" s="10">
        <f t="shared" si="15"/>
        <v>1</v>
      </c>
      <c r="P342" s="10">
        <f t="shared" si="16"/>
        <v>0</v>
      </c>
      <c r="R342" s="14">
        <v>0.50262660795029612</v>
      </c>
      <c r="S342" s="14">
        <v>-1.1321535102493383</v>
      </c>
      <c r="T342" s="14">
        <v>-0.68670030523528247</v>
      </c>
      <c r="U342" s="14">
        <v>-0.96877996563113422</v>
      </c>
      <c r="V342" s="14">
        <v>-0.32589586213878108</v>
      </c>
      <c r="W342" s="14">
        <v>-0.51013179309680212</v>
      </c>
      <c r="X342" s="14">
        <v>1.0645429719259991</v>
      </c>
      <c r="Y342" s="14">
        <v>1.3532599206175013</v>
      </c>
      <c r="Z342" s="14">
        <v>0.66418938671529693</v>
      </c>
      <c r="AA342" s="14">
        <v>-0.28156164510257942</v>
      </c>
      <c r="AB342" s="14">
        <v>-0.70132811778213611</v>
      </c>
      <c r="AC342" s="14">
        <v>0.5513480219768746</v>
      </c>
      <c r="AD342" s="14">
        <v>1.1370801101128865</v>
      </c>
      <c r="AE342" s="14">
        <v>-0.64256933182675802</v>
      </c>
      <c r="AF342" s="14">
        <v>0.48819151386633408</v>
      </c>
      <c r="AG342" s="14">
        <v>-0.53773358905103097</v>
      </c>
      <c r="AH342" s="14">
        <v>8.0857003530215299E-2</v>
      </c>
      <c r="AI342" s="14">
        <v>0.34089661684659034</v>
      </c>
      <c r="AJ342" s="14">
        <v>1.5655317805590028</v>
      </c>
      <c r="AK342" s="14">
        <v>-1.4813143825568473</v>
      </c>
      <c r="AM342" s="14">
        <v>0.53067746167076701</v>
      </c>
      <c r="AN342" s="14">
        <v>-0.54751872974451599</v>
      </c>
      <c r="AO342" s="14">
        <v>-0.2106876687444568</v>
      </c>
      <c r="AP342" s="14">
        <v>-0.21516582943667301</v>
      </c>
      <c r="AQ342" s="14">
        <v>-0.47207275780385988</v>
      </c>
      <c r="AR342" s="14">
        <v>-0.53616978600617915</v>
      </c>
      <c r="AS342" s="14">
        <v>0.62804673312166692</v>
      </c>
      <c r="AT342" s="14">
        <v>0.55387601812164799</v>
      </c>
      <c r="AU342" s="14">
        <v>-5.3316467517243345E-2</v>
      </c>
      <c r="AV342" s="14">
        <v>-0.33752015723674045</v>
      </c>
      <c r="AW342" s="14">
        <v>4.5806285781127241E-2</v>
      </c>
      <c r="AX342" s="14">
        <v>0.10580210388681352</v>
      </c>
      <c r="AY342" s="14">
        <v>0.58616305530951318</v>
      </c>
      <c r="AZ342" s="14">
        <v>-0.42303567523948671</v>
      </c>
      <c r="BA342" s="14">
        <v>0.41594534349937839</v>
      </c>
      <c r="BB342" s="14">
        <v>-0.28102445162079026</v>
      </c>
      <c r="BC342" s="14">
        <v>0.350670224841091</v>
      </c>
      <c r="BD342" s="14">
        <v>0.52275183996696473</v>
      </c>
      <c r="BE342" s="14">
        <v>0.59445780903011625</v>
      </c>
      <c r="BF342" s="14">
        <v>-0.62843758840572816</v>
      </c>
      <c r="BK342" s="16">
        <v>0.71757972339908072</v>
      </c>
      <c r="BL342" s="16">
        <v>-0.27473489335360451</v>
      </c>
      <c r="BN342" s="17">
        <f t="shared" si="17"/>
        <v>0</v>
      </c>
    </row>
    <row r="343" spans="1:66" x14ac:dyDescent="0.2">
      <c r="A343">
        <v>-1.323698972644374</v>
      </c>
      <c r="B343">
        <v>-0.52706081249040826</v>
      </c>
      <c r="C343">
        <v>-1.2891927864895401</v>
      </c>
      <c r="D343">
        <v>-1.1037416869866521</v>
      </c>
      <c r="E343">
        <v>-0.23636161245105061</v>
      </c>
      <c r="F343">
        <v>-8.8768057091192315E-2</v>
      </c>
      <c r="G343">
        <v>-0.70113206729046651</v>
      </c>
      <c r="H343">
        <v>-1.1801557241780629</v>
      </c>
      <c r="I343">
        <v>-0.96572123693497725</v>
      </c>
      <c r="J343">
        <v>-0.53932153975597774</v>
      </c>
      <c r="M343" s="13">
        <v>0</v>
      </c>
      <c r="O343" s="10">
        <f t="shared" si="15"/>
        <v>1</v>
      </c>
      <c r="P343" s="10">
        <f t="shared" si="16"/>
        <v>0</v>
      </c>
      <c r="R343" s="14">
        <v>0.36336466674347251</v>
      </c>
      <c r="S343" s="14">
        <v>-1.1314488923340007</v>
      </c>
      <c r="T343" s="14">
        <v>-0.65345816565428216</v>
      </c>
      <c r="U343" s="14">
        <v>-0.81278871743481185</v>
      </c>
      <c r="V343" s="14">
        <v>-0.43255856729096731</v>
      </c>
      <c r="W343" s="14">
        <v>-0.47166969380796248</v>
      </c>
      <c r="X343" s="14">
        <v>1.0643535202975336</v>
      </c>
      <c r="Y343" s="14">
        <v>1.344539941854654</v>
      </c>
      <c r="Z343" s="14">
        <v>0.59649449486824446</v>
      </c>
      <c r="AA343" s="14">
        <v>-0.27747025216850507</v>
      </c>
      <c r="AB343" s="14">
        <v>-0.58711095130199753</v>
      </c>
      <c r="AC343" s="14">
        <v>0.37130730742723222</v>
      </c>
      <c r="AD343" s="14">
        <v>1.1333921602581276</v>
      </c>
      <c r="AE343" s="14">
        <v>-0.65070892792277246</v>
      </c>
      <c r="AF343" s="14">
        <v>0.46240446269861402</v>
      </c>
      <c r="AG343" s="14">
        <v>-0.51792482457835742</v>
      </c>
      <c r="AH343" s="14">
        <v>6.1379092526197554E-2</v>
      </c>
      <c r="AI343" s="14">
        <v>0.3394540013604288</v>
      </c>
      <c r="AJ343" s="14">
        <v>1.5642351438258344</v>
      </c>
      <c r="AK343" s="14">
        <v>-1.4300657916053443</v>
      </c>
      <c r="AM343" s="14">
        <v>0.60977342369707577</v>
      </c>
      <c r="AN343" s="14">
        <v>-0.80431974423889974</v>
      </c>
      <c r="AO343" s="14">
        <v>-0.43279820541678693</v>
      </c>
      <c r="AP343" s="14">
        <v>-0.44983468430674817</v>
      </c>
      <c r="AQ343" s="14">
        <v>-0.73175431862770246</v>
      </c>
      <c r="AR343" s="14">
        <v>-0.64410974005457988</v>
      </c>
      <c r="AS343" s="14">
        <v>0.88589304731494689</v>
      </c>
      <c r="AT343" s="14">
        <v>0.80714231689392135</v>
      </c>
      <c r="AU343" s="14">
        <v>-0.2114456478188495</v>
      </c>
      <c r="AV343" s="14">
        <v>-0.61360215172395505</v>
      </c>
      <c r="AW343" s="14">
        <v>4.9585398870227219E-2</v>
      </c>
      <c r="AX343" s="14">
        <v>2.89579390012287E-2</v>
      </c>
      <c r="AY343" s="14">
        <v>0.83039715923521418</v>
      </c>
      <c r="AZ343" s="14">
        <v>-0.73990515986845162</v>
      </c>
      <c r="BA343" s="14">
        <v>0.5108059503238388</v>
      </c>
      <c r="BB343" s="14">
        <v>-0.40030676254079339</v>
      </c>
      <c r="BC343" s="14">
        <v>0.55583521916573042</v>
      </c>
      <c r="BD343" s="14">
        <v>0.77741910137414461</v>
      </c>
      <c r="BE343" s="14">
        <v>0.85248812389951523</v>
      </c>
      <c r="BF343" s="14">
        <v>-0.75811907893595099</v>
      </c>
      <c r="BK343" s="16">
        <v>0.73230680905895029</v>
      </c>
      <c r="BL343" s="16">
        <v>-0.29632519014755343</v>
      </c>
      <c r="BN343" s="17">
        <f t="shared" si="17"/>
        <v>0</v>
      </c>
    </row>
    <row r="344" spans="1:66" x14ac:dyDescent="0.2">
      <c r="A344">
        <v>-0.90794742039632259</v>
      </c>
      <c r="B344">
        <v>-0.9880409754771512</v>
      </c>
      <c r="C344">
        <v>-0.88040120516588383</v>
      </c>
      <c r="D344">
        <v>-0.83489144372186763</v>
      </c>
      <c r="E344">
        <v>-0.26070737685873391</v>
      </c>
      <c r="F344">
        <v>-0.46380464912999309</v>
      </c>
      <c r="G344">
        <v>-0.43300771918380498</v>
      </c>
      <c r="H344">
        <v>-0.93791510148527824</v>
      </c>
      <c r="I344">
        <v>-0.8126880251631643</v>
      </c>
      <c r="J344">
        <v>-0.1454696599806265</v>
      </c>
      <c r="M344" s="13">
        <v>0</v>
      </c>
      <c r="O344" s="10">
        <f t="shared" si="15"/>
        <v>1</v>
      </c>
      <c r="P344" s="10">
        <f t="shared" si="16"/>
        <v>0</v>
      </c>
      <c r="R344" s="14">
        <v>-0.5675054172856302</v>
      </c>
      <c r="S344" s="14">
        <v>-1.125017416880095</v>
      </c>
      <c r="T344" s="14">
        <v>-0.67239000599668441</v>
      </c>
      <c r="U344" s="14">
        <v>-0.33597799261322847</v>
      </c>
      <c r="V344" s="14">
        <v>-0.54221873674895649</v>
      </c>
      <c r="W344" s="14">
        <v>0.34473857736472935</v>
      </c>
      <c r="X344" s="14">
        <v>1.0646383549199649</v>
      </c>
      <c r="Y344" s="14">
        <v>1.1209149912854937</v>
      </c>
      <c r="Z344" s="14">
        <v>-0.49516001659782327</v>
      </c>
      <c r="AA344" s="14">
        <v>-0.23177993823236143</v>
      </c>
      <c r="AB344" s="14">
        <v>-0.24183258770195501</v>
      </c>
      <c r="AC344" s="14">
        <v>-0.3368694382663594</v>
      </c>
      <c r="AD344" s="14">
        <v>1.1042437467507551</v>
      </c>
      <c r="AE344" s="14">
        <v>-0.66134231459721549</v>
      </c>
      <c r="AF344" s="14">
        <v>-0.13931898275766552</v>
      </c>
      <c r="AG344" s="14">
        <v>-0.19965636649275675</v>
      </c>
      <c r="AH344" s="14">
        <v>-6.4152522678539992E-3</v>
      </c>
      <c r="AI344" s="14">
        <v>0.32830760458724462</v>
      </c>
      <c r="AJ344" s="14">
        <v>1.5438217081169603</v>
      </c>
      <c r="AK344" s="14">
        <v>-0.87389389478428647</v>
      </c>
      <c r="AM344" s="14">
        <v>-0.63929746374889085</v>
      </c>
      <c r="AN344" s="14">
        <v>-0.88352266537728674</v>
      </c>
      <c r="AO344" s="14">
        <v>-0.75693640093649173</v>
      </c>
      <c r="AP344" s="14">
        <v>-0.44525763743351282</v>
      </c>
      <c r="AQ344" s="14">
        <v>-0.88378009728510987</v>
      </c>
      <c r="AR344" s="14">
        <v>0.53241940812819477</v>
      </c>
      <c r="AS344" s="14">
        <v>0.95845141867872841</v>
      </c>
      <c r="AT344" s="14">
        <v>0.70081929873463999</v>
      </c>
      <c r="AU344" s="14">
        <v>-0.85066907314697637</v>
      </c>
      <c r="AV344" s="14">
        <v>-0.79768417105591749</v>
      </c>
      <c r="AW344" s="14">
        <v>0.27674866784596347</v>
      </c>
      <c r="AX344" s="14">
        <v>-0.79734424718819841</v>
      </c>
      <c r="AY344" s="14">
        <v>0.86062431643613857</v>
      </c>
      <c r="AZ344" s="14">
        <v>-0.94783111101765882</v>
      </c>
      <c r="BA344" s="14">
        <v>-0.30396823619137631</v>
      </c>
      <c r="BB344" s="14">
        <v>-5.0233570015170988E-2</v>
      </c>
      <c r="BC344" s="14">
        <v>0.5724495394434993</v>
      </c>
      <c r="BD344" s="14">
        <v>0.83700875075007664</v>
      </c>
      <c r="BE344" s="14">
        <v>0.89801242478832444</v>
      </c>
      <c r="BF344" s="14">
        <v>0.26539682624616506</v>
      </c>
      <c r="BK344" s="16">
        <v>0.53983481416666634</v>
      </c>
      <c r="BL344" s="16">
        <v>-0.48774254709298692</v>
      </c>
      <c r="BN344" s="17">
        <f t="shared" si="17"/>
        <v>0</v>
      </c>
    </row>
    <row r="345" spans="1:66" x14ac:dyDescent="0.2">
      <c r="A345">
        <v>1.5568245055859311</v>
      </c>
      <c r="B345">
        <v>0.6597179049861005</v>
      </c>
      <c r="C345">
        <v>1.54371212124171</v>
      </c>
      <c r="D345">
        <v>1.5257518592915109</v>
      </c>
      <c r="E345">
        <v>0.53712748269992128</v>
      </c>
      <c r="F345">
        <v>1.1768099698615611</v>
      </c>
      <c r="G345">
        <v>1.5323003004464331</v>
      </c>
      <c r="H345">
        <v>1.3043634829274251</v>
      </c>
      <c r="I345">
        <v>1.1356514765613059</v>
      </c>
      <c r="J345">
        <v>1.6216224241825461</v>
      </c>
      <c r="M345" s="13">
        <v>1</v>
      </c>
      <c r="O345" s="10">
        <f t="shared" si="15"/>
        <v>0</v>
      </c>
      <c r="P345" s="10">
        <f t="shared" si="16"/>
        <v>1</v>
      </c>
      <c r="R345" s="14">
        <v>0.5128894391656551</v>
      </c>
      <c r="S345" s="14">
        <v>-1.126405881576467</v>
      </c>
      <c r="T345" s="14">
        <v>-0.15711219042515798</v>
      </c>
      <c r="U345" s="14">
        <v>-0.41355614401725466</v>
      </c>
      <c r="V345" s="14">
        <v>7.1368320409723629E-2</v>
      </c>
      <c r="W345" s="14">
        <v>-0.42166134885454326</v>
      </c>
      <c r="X345" s="14">
        <v>1.0443631550454102</v>
      </c>
      <c r="Y345" s="14">
        <v>1.341904779574653</v>
      </c>
      <c r="Z345" s="14">
        <v>0.62283147592151411</v>
      </c>
      <c r="AA345" s="14">
        <v>-0.17205434423764876</v>
      </c>
      <c r="AB345" s="14">
        <v>-1.1449420933922823</v>
      </c>
      <c r="AC345" s="14">
        <v>0.90197434344778604</v>
      </c>
      <c r="AD345" s="14">
        <v>1.102845541079891</v>
      </c>
      <c r="AE345" s="14">
        <v>-0.61137874739846021</v>
      </c>
      <c r="AF345" s="14">
        <v>0.78395496974028278</v>
      </c>
      <c r="AG345" s="14">
        <v>-0.28014737397880318</v>
      </c>
      <c r="AH345" s="14">
        <v>-3.4210867764688402E-2</v>
      </c>
      <c r="AI345" s="14">
        <v>0.33396841452365877</v>
      </c>
      <c r="AJ345" s="14">
        <v>1.5412536389124851</v>
      </c>
      <c r="AK345" s="14">
        <v>-1.4213240219662113</v>
      </c>
      <c r="AM345" s="14">
        <v>-3.3298588423566824E-2</v>
      </c>
      <c r="AN345" s="14">
        <v>-0.78931763860739712</v>
      </c>
      <c r="AO345" s="14">
        <v>-0.32494214550389733</v>
      </c>
      <c r="AP345" s="14">
        <v>-5.9405527893801581E-2</v>
      </c>
      <c r="AQ345" s="14">
        <v>-0.44228789431722421</v>
      </c>
      <c r="AR345" s="14">
        <v>-0.23061456434056066</v>
      </c>
      <c r="AS345" s="14">
        <v>0.80976800490503187</v>
      </c>
      <c r="AT345" s="14">
        <v>0.81663450623030287</v>
      </c>
      <c r="AU345" s="14">
        <v>-4.5299191851587269E-2</v>
      </c>
      <c r="AV345" s="14">
        <v>-0.537038467257554</v>
      </c>
      <c r="AW345" s="14">
        <v>-0.53677718657812123</v>
      </c>
      <c r="AX345" s="14">
        <v>-0.14723766770942501</v>
      </c>
      <c r="AY345" s="14">
        <v>0.71947810183654859</v>
      </c>
      <c r="AZ345" s="14">
        <v>-0.76768340004298086</v>
      </c>
      <c r="BA345" s="14">
        <v>0.16433862953676243</v>
      </c>
      <c r="BB345" s="14">
        <v>-2.6672587394452212E-2</v>
      </c>
      <c r="BC345" s="14">
        <v>0.4894926420726593</v>
      </c>
      <c r="BD345" s="14">
        <v>0.76030757633752</v>
      </c>
      <c r="BE345" s="14">
        <v>0.73387594226758013</v>
      </c>
      <c r="BF345" s="14">
        <v>-0.4153521769255708</v>
      </c>
      <c r="BK345" s="16">
        <v>0.6321367245800098</v>
      </c>
      <c r="BL345" s="16">
        <v>-0.41086320802864607</v>
      </c>
      <c r="BN345" s="17">
        <f t="shared" si="17"/>
        <v>0</v>
      </c>
    </row>
    <row r="346" spans="1:66" x14ac:dyDescent="0.2">
      <c r="A346">
        <v>-0.72208874848350757</v>
      </c>
      <c r="B346">
        <v>-0.86789189044337278</v>
      </c>
      <c r="C346">
        <v>-0.73348524598966569</v>
      </c>
      <c r="D346">
        <v>-0.70132986676805609</v>
      </c>
      <c r="E346">
        <v>-0.59820285902936454</v>
      </c>
      <c r="F346">
        <v>-0.63625949194849618</v>
      </c>
      <c r="G346">
        <v>-0.45626731468209503</v>
      </c>
      <c r="H346">
        <v>-0.70188577681025677</v>
      </c>
      <c r="I346">
        <v>-0.67736699067975559</v>
      </c>
      <c r="J346">
        <v>-0.57765845276833117</v>
      </c>
      <c r="M346" s="13">
        <v>0</v>
      </c>
      <c r="O346" s="10">
        <f t="shared" si="15"/>
        <v>1</v>
      </c>
      <c r="P346" s="10">
        <f t="shared" si="16"/>
        <v>0</v>
      </c>
      <c r="R346" s="14">
        <v>0.76909587475448804</v>
      </c>
      <c r="S346" s="14">
        <v>-1.0789206847558817</v>
      </c>
      <c r="T346" s="14">
        <v>-0.59501058509944871</v>
      </c>
      <c r="U346" s="14">
        <v>-0.9047646372977487</v>
      </c>
      <c r="V346" s="14">
        <v>-0.50495061702785282</v>
      </c>
      <c r="W346" s="14">
        <v>-0.40813157360872537</v>
      </c>
      <c r="X346" s="14">
        <v>1.0585046022924076</v>
      </c>
      <c r="Y346" s="14">
        <v>1.0806082673209734</v>
      </c>
      <c r="Z346" s="14">
        <v>0.12195034066610411</v>
      </c>
      <c r="AA346" s="14">
        <v>-0.1633698031276033</v>
      </c>
      <c r="AB346" s="14">
        <v>0.55331397819624351</v>
      </c>
      <c r="AC346" s="14">
        <v>0.38368817949615563</v>
      </c>
      <c r="AD346" s="14">
        <v>1.1160172634437333</v>
      </c>
      <c r="AE346" s="14">
        <v>-0.46866869227294611</v>
      </c>
      <c r="AF346" s="14">
        <v>0.59439048421020291</v>
      </c>
      <c r="AG346" s="14">
        <v>-0.49703631205300969</v>
      </c>
      <c r="AH346" s="14">
        <v>-0.12362618862909081</v>
      </c>
      <c r="AI346" s="14">
        <v>0.29960327611274817</v>
      </c>
      <c r="AJ346" s="14">
        <v>1.5492618492970762</v>
      </c>
      <c r="AK346" s="14">
        <v>-1.4048059923312077</v>
      </c>
      <c r="AM346" s="14">
        <v>0.18556991300412956</v>
      </c>
      <c r="AN346" s="14">
        <v>-0.84049843478644037</v>
      </c>
      <c r="AO346" s="14">
        <v>-0.36742591347053244</v>
      </c>
      <c r="AP346" s="14">
        <v>-0.34701804345511039</v>
      </c>
      <c r="AQ346" s="14">
        <v>-0.57755627181175051</v>
      </c>
      <c r="AR346" s="14">
        <v>-0.42844658743877312</v>
      </c>
      <c r="AS346" s="14">
        <v>0.87270525537782018</v>
      </c>
      <c r="AT346" s="14">
        <v>0.87792262820087918</v>
      </c>
      <c r="AU346" s="14">
        <v>1.5027656303138912E-2</v>
      </c>
      <c r="AV346" s="14">
        <v>-0.66009825486097529</v>
      </c>
      <c r="AW346" s="14">
        <v>-0.46105997616035777</v>
      </c>
      <c r="AX346" s="14">
        <v>-3.2164958166861347E-3</v>
      </c>
      <c r="AY346" s="14">
        <v>0.8004724914807908</v>
      </c>
      <c r="AZ346" s="14">
        <v>-0.80660788156585395</v>
      </c>
      <c r="BA346" s="14">
        <v>0.26443498398820914</v>
      </c>
      <c r="BB346" s="14">
        <v>-0.25573584885855488</v>
      </c>
      <c r="BC346" s="14">
        <v>0.5554963702955984</v>
      </c>
      <c r="BD346" s="14">
        <v>0.81450420902760923</v>
      </c>
      <c r="BE346" s="14">
        <v>0.83689206829434448</v>
      </c>
      <c r="BF346" s="14">
        <v>-0.59156004068856083</v>
      </c>
      <c r="BK346" s="16">
        <v>-0.71170368720301547</v>
      </c>
      <c r="BL346" s="16">
        <v>0.33202346556009527</v>
      </c>
      <c r="BN346" s="17">
        <f t="shared" si="17"/>
        <v>1</v>
      </c>
    </row>
    <row r="347" spans="1:66" x14ac:dyDescent="0.2">
      <c r="A347">
        <v>-1.1366965550582491</v>
      </c>
      <c r="B347">
        <v>-1.0493415290658139</v>
      </c>
      <c r="C347">
        <v>-1.0999451102625479</v>
      </c>
      <c r="D347">
        <v>-0.9854360660210989</v>
      </c>
      <c r="E347">
        <v>-0.24918495400929591</v>
      </c>
      <c r="F347">
        <v>-0.68895058339196402</v>
      </c>
      <c r="G347">
        <v>-0.7663100546757845</v>
      </c>
      <c r="H347">
        <v>-1.153240099434421</v>
      </c>
      <c r="I347">
        <v>-0.95952197488403568</v>
      </c>
      <c r="J347">
        <v>-1.14522446963091</v>
      </c>
      <c r="M347" s="13">
        <v>0</v>
      </c>
      <c r="O347" s="10">
        <f t="shared" si="15"/>
        <v>1</v>
      </c>
      <c r="P347" s="10">
        <f t="shared" si="16"/>
        <v>0</v>
      </c>
      <c r="R347" s="14">
        <v>0.72940828144068837</v>
      </c>
      <c r="S347" s="14">
        <v>-1.1287946304716008</v>
      </c>
      <c r="T347" s="14">
        <v>-0.79186399535019614</v>
      </c>
      <c r="U347" s="14">
        <v>-1.1695990278874784</v>
      </c>
      <c r="V347" s="14">
        <v>-0.62840941914946413</v>
      </c>
      <c r="W347" s="14">
        <v>-0.50031206509177117</v>
      </c>
      <c r="X347" s="14">
        <v>1.0653532983753493</v>
      </c>
      <c r="Y347" s="14">
        <v>1.2835435663735777</v>
      </c>
      <c r="Z347" s="14">
        <v>0.32897023288926486</v>
      </c>
      <c r="AA347" s="14">
        <v>-0.28657817836878619</v>
      </c>
      <c r="AB347" s="14">
        <v>0.71135921403576563</v>
      </c>
      <c r="AC347" s="14">
        <v>0.11971505986296943</v>
      </c>
      <c r="AD347" s="14">
        <v>1.1386145332446016</v>
      </c>
      <c r="AE347" s="14">
        <v>-0.63652281258140353</v>
      </c>
      <c r="AF347" s="14">
        <v>0.26770744500353078</v>
      </c>
      <c r="AG347" s="14">
        <v>-0.61472573130886565</v>
      </c>
      <c r="AH347" s="14">
        <v>0.10569422446609966</v>
      </c>
      <c r="AI347" s="14">
        <v>0.33889521290487734</v>
      </c>
      <c r="AJ347" s="14">
        <v>1.5673870951399342</v>
      </c>
      <c r="AK347" s="14">
        <v>-1.5105843031302895</v>
      </c>
      <c r="AM347" s="14">
        <v>0.53800578932942056</v>
      </c>
      <c r="AN347" s="14">
        <v>0.58491985317526651</v>
      </c>
      <c r="AO347" s="14">
        <v>0.47010319290629149</v>
      </c>
      <c r="AP347" s="14">
        <v>0.42948776677890949</v>
      </c>
      <c r="AQ347" s="14">
        <v>0.66948076350367725</v>
      </c>
      <c r="AR347" s="14">
        <v>-0.48738620905008723</v>
      </c>
      <c r="AS347" s="14">
        <v>-0.75734805439309094</v>
      </c>
      <c r="AT347" s="14">
        <v>-0.17651247813345752</v>
      </c>
      <c r="AU347" s="14">
        <v>0.7592944704626805</v>
      </c>
      <c r="AV347" s="14">
        <v>0.54692687589250188</v>
      </c>
      <c r="AW347" s="14">
        <v>-0.37200156745788399</v>
      </c>
      <c r="AX347" s="14">
        <v>0.6263047771310517</v>
      </c>
      <c r="AY347" s="14">
        <v>-0.54803606422911777</v>
      </c>
      <c r="AZ347" s="14">
        <v>0.74868089006603</v>
      </c>
      <c r="BA347" s="14">
        <v>0.33757412385316382</v>
      </c>
      <c r="BB347" s="14">
        <v>9.377279633464726E-2</v>
      </c>
      <c r="BC347" s="14">
        <v>-0.23483118058982538</v>
      </c>
      <c r="BD347" s="14">
        <v>-0.48988291918569987</v>
      </c>
      <c r="BE347" s="14">
        <v>-0.61047380441085486</v>
      </c>
      <c r="BF347" s="14">
        <v>-0.33160116277835044</v>
      </c>
      <c r="BK347" s="16">
        <v>-0.77274551290129212</v>
      </c>
      <c r="BL347" s="16">
        <v>-3.0722388775418503E-2</v>
      </c>
      <c r="BN347" s="17">
        <f t="shared" si="17"/>
        <v>1</v>
      </c>
    </row>
    <row r="348" spans="1:66" x14ac:dyDescent="0.2">
      <c r="A348">
        <v>-0.62201100206891491</v>
      </c>
      <c r="B348">
        <v>-2.1944250919828399E-2</v>
      </c>
      <c r="C348">
        <v>-0.66583750207519277</v>
      </c>
      <c r="D348">
        <v>-0.62936781021966626</v>
      </c>
      <c r="E348">
        <v>-0.87455516188604299</v>
      </c>
      <c r="F348">
        <v>-1.0398112628861149</v>
      </c>
      <c r="G348">
        <v>-1.070013915896314</v>
      </c>
      <c r="H348">
        <v>-0.5818006818001582</v>
      </c>
      <c r="I348">
        <v>-0.59553673160732779</v>
      </c>
      <c r="J348">
        <v>-0.99262558541376766</v>
      </c>
      <c r="M348" s="13">
        <v>0</v>
      </c>
      <c r="O348" s="10">
        <f t="shared" si="15"/>
        <v>1</v>
      </c>
      <c r="P348" s="10">
        <f t="shared" si="16"/>
        <v>0</v>
      </c>
      <c r="R348" s="14">
        <v>-0.82506812186194578</v>
      </c>
      <c r="S348" s="14">
        <v>-1.1317395113837148</v>
      </c>
      <c r="T348" s="14">
        <v>-0.84353019167406684</v>
      </c>
      <c r="U348" s="14">
        <v>-1.0460397015465082</v>
      </c>
      <c r="V348" s="14">
        <v>-0.65631112032882422</v>
      </c>
      <c r="W348" s="14">
        <v>0.52505242793971207</v>
      </c>
      <c r="X348" s="14">
        <v>1.065525711640102</v>
      </c>
      <c r="Y348" s="14">
        <v>1.1074431066006662</v>
      </c>
      <c r="Z348" s="14">
        <v>-0.75365878366322647</v>
      </c>
      <c r="AA348" s="14">
        <v>-0.29837982342149705</v>
      </c>
      <c r="AB348" s="14">
        <v>0.75135463473005937</v>
      </c>
      <c r="AC348" s="14">
        <v>-0.40338476450832994</v>
      </c>
      <c r="AD348" s="14">
        <v>1.1347675179562882</v>
      </c>
      <c r="AE348" s="14">
        <v>-0.66249691050842752</v>
      </c>
      <c r="AF348" s="14">
        <v>-0.3609820834012204</v>
      </c>
      <c r="AG348" s="14">
        <v>-0.48045022648318447</v>
      </c>
      <c r="AH348" s="14">
        <v>0.11500718460574511</v>
      </c>
      <c r="AI348" s="14">
        <v>0.33882615217481049</v>
      </c>
      <c r="AJ348" s="14">
        <v>1.5665440355684674</v>
      </c>
      <c r="AK348" s="14">
        <v>-0.26633003488974649</v>
      </c>
      <c r="AM348" s="14">
        <v>-0.69334146834899824</v>
      </c>
      <c r="AN348" s="14">
        <v>0.35707252652387766</v>
      </c>
      <c r="AO348" s="14">
        <v>-0.55905804795209657</v>
      </c>
      <c r="AP348" s="14">
        <v>-0.8437629370401164</v>
      </c>
      <c r="AQ348" s="14">
        <v>-0.75290243955545155</v>
      </c>
      <c r="AR348" s="14">
        <v>0.79946178182855909</v>
      </c>
      <c r="AS348" s="14">
        <v>0.45618325344079358</v>
      </c>
      <c r="AT348" s="14">
        <v>-0.79110267904597587</v>
      </c>
      <c r="AU348" s="14">
        <v>-0.94626693241980953</v>
      </c>
      <c r="AV348" s="14">
        <v>-0.33049790824398723</v>
      </c>
      <c r="AW348" s="14">
        <v>0.91913947104353122</v>
      </c>
      <c r="AX348" s="14">
        <v>-0.81751556728573749</v>
      </c>
      <c r="AY348" s="14">
        <v>4.117636797138672E-2</v>
      </c>
      <c r="AZ348" s="14">
        <v>-0.29626000868465058</v>
      </c>
      <c r="BA348" s="14">
        <v>-0.61962617816731891</v>
      </c>
      <c r="BB348" s="14">
        <v>-0.17355610288675044</v>
      </c>
      <c r="BC348" s="14">
        <v>-0.40367516527396574</v>
      </c>
      <c r="BD348" s="14">
        <v>-0.43527458270686581</v>
      </c>
      <c r="BE348" s="14">
        <v>0.2602635870880039</v>
      </c>
      <c r="BF348" s="14">
        <v>0.83418329077210318</v>
      </c>
      <c r="BK348" s="16">
        <v>-0.38098065877400555</v>
      </c>
      <c r="BL348" s="16">
        <v>0.3537247622416636</v>
      </c>
      <c r="BN348" s="17">
        <f t="shared" si="17"/>
        <v>1</v>
      </c>
    </row>
    <row r="349" spans="1:66" x14ac:dyDescent="0.2">
      <c r="A349">
        <v>0.1500173274150855</v>
      </c>
      <c r="B349">
        <v>-1.041985462635175</v>
      </c>
      <c r="C349">
        <v>8.9908152331283825E-2</v>
      </c>
      <c r="D349">
        <v>1.368512709674497E-2</v>
      </c>
      <c r="E349">
        <v>-0.50546593964437303</v>
      </c>
      <c r="F349">
        <v>-0.56162411065680751</v>
      </c>
      <c r="G349">
        <v>-0.38521052843457182</v>
      </c>
      <c r="H349">
        <v>0.1697663783492519</v>
      </c>
      <c r="I349">
        <v>-3.1935250290303772E-2</v>
      </c>
      <c r="J349">
        <v>0.1180966169793041</v>
      </c>
      <c r="M349" s="13">
        <v>0</v>
      </c>
      <c r="O349" s="10">
        <f t="shared" si="15"/>
        <v>1</v>
      </c>
      <c r="P349" s="10">
        <f t="shared" si="16"/>
        <v>0</v>
      </c>
      <c r="R349" s="14">
        <v>-0.35127633368420463</v>
      </c>
      <c r="S349" s="14">
        <v>-1.1311125728094684</v>
      </c>
      <c r="T349" s="14">
        <v>-0.72006221067836251</v>
      </c>
      <c r="U349" s="14">
        <v>-0.64421931400961352</v>
      </c>
      <c r="V349" s="14">
        <v>-0.42972499957393362</v>
      </c>
      <c r="W349" s="14">
        <v>-0.25562971872115309</v>
      </c>
      <c r="X349" s="14">
        <v>1.0649485820489009</v>
      </c>
      <c r="Y349" s="14">
        <v>1.3201184097463829</v>
      </c>
      <c r="Z349" s="14">
        <v>0.34476580180603655</v>
      </c>
      <c r="AA349" s="14">
        <v>-0.27095503659514664</v>
      </c>
      <c r="AB349" s="14">
        <v>-0.62496861551764415</v>
      </c>
      <c r="AC349" s="14">
        <v>-0.19653070873653822</v>
      </c>
      <c r="AD349" s="14">
        <v>1.1309473968781696</v>
      </c>
      <c r="AE349" s="14">
        <v>-0.66064278423124989</v>
      </c>
      <c r="AF349" s="14">
        <v>-9.3073023495429563E-2</v>
      </c>
      <c r="AG349" s="14">
        <v>-0.40397317938662081</v>
      </c>
      <c r="AH349" s="14">
        <v>4.6500357428241323E-2</v>
      </c>
      <c r="AI349" s="14">
        <v>0.33966764352818846</v>
      </c>
      <c r="AJ349" s="14">
        <v>1.5623901219908092</v>
      </c>
      <c r="AK349" s="14">
        <v>-1.1686411497414448</v>
      </c>
      <c r="AM349" s="14">
        <v>-1.6742213204444849E-2</v>
      </c>
      <c r="AN349" s="14">
        <v>-0.7673001493201258</v>
      </c>
      <c r="AO349" s="14">
        <v>-0.36424070493019967</v>
      </c>
      <c r="AP349" s="14">
        <v>-0.20159970954768594</v>
      </c>
      <c r="AQ349" s="14">
        <v>-0.44950527019518638</v>
      </c>
      <c r="AR349" s="14">
        <v>-2.6537325416312367E-2</v>
      </c>
      <c r="AS349" s="14">
        <v>0.80749826849963935</v>
      </c>
      <c r="AT349" s="14">
        <v>0.78641614109052893</v>
      </c>
      <c r="AU349" s="14">
        <v>-4.6239481186438489E-2</v>
      </c>
      <c r="AV349" s="14">
        <v>-0.5515129264201627</v>
      </c>
      <c r="AW349" s="14">
        <v>-0.46969503369718807</v>
      </c>
      <c r="AX349" s="14">
        <v>-8.3800388659010613E-2</v>
      </c>
      <c r="AY349" s="14">
        <v>0.71137995027473866</v>
      </c>
      <c r="AZ349" s="14">
        <v>-0.76376084025525071</v>
      </c>
      <c r="BA349" s="14">
        <v>-4.5791639026126979E-3</v>
      </c>
      <c r="BB349" s="14">
        <v>-0.1394213654323174</v>
      </c>
      <c r="BC349" s="14">
        <v>0.44138130399614739</v>
      </c>
      <c r="BD349" s="14">
        <v>0.76399302047636897</v>
      </c>
      <c r="BE349" s="14">
        <v>0.7719574323787548</v>
      </c>
      <c r="BF349" s="14">
        <v>-0.36114134206664505</v>
      </c>
      <c r="BK349" s="16">
        <v>0.59392826485037786</v>
      </c>
      <c r="BL349" s="16">
        <v>-0.16635240439493765</v>
      </c>
      <c r="BN349" s="17">
        <f t="shared" si="17"/>
        <v>0</v>
      </c>
    </row>
    <row r="350" spans="1:66" x14ac:dyDescent="0.2">
      <c r="A350">
        <v>-0.79071348888208537</v>
      </c>
      <c r="B350">
        <v>-0.72567460611767498</v>
      </c>
      <c r="C350">
        <v>-0.81690362958972185</v>
      </c>
      <c r="D350">
        <v>-0.75199115457812249</v>
      </c>
      <c r="E350">
        <v>-0.85745737314171577</v>
      </c>
      <c r="F350">
        <v>-0.81218574785033359</v>
      </c>
      <c r="G350">
        <v>-0.69346406877454669</v>
      </c>
      <c r="H350">
        <v>-0.81575957380259179</v>
      </c>
      <c r="I350">
        <v>-0.74927843047067699</v>
      </c>
      <c r="J350">
        <v>-0.77473414622246128</v>
      </c>
      <c r="M350" s="13">
        <v>0</v>
      </c>
      <c r="O350" s="10">
        <f t="shared" si="15"/>
        <v>1</v>
      </c>
      <c r="P350" s="10">
        <f t="shared" si="16"/>
        <v>0</v>
      </c>
      <c r="R350" s="14">
        <v>-9.9885132305701535E-2</v>
      </c>
      <c r="S350" s="14">
        <v>-1.1321929053989979</v>
      </c>
      <c r="T350" s="14">
        <v>-0.76429119145246138</v>
      </c>
      <c r="U350" s="14">
        <v>-1.0842642060305538</v>
      </c>
      <c r="V350" s="14">
        <v>-0.53652258340641934</v>
      </c>
      <c r="W350" s="14">
        <v>-0.42662935629644388</v>
      </c>
      <c r="X350" s="14">
        <v>1.0652621974396612</v>
      </c>
      <c r="Y350" s="14">
        <v>1.3395120064101635</v>
      </c>
      <c r="Z350" s="14">
        <v>0.49738460988819755</v>
      </c>
      <c r="AA350" s="14">
        <v>-0.29258781771175768</v>
      </c>
      <c r="AB350" s="14">
        <v>7.8268582179305268E-3</v>
      </c>
      <c r="AC350" s="14">
        <v>-1.3580106289291627E-2</v>
      </c>
      <c r="AD350" s="14">
        <v>1.1370296178833992</v>
      </c>
      <c r="AE350" s="14">
        <v>-0.65955087129120571</v>
      </c>
      <c r="AF350" s="14">
        <v>-0.12366553425009552</v>
      </c>
      <c r="AG350" s="14">
        <v>-0.58743692093174615</v>
      </c>
      <c r="AH350" s="14">
        <v>0.10048049043039009</v>
      </c>
      <c r="AI350" s="14">
        <v>0.34113452401785382</v>
      </c>
      <c r="AJ350" s="14">
        <v>1.5672022865474797</v>
      </c>
      <c r="AK350" s="14">
        <v>-1.3568727579461113</v>
      </c>
      <c r="AM350" s="14">
        <v>4.1983780394481397E-2</v>
      </c>
      <c r="AN350" s="14">
        <v>-0.40060699457869897</v>
      </c>
      <c r="AO350" s="14">
        <v>-0.50607605184720006</v>
      </c>
      <c r="AP350" s="14">
        <v>-0.44481856985623619</v>
      </c>
      <c r="AQ350" s="14">
        <v>-0.7603296414055235</v>
      </c>
      <c r="AR350" s="14">
        <v>0.30839376301663385</v>
      </c>
      <c r="AS350" s="14">
        <v>0.70230079985744798</v>
      </c>
      <c r="AT350" s="14">
        <v>-0.11485729899284422</v>
      </c>
      <c r="AU350" s="14">
        <v>-0.76052525172425145</v>
      </c>
      <c r="AV350" s="14">
        <v>-0.43348080548399293</v>
      </c>
      <c r="AW350" s="14">
        <v>0.71847506729679556</v>
      </c>
      <c r="AX350" s="14">
        <v>-0.48956229432472703</v>
      </c>
      <c r="AY350" s="14">
        <v>0.52186510389918628</v>
      </c>
      <c r="AZ350" s="14">
        <v>-0.58202719126355951</v>
      </c>
      <c r="BA350" s="14">
        <v>-0.12577198414327809</v>
      </c>
      <c r="BB350" s="14">
        <v>-0.33455504242365064</v>
      </c>
      <c r="BC350" s="14">
        <v>0.20267658763556012</v>
      </c>
      <c r="BD350" s="14">
        <v>0.36340845347448403</v>
      </c>
      <c r="BE350" s="14">
        <v>0.62535967186815389</v>
      </c>
      <c r="BF350" s="14">
        <v>-1.8570737566987797E-2</v>
      </c>
      <c r="BK350" s="16">
        <v>0.46419868352162502</v>
      </c>
      <c r="BL350" s="16">
        <v>-0.52904976896063172</v>
      </c>
      <c r="BN350" s="17">
        <f t="shared" si="17"/>
        <v>0</v>
      </c>
    </row>
    <row r="351" spans="1:66" x14ac:dyDescent="0.2">
      <c r="A351">
        <v>-0.6534640080849301</v>
      </c>
      <c r="B351">
        <v>-0.9880409754771512</v>
      </c>
      <c r="C351">
        <v>-0.64218154254681836</v>
      </c>
      <c r="D351">
        <v>-0.68290758029166831</v>
      </c>
      <c r="E351">
        <v>0.28995292802649691</v>
      </c>
      <c r="F351">
        <v>-0.98774006663609948</v>
      </c>
      <c r="G351">
        <v>-0.83021004230844941</v>
      </c>
      <c r="H351">
        <v>-0.75364659362495445</v>
      </c>
      <c r="I351">
        <v>-0.71314558880233225</v>
      </c>
      <c r="J351">
        <v>-1.0415950016443909</v>
      </c>
      <c r="M351" s="13">
        <v>0</v>
      </c>
      <c r="O351" s="10">
        <f t="shared" si="15"/>
        <v>1</v>
      </c>
      <c r="P351" s="10">
        <f t="shared" si="16"/>
        <v>0</v>
      </c>
      <c r="R351" s="14">
        <v>0.42068437861015728</v>
      </c>
      <c r="S351" s="14">
        <v>0.92290480532789276</v>
      </c>
      <c r="T351" s="14">
        <v>0.39612025705738929</v>
      </c>
      <c r="U351" s="14">
        <v>3.0435604871766886E-2</v>
      </c>
      <c r="V351" s="14">
        <v>1.4404978950589342</v>
      </c>
      <c r="W351" s="14">
        <v>-0.65328382362529247</v>
      </c>
      <c r="X351" s="14">
        <v>-1.4648154420063288</v>
      </c>
      <c r="Y351" s="14">
        <v>9.4474111309945347E-2</v>
      </c>
      <c r="Z351" s="14">
        <v>1.5081755156938128</v>
      </c>
      <c r="AA351" s="14">
        <v>1.1742956248468679</v>
      </c>
      <c r="AB351" s="14">
        <v>-0.27422092696262379</v>
      </c>
      <c r="AC351" s="14">
        <v>1.045680600194173</v>
      </c>
      <c r="AD351" s="14">
        <v>-0.75542292831442148</v>
      </c>
      <c r="AE351" s="14">
        <v>1.6863427332285559</v>
      </c>
      <c r="AF351" s="14">
        <v>0.19318725110687274</v>
      </c>
      <c r="AG351" s="14">
        <v>5.3074598608268575E-2</v>
      </c>
      <c r="AH351" s="14">
        <v>-0.78355857008075558</v>
      </c>
      <c r="AI351" s="14">
        <v>-1.4714518772135157</v>
      </c>
      <c r="AJ351" s="14">
        <v>-0.52011522637678409</v>
      </c>
      <c r="AK351" s="14">
        <v>-1.0774599088681018</v>
      </c>
      <c r="AM351" s="14">
        <v>0.42939614549118615</v>
      </c>
      <c r="AN351" s="14">
        <v>0.39258967364779213</v>
      </c>
      <c r="AO351" s="14">
        <v>0.51223669631951541</v>
      </c>
      <c r="AP351" s="14">
        <v>0.39887322526581187</v>
      </c>
      <c r="AQ351" s="14">
        <v>0.77442996857710311</v>
      </c>
      <c r="AR351" s="14">
        <v>-0.57608129202782765</v>
      </c>
      <c r="AS351" s="14">
        <v>-0.70202037931686789</v>
      </c>
      <c r="AT351" s="14">
        <v>0.30240343908064993</v>
      </c>
      <c r="AU351" s="14">
        <v>0.89323104640260498</v>
      </c>
      <c r="AV351" s="14">
        <v>0.44843425922444308</v>
      </c>
      <c r="AW351" s="14">
        <v>-0.7882178168619739</v>
      </c>
      <c r="AX351" s="14">
        <v>0.68514253304741124</v>
      </c>
      <c r="AY351" s="14">
        <v>-0.46771828442155228</v>
      </c>
      <c r="AZ351" s="14">
        <v>0.6446554341655264</v>
      </c>
      <c r="BA351" s="14">
        <v>0.29094137909236095</v>
      </c>
      <c r="BB351" s="14">
        <v>0.26443010634171321</v>
      </c>
      <c r="BC351" s="14">
        <v>-0.1573135909440786</v>
      </c>
      <c r="BD351" s="14">
        <v>-0.29147363778788521</v>
      </c>
      <c r="BE351" s="14">
        <v>-0.55192661952979882</v>
      </c>
      <c r="BF351" s="14">
        <v>-0.30203456221054803</v>
      </c>
      <c r="BK351" s="16">
        <v>0.62983283743826046</v>
      </c>
      <c r="BL351" s="16">
        <v>-0.3658496954310288</v>
      </c>
      <c r="BN351" s="17">
        <f t="shared" si="17"/>
        <v>0</v>
      </c>
    </row>
    <row r="352" spans="1:66" x14ac:dyDescent="0.2">
      <c r="A352">
        <v>-0.73638556939987809</v>
      </c>
      <c r="B352">
        <v>-0.47066430318883862</v>
      </c>
      <c r="C352">
        <v>-0.78868248488920512</v>
      </c>
      <c r="D352">
        <v>-0.69931492918470117</v>
      </c>
      <c r="E352">
        <v>-1.276724888437389</v>
      </c>
      <c r="F352">
        <v>-1.0299425314063499</v>
      </c>
      <c r="G352">
        <v>-0.98996001139011125</v>
      </c>
      <c r="H352">
        <v>-0.65633625801332307</v>
      </c>
      <c r="I352">
        <v>-0.63113820795702047</v>
      </c>
      <c r="J352">
        <v>-1.117070799137462</v>
      </c>
      <c r="M352" s="13">
        <v>0</v>
      </c>
      <c r="O352" s="10">
        <f t="shared" si="15"/>
        <v>1</v>
      </c>
      <c r="P352" s="10">
        <f t="shared" si="16"/>
        <v>0</v>
      </c>
      <c r="R352" s="14">
        <v>-0.80422081394442047</v>
      </c>
      <c r="S352" s="14">
        <v>0.82934083191485164</v>
      </c>
      <c r="T352" s="14">
        <v>-0.79913387190148155</v>
      </c>
      <c r="U352" s="14">
        <v>-1.6518900989314649</v>
      </c>
      <c r="V352" s="14">
        <v>-0.64438361438204572</v>
      </c>
      <c r="W352" s="14">
        <v>1.331971878440162</v>
      </c>
      <c r="X352" s="14">
        <v>1.0030514464985394</v>
      </c>
      <c r="Y352" s="14">
        <v>-0.63161358704782855</v>
      </c>
      <c r="Z352" s="14">
        <v>-1.2572690124205446</v>
      </c>
      <c r="AA352" s="14">
        <v>-0.17193716539518034</v>
      </c>
      <c r="AB352" s="14">
        <v>0.78868586126194384</v>
      </c>
      <c r="AC352" s="14">
        <v>-0.40144898140021357</v>
      </c>
      <c r="AD352" s="14">
        <v>0.18275276671117757</v>
      </c>
      <c r="AE352" s="14">
        <v>-0.13940939341973002</v>
      </c>
      <c r="AF352" s="14">
        <v>-0.37469900802497169</v>
      </c>
      <c r="AG352" s="14">
        <v>-0.45855495727408002</v>
      </c>
      <c r="AH352" s="14">
        <v>-1.1646930273695508</v>
      </c>
      <c r="AI352" s="14">
        <v>-1.630207682362403</v>
      </c>
      <c r="AJ352" s="14">
        <v>0.62981788365320746</v>
      </c>
      <c r="AK352" s="14">
        <v>0.30843437517115768</v>
      </c>
      <c r="AM352" s="14">
        <v>0.69997980113092106</v>
      </c>
      <c r="AN352" s="14">
        <v>-0.387693884290987</v>
      </c>
      <c r="AO352" s="14">
        <v>-0.16875328265718498</v>
      </c>
      <c r="AP352" s="14">
        <v>-2.2427351053617501E-2</v>
      </c>
      <c r="AQ352" s="14">
        <v>-0.49077887851910346</v>
      </c>
      <c r="AR352" s="14">
        <v>-0.47978954374307758</v>
      </c>
      <c r="AS352" s="14">
        <v>0.54163956210217223</v>
      </c>
      <c r="AT352" s="14">
        <v>0.29482053711260447</v>
      </c>
      <c r="AU352" s="14">
        <v>-0.21670718179489554</v>
      </c>
      <c r="AV352" s="14">
        <v>-0.13107557326951555</v>
      </c>
      <c r="AW352" s="14">
        <v>0.21392555834150018</v>
      </c>
      <c r="AX352" s="14">
        <v>0.12298685390654117</v>
      </c>
      <c r="AY352" s="14">
        <v>0.51259629996604295</v>
      </c>
      <c r="AZ352" s="14">
        <v>-0.24871635649659851</v>
      </c>
      <c r="BA352" s="14">
        <v>0.44904640074960728</v>
      </c>
      <c r="BB352" s="14">
        <v>-0.27426871539859959</v>
      </c>
      <c r="BC352" s="14">
        <v>0.2919989468865567</v>
      </c>
      <c r="BD352" s="14">
        <v>0.41140146148410139</v>
      </c>
      <c r="BE352" s="14">
        <v>0.51375634292266148</v>
      </c>
      <c r="BF352" s="14">
        <v>-0.70097335724426979</v>
      </c>
      <c r="BK352" s="16">
        <v>0.7019814045373356</v>
      </c>
      <c r="BL352" s="16">
        <v>-0.33045309489995961</v>
      </c>
      <c r="BN352" s="17">
        <f t="shared" si="17"/>
        <v>0</v>
      </c>
    </row>
    <row r="353" spans="1:66" x14ac:dyDescent="0.2">
      <c r="A353">
        <v>0.43309438155921909</v>
      </c>
      <c r="B353">
        <v>5.6520457673659853E-2</v>
      </c>
      <c r="C353">
        <v>0.5974737401067477</v>
      </c>
      <c r="D353">
        <v>0.27246068244475458</v>
      </c>
      <c r="E353">
        <v>2.4420441634537569</v>
      </c>
      <c r="F353">
        <v>2.4798296664988482</v>
      </c>
      <c r="G353">
        <v>1.887584231684049</v>
      </c>
      <c r="H353">
        <v>0.18840027240254301</v>
      </c>
      <c r="I353">
        <v>2.9171761354691E-2</v>
      </c>
      <c r="J353">
        <v>1.4419181444371381</v>
      </c>
      <c r="M353" s="13">
        <v>1</v>
      </c>
      <c r="O353" s="10">
        <f t="shared" si="15"/>
        <v>0</v>
      </c>
      <c r="P353" s="10">
        <f t="shared" si="16"/>
        <v>1</v>
      </c>
      <c r="R353" s="14">
        <v>-0.34559775132780557</v>
      </c>
      <c r="S353" s="14">
        <v>-1.1293067836507134</v>
      </c>
      <c r="T353" s="14">
        <v>-0.73271337076282206</v>
      </c>
      <c r="U353" s="14">
        <v>-0.84120646317535208</v>
      </c>
      <c r="V353" s="14">
        <v>-0.4184983670144472</v>
      </c>
      <c r="W353" s="14">
        <v>-8.4841797079956371E-2</v>
      </c>
      <c r="X353" s="14">
        <v>1.0646090023382142</v>
      </c>
      <c r="Y353" s="14">
        <v>1.3107305592368135</v>
      </c>
      <c r="Z353" s="14">
        <v>0.3703466312019229</v>
      </c>
      <c r="AA353" s="14">
        <v>-0.27451819572375558</v>
      </c>
      <c r="AB353" s="14">
        <v>-0.3935305999229467</v>
      </c>
      <c r="AC353" s="14">
        <v>-0.10174566751297132</v>
      </c>
      <c r="AD353" s="14">
        <v>1.1267486754491076</v>
      </c>
      <c r="AE353" s="14">
        <v>-0.66034370024755407</v>
      </c>
      <c r="AF353" s="14">
        <v>-0.21997375772377292</v>
      </c>
      <c r="AG353" s="14">
        <v>-0.50487633777951679</v>
      </c>
      <c r="AH353" s="14">
        <v>2.9227238725659799E-3</v>
      </c>
      <c r="AI353" s="14">
        <v>0.33971514489063848</v>
      </c>
      <c r="AJ353" s="14">
        <v>1.5655138664834995</v>
      </c>
      <c r="AK353" s="14">
        <v>-1.1106504476002641</v>
      </c>
      <c r="AM353" s="14">
        <v>0.41843110733112743</v>
      </c>
      <c r="AN353" s="14">
        <v>0.95819621932159393</v>
      </c>
      <c r="AO353" s="14">
        <v>0.69354200118938147</v>
      </c>
      <c r="AP353" s="14">
        <v>-8.3461129280176533E-3</v>
      </c>
      <c r="AQ353" s="14">
        <v>0.88546817620375873</v>
      </c>
      <c r="AR353" s="14">
        <v>6.1953760974932701E-2</v>
      </c>
      <c r="AS353" s="14">
        <v>-0.97954749912337569</v>
      </c>
      <c r="AT353" s="14">
        <v>-0.90831584852093206</v>
      </c>
      <c r="AU353" s="14">
        <v>0.82058289385863048</v>
      </c>
      <c r="AV353" s="14">
        <v>0.8009190706567515</v>
      </c>
      <c r="AW353" s="14">
        <v>0.42819703256019864</v>
      </c>
      <c r="AX353" s="14">
        <v>0.79313925446849054</v>
      </c>
      <c r="AY353" s="14">
        <v>-0.93380588722921032</v>
      </c>
      <c r="AZ353" s="14">
        <v>0.9696634397505961</v>
      </c>
      <c r="BA353" s="14">
        <v>-0.2125595847049398</v>
      </c>
      <c r="BB353" s="14">
        <v>-0.13502704490209297</v>
      </c>
      <c r="BC353" s="14">
        <v>-0.7412277985335507</v>
      </c>
      <c r="BD353" s="14">
        <v>-0.92941217681221699</v>
      </c>
      <c r="BE353" s="14">
        <v>-0.92371788235760122</v>
      </c>
      <c r="BF353" s="14">
        <v>0.4063287178232915</v>
      </c>
      <c r="BK353" s="16">
        <v>-0.55678812436733194</v>
      </c>
      <c r="BL353" s="16">
        <v>0.49761290072710168</v>
      </c>
      <c r="BN353" s="17">
        <f t="shared" si="17"/>
        <v>1</v>
      </c>
    </row>
    <row r="354" spans="1:66" x14ac:dyDescent="0.2">
      <c r="A354">
        <v>3.2867398364667482</v>
      </c>
      <c r="B354">
        <v>-0.37503543959052471</v>
      </c>
      <c r="C354">
        <v>3.3822366951135869</v>
      </c>
      <c r="D354">
        <v>3.8745933850309529</v>
      </c>
      <c r="E354">
        <v>2.440185708155461</v>
      </c>
      <c r="F354">
        <v>3.042694502153775</v>
      </c>
      <c r="G354">
        <v>3.6026598997447712</v>
      </c>
      <c r="H354">
        <v>3.4534725970736728</v>
      </c>
      <c r="I354">
        <v>4.1360943092169924</v>
      </c>
      <c r="J354">
        <v>2.371887792119622</v>
      </c>
      <c r="M354" s="13">
        <v>1</v>
      </c>
      <c r="O354" s="10">
        <f t="shared" si="15"/>
        <v>0</v>
      </c>
      <c r="P354" s="10">
        <f t="shared" si="16"/>
        <v>1</v>
      </c>
      <c r="R354" s="14">
        <v>-5.3256125583713565E-2</v>
      </c>
      <c r="S354" s="14">
        <v>-0.7770905887324524</v>
      </c>
      <c r="T354" s="14">
        <v>-0.7764016231617582</v>
      </c>
      <c r="U354" s="14">
        <v>-1.1660585575445153</v>
      </c>
      <c r="V354" s="14">
        <v>-0.63858537894950529</v>
      </c>
      <c r="W354" s="14">
        <v>0.54202963133946547</v>
      </c>
      <c r="X354" s="14">
        <v>1.0620477440496054</v>
      </c>
      <c r="Y354" s="14">
        <v>-0.21772933096771618</v>
      </c>
      <c r="Z354" s="14">
        <v>-1.0163199417452073</v>
      </c>
      <c r="AA354" s="14">
        <v>-0.18939245686534656</v>
      </c>
      <c r="AB354" s="14">
        <v>0.78484491601967843</v>
      </c>
      <c r="AC354" s="14">
        <v>-0.29468803690373468</v>
      </c>
      <c r="AD354" s="14">
        <v>1.0442708344007419</v>
      </c>
      <c r="AE354" s="14">
        <v>-0.61159382588346611</v>
      </c>
      <c r="AF354" s="14">
        <v>-0.14097607737268281</v>
      </c>
      <c r="AG354" s="14">
        <v>-0.50537399382846837</v>
      </c>
      <c r="AH354" s="14">
        <v>-0.32413212933239643</v>
      </c>
      <c r="AI354" s="14">
        <v>5.4115161498577646E-2</v>
      </c>
      <c r="AJ354" s="14">
        <v>1.5407910280364194</v>
      </c>
      <c r="AK354" s="14">
        <v>-0.67619068249933378</v>
      </c>
      <c r="AM354" s="14">
        <v>0.20099250974888577</v>
      </c>
      <c r="AN354" s="14">
        <v>-0.66687002984081034</v>
      </c>
      <c r="AO354" s="14">
        <v>-0.32873310081531465</v>
      </c>
      <c r="AP354" s="14">
        <v>-0.175013550639253</v>
      </c>
      <c r="AQ354" s="14">
        <v>-0.48916548468747689</v>
      </c>
      <c r="AR354" s="14">
        <v>-0.38698108241595713</v>
      </c>
      <c r="AS354" s="14">
        <v>0.71162006051079374</v>
      </c>
      <c r="AT354" s="14">
        <v>0.67254041621149929</v>
      </c>
      <c r="AU354" s="14">
        <v>-6.7196442672730602E-2</v>
      </c>
      <c r="AV354" s="14">
        <v>-0.45996467803317653</v>
      </c>
      <c r="AW354" s="14">
        <v>-0.10687603577070894</v>
      </c>
      <c r="AX354" s="14">
        <v>-8.6880668921590895E-2</v>
      </c>
      <c r="AY354" s="14">
        <v>0.6413106859712675</v>
      </c>
      <c r="AZ354" s="14">
        <v>-0.61423466665838067</v>
      </c>
      <c r="BA354" s="14">
        <v>0.28945684405006322</v>
      </c>
      <c r="BB354" s="14">
        <v>-0.18386440297114778</v>
      </c>
      <c r="BC354" s="14">
        <v>0.40588733926270637</v>
      </c>
      <c r="BD354" s="14">
        <v>0.62840012728377614</v>
      </c>
      <c r="BE354" s="14">
        <v>0.65355326743054487</v>
      </c>
      <c r="BF354" s="14">
        <v>-0.45537418897106924</v>
      </c>
      <c r="BK354" s="16">
        <v>0.86592644231698901</v>
      </c>
      <c r="BL354" s="16">
        <v>-0.38369874424016481</v>
      </c>
      <c r="BN354" s="17">
        <f t="shared" si="17"/>
        <v>0</v>
      </c>
    </row>
    <row r="355" spans="1:66" x14ac:dyDescent="0.2">
      <c r="A355">
        <v>0.24151698127985599</v>
      </c>
      <c r="B355">
        <v>1.655238895265982</v>
      </c>
      <c r="C355">
        <v>0.21980842132042541</v>
      </c>
      <c r="D355">
        <v>0.15156442744345969</v>
      </c>
      <c r="E355">
        <v>-0.13581918081321401</v>
      </c>
      <c r="F355">
        <v>0.3982216068851413</v>
      </c>
      <c r="G355">
        <v>0.38797932192067208</v>
      </c>
      <c r="H355">
        <v>0.42650002975015272</v>
      </c>
      <c r="I355">
        <v>0.26775478942949671</v>
      </c>
      <c r="J355">
        <v>0.52991892472919633</v>
      </c>
      <c r="M355" s="13">
        <v>1</v>
      </c>
      <c r="O355" s="10">
        <f t="shared" si="15"/>
        <v>0</v>
      </c>
      <c r="P355" s="10">
        <f t="shared" si="16"/>
        <v>1</v>
      </c>
      <c r="R355" s="14">
        <v>0.35872950286119454</v>
      </c>
      <c r="S355" s="14">
        <v>0.87280211407568464</v>
      </c>
      <c r="T355" s="14">
        <v>0.42378464016392381</v>
      </c>
      <c r="U355" s="14">
        <v>-5.142720101668663E-2</v>
      </c>
      <c r="V355" s="14">
        <v>1.4983255186320252</v>
      </c>
      <c r="W355" s="14">
        <v>-0.82416386397988606</v>
      </c>
      <c r="X355" s="14">
        <v>-1.4657426532115685</v>
      </c>
      <c r="Y355" s="14">
        <v>0.70077232424075664</v>
      </c>
      <c r="Z355" s="14">
        <v>1.7108103410523454</v>
      </c>
      <c r="AA355" s="14">
        <v>1.172724675805302</v>
      </c>
      <c r="AB355" s="14">
        <v>-0.28810102830301487</v>
      </c>
      <c r="AC355" s="14">
        <v>1.0614426645394428</v>
      </c>
      <c r="AD355" s="14">
        <v>-0.75735721300994041</v>
      </c>
      <c r="AE355" s="14">
        <v>1.6876861311679336</v>
      </c>
      <c r="AF355" s="14">
        <v>0.13720569396438109</v>
      </c>
      <c r="AG355" s="14">
        <v>0.1340234242547681</v>
      </c>
      <c r="AH355" s="14">
        <v>-0.75583031303145676</v>
      </c>
      <c r="AI355" s="14">
        <v>-1.2295898968091286</v>
      </c>
      <c r="AJ355" s="14">
        <v>-0.52900107209307512</v>
      </c>
      <c r="AK355" s="14">
        <v>-1.0405303865235882</v>
      </c>
      <c r="AM355" s="14">
        <v>4.5246090581411547E-2</v>
      </c>
      <c r="AN355" s="14">
        <v>-0.59108593998781145</v>
      </c>
      <c r="AO355" s="14">
        <v>-0.32123155208005799</v>
      </c>
      <c r="AP355" s="14">
        <v>-0.14189690187697807</v>
      </c>
      <c r="AQ355" s="14">
        <v>-0.33109444221061102</v>
      </c>
      <c r="AR355" s="14">
        <v>-0.10857737908298561</v>
      </c>
      <c r="AS355" s="14">
        <v>0.67690583314045694</v>
      </c>
      <c r="AT355" s="14">
        <v>0.56595619016194676</v>
      </c>
      <c r="AU355" s="14">
        <v>-0.17739188536040748</v>
      </c>
      <c r="AV355" s="14">
        <v>-0.32404195397913393</v>
      </c>
      <c r="AW355" s="14">
        <v>-0.22913262533597617</v>
      </c>
      <c r="AX355" s="14">
        <v>-0.16393466377942903</v>
      </c>
      <c r="AY355" s="14">
        <v>0.59152634367580226</v>
      </c>
      <c r="AZ355" s="14">
        <v>-0.57753830447909515</v>
      </c>
      <c r="BA355" s="14">
        <v>0.11123619841517503</v>
      </c>
      <c r="BB355" s="14">
        <v>3.1127938946054531E-2</v>
      </c>
      <c r="BC355" s="14">
        <v>0.28054161307234649</v>
      </c>
      <c r="BD355" s="14">
        <v>0.58528368762644978</v>
      </c>
      <c r="BE355" s="14">
        <v>0.58420147127608024</v>
      </c>
      <c r="BF355" s="14">
        <v>-0.23136804535256647</v>
      </c>
      <c r="BK355" s="16">
        <v>-0.77812854163839351</v>
      </c>
      <c r="BL355" s="16">
        <v>0.37474683072380677</v>
      </c>
      <c r="BN355" s="17">
        <f t="shared" si="17"/>
        <v>1</v>
      </c>
    </row>
    <row r="356" spans="1:66" x14ac:dyDescent="0.2">
      <c r="A356">
        <v>-0.88507250693012995</v>
      </c>
      <c r="B356">
        <v>-1.2062709462527901</v>
      </c>
      <c r="C356">
        <v>-0.89077662601166185</v>
      </c>
      <c r="D356">
        <v>-0.80409168351915661</v>
      </c>
      <c r="E356">
        <v>-0.82437686883203953</v>
      </c>
      <c r="F356">
        <v>-0.57439395164193041</v>
      </c>
      <c r="G356">
        <v>-0.91097962667613752</v>
      </c>
      <c r="H356">
        <v>-0.89650644803352031</v>
      </c>
      <c r="I356">
        <v>-0.78877658582381849</v>
      </c>
      <c r="J356">
        <v>-1.1679870117319939</v>
      </c>
      <c r="M356" s="13">
        <v>0</v>
      </c>
      <c r="O356" s="10">
        <f t="shared" si="15"/>
        <v>1</v>
      </c>
      <c r="P356" s="10">
        <f t="shared" si="16"/>
        <v>0</v>
      </c>
      <c r="R356" s="14">
        <v>0.98856401293826501</v>
      </c>
      <c r="S356" s="14">
        <v>-1.0021913284633128</v>
      </c>
      <c r="T356" s="14">
        <v>-0.47591079298590944</v>
      </c>
      <c r="U356" s="14">
        <v>-0.56024676204015056</v>
      </c>
      <c r="V356" s="14">
        <v>-0.53238658813578155</v>
      </c>
      <c r="W356" s="14">
        <v>-0.3620381405432786</v>
      </c>
      <c r="X356" s="14">
        <v>1.0520985179988793</v>
      </c>
      <c r="Y356" s="14">
        <v>0.69359044715892326</v>
      </c>
      <c r="Z356" s="14">
        <v>-0.22831685358438333</v>
      </c>
      <c r="AA356" s="14">
        <v>0.13325148226880779</v>
      </c>
      <c r="AB356" s="14">
        <v>0.5902113321565019</v>
      </c>
      <c r="AC356" s="14">
        <v>0.51525487838996564</v>
      </c>
      <c r="AD356" s="14">
        <v>1.0996869906748468</v>
      </c>
      <c r="AE356" s="14">
        <v>-0.20147152492688464</v>
      </c>
      <c r="AF356" s="14">
        <v>0.87081332717564153</v>
      </c>
      <c r="AG356" s="14">
        <v>-0.44909236641398775</v>
      </c>
      <c r="AH356" s="14">
        <v>-0.15525274520441634</v>
      </c>
      <c r="AI356" s="14">
        <v>0.2636533155064078</v>
      </c>
      <c r="AJ356" s="14">
        <v>1.5378987361017287</v>
      </c>
      <c r="AK356" s="14">
        <v>-1.4775555085031933</v>
      </c>
      <c r="AM356" s="14">
        <v>0.6434233320019459</v>
      </c>
      <c r="AN356" s="14">
        <v>-0.6253659564981926</v>
      </c>
      <c r="AO356" s="14">
        <v>-0.18428574026331929</v>
      </c>
      <c r="AP356" s="14">
        <v>-0.20976754428169977</v>
      </c>
      <c r="AQ356" s="14">
        <v>-0.19943356394261919</v>
      </c>
      <c r="AR356" s="14">
        <v>-0.69504210501195207</v>
      </c>
      <c r="AS356" s="14">
        <v>0.59982967973650014</v>
      </c>
      <c r="AT356" s="14">
        <v>0.78581990853689565</v>
      </c>
      <c r="AU356" s="14">
        <v>0.53560539512559779</v>
      </c>
      <c r="AV356" s="14">
        <v>-0.33416100822360528</v>
      </c>
      <c r="AW356" s="14">
        <v>-0.3941201738517347</v>
      </c>
      <c r="AX356" s="14">
        <v>0.42994345766783865</v>
      </c>
      <c r="AY356" s="14">
        <v>0.6382077574951952</v>
      </c>
      <c r="AZ356" s="14">
        <v>-0.38550555920305229</v>
      </c>
      <c r="BA356" s="14">
        <v>0.49444924600474877</v>
      </c>
      <c r="BB356" s="14">
        <v>-0.28036871341706487</v>
      </c>
      <c r="BC356" s="14">
        <v>0.37589701867059278</v>
      </c>
      <c r="BD356" s="14">
        <v>0.65417729297525895</v>
      </c>
      <c r="BE356" s="14">
        <v>0.65505825319763755</v>
      </c>
      <c r="BF356" s="14">
        <v>-0.72655100207104939</v>
      </c>
      <c r="BK356" s="16">
        <v>0.53942062266509438</v>
      </c>
      <c r="BL356" s="16">
        <v>-0.44959653250871812</v>
      </c>
      <c r="BN356" s="17">
        <f t="shared" si="17"/>
        <v>0</v>
      </c>
    </row>
    <row r="357" spans="1:66" x14ac:dyDescent="0.2">
      <c r="A357">
        <v>-0.47904279290521112</v>
      </c>
      <c r="B357">
        <v>1.9740125520462611E-2</v>
      </c>
      <c r="C357">
        <v>-0.44753864748002148</v>
      </c>
      <c r="D357">
        <v>-0.51278927861127477</v>
      </c>
      <c r="E357">
        <v>-2.2267562087302399E-2</v>
      </c>
      <c r="F357">
        <v>0.14406457756959029</v>
      </c>
      <c r="G357">
        <v>-0.16462777112661309</v>
      </c>
      <c r="H357">
        <v>-0.63770236396003188</v>
      </c>
      <c r="I357">
        <v>-0.62245924108570239</v>
      </c>
      <c r="J357">
        <v>-0.36785370616556817</v>
      </c>
      <c r="M357" s="13">
        <v>0</v>
      </c>
      <c r="O357" s="10">
        <f t="shared" si="15"/>
        <v>1</v>
      </c>
      <c r="P357" s="10">
        <f t="shared" si="16"/>
        <v>0</v>
      </c>
      <c r="R357" s="14">
        <v>0.46641062462335814</v>
      </c>
      <c r="S357" s="14">
        <v>1.0359176816109688</v>
      </c>
      <c r="T357" s="14">
        <v>0.44726761327267583</v>
      </c>
      <c r="U357" s="14">
        <v>-0.79677545269215211</v>
      </c>
      <c r="V357" s="14">
        <v>1.501488070797969</v>
      </c>
      <c r="W357" s="14">
        <v>0.52843069214440241</v>
      </c>
      <c r="X357" s="14">
        <v>-1.4659127579456646</v>
      </c>
      <c r="Y357" s="14">
        <v>-1.0879920494506059</v>
      </c>
      <c r="Z357" s="14">
        <v>1.2252815639674821</v>
      </c>
      <c r="AA357" s="14">
        <v>1.2155507268466492</v>
      </c>
      <c r="AB357" s="14">
        <v>-0.15115702791418528</v>
      </c>
      <c r="AC357" s="14">
        <v>1.0646807962427973</v>
      </c>
      <c r="AD357" s="14">
        <v>-0.81579323493473099</v>
      </c>
      <c r="AE357" s="14">
        <v>1.6894091113778602</v>
      </c>
      <c r="AF357" s="14">
        <v>0.21892211562179587</v>
      </c>
      <c r="AG357" s="14">
        <v>0.19842019756173845</v>
      </c>
      <c r="AH357" s="14">
        <v>-1.3732927406974298</v>
      </c>
      <c r="AI357" s="14">
        <v>-1.6035900406411725</v>
      </c>
      <c r="AJ357" s="14">
        <v>-0.55680660401284321</v>
      </c>
      <c r="AK357" s="14">
        <v>-7.3805149241747192E-2</v>
      </c>
      <c r="AM357" s="14">
        <v>-0.22079805962748522</v>
      </c>
      <c r="AN357" s="14">
        <v>-0.78328803502475253</v>
      </c>
      <c r="AO357" s="14">
        <v>-0.36018724365013427</v>
      </c>
      <c r="AP357" s="14">
        <v>1.7068106167162794E-3</v>
      </c>
      <c r="AQ357" s="14">
        <v>-0.48620308024254238</v>
      </c>
      <c r="AR357" s="14">
        <v>-8.0660333472690124E-2</v>
      </c>
      <c r="AS357" s="14">
        <v>0.80427718230028666</v>
      </c>
      <c r="AT357" s="14">
        <v>0.7855002314480678</v>
      </c>
      <c r="AU357" s="14">
        <v>-0.16756601163377324</v>
      </c>
      <c r="AV357" s="14">
        <v>-0.55404073953284105</v>
      </c>
      <c r="AW357" s="14">
        <v>-0.48083923472324269</v>
      </c>
      <c r="AX357" s="14">
        <v>-0.28688530698565218</v>
      </c>
      <c r="AY357" s="14">
        <v>0.69398488059660446</v>
      </c>
      <c r="AZ357" s="14">
        <v>-0.7888180503813137</v>
      </c>
      <c r="BA357" s="14">
        <v>7.4931889459639286E-2</v>
      </c>
      <c r="BB357" s="14">
        <v>1.6716097938053796E-3</v>
      </c>
      <c r="BC357" s="14">
        <v>0.48688481617434182</v>
      </c>
      <c r="BD357" s="14">
        <v>0.74282892201173867</v>
      </c>
      <c r="BE357" s="14">
        <v>0.71266303855674884</v>
      </c>
      <c r="BF357" s="14">
        <v>-0.27905247455244436</v>
      </c>
      <c r="BK357" s="16">
        <v>0.24840634989031202</v>
      </c>
      <c r="BL357" s="16">
        <v>1.1293699342462602</v>
      </c>
      <c r="BN357" s="17">
        <f t="shared" si="17"/>
        <v>1</v>
      </c>
    </row>
    <row r="358" spans="1:66" x14ac:dyDescent="0.2">
      <c r="A358">
        <v>-0.33893394792478132</v>
      </c>
      <c r="B358">
        <v>-9.7956937369769778E-2</v>
      </c>
      <c r="C358">
        <v>-0.31597831115555519</v>
      </c>
      <c r="D358">
        <v>-0.43737304334856242</v>
      </c>
      <c r="E358">
        <v>0.47208154725954637</v>
      </c>
      <c r="F358">
        <v>5.7651187602303117E-2</v>
      </c>
      <c r="G358">
        <v>0.14515936891654591</v>
      </c>
      <c r="H358">
        <v>-0.46792688480782352</v>
      </c>
      <c r="I358">
        <v>-0.54487990456249147</v>
      </c>
      <c r="J358">
        <v>0.12857936663111971</v>
      </c>
      <c r="M358" s="13">
        <v>0</v>
      </c>
      <c r="O358" s="10">
        <f t="shared" si="15"/>
        <v>1</v>
      </c>
      <c r="P358" s="10">
        <f t="shared" si="16"/>
        <v>0</v>
      </c>
      <c r="R358" s="14">
        <v>0.16266703547842304</v>
      </c>
      <c r="S358" s="14">
        <v>-1.1202917717387904</v>
      </c>
      <c r="T358" s="14">
        <v>-0.710736238192753</v>
      </c>
      <c r="U358" s="14">
        <v>-0.80878730443251323</v>
      </c>
      <c r="V358" s="14">
        <v>-0.51538278312382013</v>
      </c>
      <c r="W358" s="14">
        <v>-0.32380597030889285</v>
      </c>
      <c r="X358" s="14">
        <v>1.0639608347757936</v>
      </c>
      <c r="Y358" s="14">
        <v>1.2272592463039067</v>
      </c>
      <c r="Z358" s="14">
        <v>0.19161407941851782</v>
      </c>
      <c r="AA358" s="14">
        <v>-0.24490997692116678</v>
      </c>
      <c r="AB358" s="14">
        <v>0.33694662927941321</v>
      </c>
      <c r="AC358" s="14">
        <v>-6.8693753235635424E-2</v>
      </c>
      <c r="AD358" s="14">
        <v>1.1230209515409999</v>
      </c>
      <c r="AE358" s="14">
        <v>-0.6462552535909265</v>
      </c>
      <c r="AF358" s="14">
        <v>0.27080776571549559</v>
      </c>
      <c r="AG358" s="14">
        <v>-0.43791781179258837</v>
      </c>
      <c r="AH358" s="14">
        <v>-4.9695266399908733E-2</v>
      </c>
      <c r="AI358" s="14">
        <v>0.32692240429097352</v>
      </c>
      <c r="AJ358" s="14">
        <v>1.5563998376151544</v>
      </c>
      <c r="AK358" s="14">
        <v>-1.228523595604726</v>
      </c>
      <c r="AM358" s="14">
        <v>2.7123749389791132E-2</v>
      </c>
      <c r="AN358" s="14">
        <v>0.62818413235973913</v>
      </c>
      <c r="AO358" s="14">
        <v>0.3182242583721494</v>
      </c>
      <c r="AP358" s="14">
        <v>-4.8590024482619829E-2</v>
      </c>
      <c r="AQ358" s="14">
        <v>0.59892332757164646</v>
      </c>
      <c r="AR358" s="14">
        <v>9.8021274879931369E-2</v>
      </c>
      <c r="AS358" s="14">
        <v>-0.76112453841020011</v>
      </c>
      <c r="AT358" s="14">
        <v>-0.5325312355728733</v>
      </c>
      <c r="AU358" s="14">
        <v>0.52384956284936357</v>
      </c>
      <c r="AV358" s="14">
        <v>0.40433672020432188</v>
      </c>
      <c r="AW358" s="14">
        <v>8.1685485550277312E-2</v>
      </c>
      <c r="AX358" s="14">
        <v>0.40073447518696204</v>
      </c>
      <c r="AY358" s="14">
        <v>-0.60482937297924566</v>
      </c>
      <c r="AZ358" s="14">
        <v>0.6786300043183926</v>
      </c>
      <c r="BA358" s="14">
        <v>-0.19470060701094874</v>
      </c>
      <c r="BB358" s="14">
        <v>-7.2384840695322569E-2</v>
      </c>
      <c r="BC358" s="14">
        <v>-0.42354180070626241</v>
      </c>
      <c r="BD358" s="14">
        <v>-0.54665465332999474</v>
      </c>
      <c r="BE358" s="14">
        <v>-0.58941206618568664</v>
      </c>
      <c r="BF358" s="14">
        <v>0.27527982443231702</v>
      </c>
      <c r="BK358" s="16">
        <v>0.24381534682046849</v>
      </c>
      <c r="BL358" s="16">
        <v>4.6459948764946718E-2</v>
      </c>
      <c r="BN358" s="17">
        <f t="shared" si="17"/>
        <v>0</v>
      </c>
    </row>
    <row r="359" spans="1:66" x14ac:dyDescent="0.2">
      <c r="A359">
        <v>-0.1044660848963075</v>
      </c>
      <c r="B359">
        <v>-0.68153820753383798</v>
      </c>
      <c r="C359">
        <v>-0.1736275371514801</v>
      </c>
      <c r="D359">
        <v>-0.20220104254842439</v>
      </c>
      <c r="E359">
        <v>-0.930680511894595</v>
      </c>
      <c r="F359">
        <v>-0.94670300482953973</v>
      </c>
      <c r="G359">
        <v>-0.75327445719872099</v>
      </c>
      <c r="H359">
        <v>-0.27744707892973608</v>
      </c>
      <c r="I359">
        <v>-0.36209023494615949</v>
      </c>
      <c r="J359">
        <v>-0.9232896841453313</v>
      </c>
      <c r="M359" s="13">
        <v>0</v>
      </c>
      <c r="O359" s="10">
        <f t="shared" si="15"/>
        <v>1</v>
      </c>
      <c r="P359" s="10">
        <f t="shared" si="16"/>
        <v>0</v>
      </c>
      <c r="R359" s="14">
        <v>-0.14519413585532401</v>
      </c>
      <c r="S359" s="14">
        <v>-1.0952123931199962</v>
      </c>
      <c r="T359" s="14">
        <v>-0.69781292452394272</v>
      </c>
      <c r="U359" s="14">
        <v>-0.76766662263840479</v>
      </c>
      <c r="V359" s="14">
        <v>-0.32009125902953151</v>
      </c>
      <c r="W359" s="14">
        <v>-7.0665981433918834E-2</v>
      </c>
      <c r="X359" s="14">
        <v>1.0612869548033741</v>
      </c>
      <c r="Y359" s="14">
        <v>1.0927701773958154</v>
      </c>
      <c r="Z359" s="14">
        <v>-1.5832902817168759E-2</v>
      </c>
      <c r="AA359" s="14">
        <v>-0.15324066085037502</v>
      </c>
      <c r="AB359" s="14">
        <v>0.16054542612329314</v>
      </c>
      <c r="AC359" s="14">
        <v>-0.19668262659343294</v>
      </c>
      <c r="AD359" s="14">
        <v>1.1047930040431135</v>
      </c>
      <c r="AE359" s="14">
        <v>-0.64099092920753953</v>
      </c>
      <c r="AF359" s="14">
        <v>1.0416542983149313E-3</v>
      </c>
      <c r="AG359" s="14">
        <v>-0.21313568409279882</v>
      </c>
      <c r="AH359" s="14">
        <v>-0.19286429593458249</v>
      </c>
      <c r="AI359" s="14">
        <v>0.31320986704037534</v>
      </c>
      <c r="AJ359" s="14">
        <v>1.5330916973687465</v>
      </c>
      <c r="AK359" s="14">
        <v>-0.93463803109759369</v>
      </c>
      <c r="AM359" s="14">
        <v>-0.40289736353124711</v>
      </c>
      <c r="AN359" s="14">
        <v>0.39752652235506103</v>
      </c>
      <c r="AO359" s="14">
        <v>0.18035143671180753</v>
      </c>
      <c r="AP359" s="14">
        <v>-0.53830382043110392</v>
      </c>
      <c r="AQ359" s="14">
        <v>0.61142236792405158</v>
      </c>
      <c r="AR359" s="14">
        <v>0.45427861881561121</v>
      </c>
      <c r="AS359" s="14">
        <v>-0.49599865837833712</v>
      </c>
      <c r="AT359" s="14">
        <v>-0.29083848878883717</v>
      </c>
      <c r="AU359" s="14">
        <v>0.40871123451105379</v>
      </c>
      <c r="AV359" s="14">
        <v>0.14098724106482732</v>
      </c>
      <c r="AW359" s="14">
        <v>-0.22036987616067283</v>
      </c>
      <c r="AX359" s="14">
        <v>0.28836310953892974</v>
      </c>
      <c r="AY359" s="14">
        <v>-0.39096520700940124</v>
      </c>
      <c r="AZ359" s="14">
        <v>0.36185482616235326</v>
      </c>
      <c r="BA359" s="14">
        <v>-0.54118630701319881</v>
      </c>
      <c r="BB359" s="14">
        <v>3.1150984658588402E-2</v>
      </c>
      <c r="BC359" s="14">
        <v>-0.44855603206035138</v>
      </c>
      <c r="BD359" s="14">
        <v>-0.28363611043507947</v>
      </c>
      <c r="BE359" s="14">
        <v>-0.30111736898804448</v>
      </c>
      <c r="BF359" s="14">
        <v>0.59230093735468847</v>
      </c>
      <c r="BK359" s="16">
        <v>0.50517538431503051</v>
      </c>
      <c r="BL359" s="16">
        <v>-0.51718184820108581</v>
      </c>
      <c r="BN359" s="17">
        <f t="shared" si="17"/>
        <v>0</v>
      </c>
    </row>
    <row r="360" spans="1:66" x14ac:dyDescent="0.2">
      <c r="A360">
        <v>-1.531860685186726</v>
      </c>
      <c r="B360">
        <v>-0.85808380186918654</v>
      </c>
      <c r="C360">
        <v>-1.492551035066791</v>
      </c>
      <c r="D360">
        <v>-1.217441736333108</v>
      </c>
      <c r="E360">
        <v>-0.52070527309040349</v>
      </c>
      <c r="F360">
        <v>-0.54761447928477958</v>
      </c>
      <c r="G360">
        <v>-0.67838367169323777</v>
      </c>
      <c r="H360">
        <v>-1.339371996700073</v>
      </c>
      <c r="I360">
        <v>-1.0571160717431429</v>
      </c>
      <c r="J360">
        <v>-1.042194015910209</v>
      </c>
      <c r="M360" s="13">
        <v>0</v>
      </c>
      <c r="O360" s="10">
        <f t="shared" si="15"/>
        <v>1</v>
      </c>
      <c r="P360" s="10">
        <f t="shared" si="16"/>
        <v>0</v>
      </c>
      <c r="R360" s="14">
        <v>0.91338494694392536</v>
      </c>
      <c r="S360" s="14">
        <v>-1.1172213496075232</v>
      </c>
      <c r="T360" s="14">
        <v>-0.54101277922769875</v>
      </c>
      <c r="U360" s="14">
        <v>-0.86697213654770455</v>
      </c>
      <c r="V360" s="14">
        <v>-0.14453579642305575</v>
      </c>
      <c r="W360" s="14">
        <v>-0.48095671125034106</v>
      </c>
      <c r="X360" s="14">
        <v>1.054066288460481</v>
      </c>
      <c r="Y360" s="14">
        <v>1.3240641120387018</v>
      </c>
      <c r="Z360" s="14">
        <v>0.640909182220464</v>
      </c>
      <c r="AA360" s="14">
        <v>-0.18431155305376601</v>
      </c>
      <c r="AB360" s="14">
        <v>-0.52687309486231082</v>
      </c>
      <c r="AC360" s="14">
        <v>1.099085951463407</v>
      </c>
      <c r="AD360" s="14">
        <v>1.1254106503913281</v>
      </c>
      <c r="AE360" s="14">
        <v>-0.45426224146876776</v>
      </c>
      <c r="AF360" s="14">
        <v>0.76249369186269012</v>
      </c>
      <c r="AG360" s="14">
        <v>-0.50815669728984414</v>
      </c>
      <c r="AH360" s="14">
        <v>-7.489865271551488E-2</v>
      </c>
      <c r="AI360" s="14">
        <v>0.3348221742550902</v>
      </c>
      <c r="AJ360" s="14">
        <v>1.5617293963437051</v>
      </c>
      <c r="AK360" s="14">
        <v>-1.4955799808414685</v>
      </c>
      <c r="AM360" s="14">
        <v>0.7407026718639812</v>
      </c>
      <c r="AN360" s="14">
        <v>0.50700293771305371</v>
      </c>
      <c r="AO360" s="14">
        <v>0.39607296951699861</v>
      </c>
      <c r="AP360" s="14">
        <v>0.23612387549607045</v>
      </c>
      <c r="AQ360" s="14">
        <v>0.24504035084698128</v>
      </c>
      <c r="AR360" s="14">
        <v>-0.54087562790960042</v>
      </c>
      <c r="AS360" s="14">
        <v>-0.57612275685908709</v>
      </c>
      <c r="AT360" s="14">
        <v>-0.4754877288401595</v>
      </c>
      <c r="AU360" s="14">
        <v>0.24903013729538509</v>
      </c>
      <c r="AV360" s="14">
        <v>0.47242518401057765</v>
      </c>
      <c r="AW360" s="14">
        <v>0.27142858367301498</v>
      </c>
      <c r="AX360" s="14">
        <v>0.48379640133320334</v>
      </c>
      <c r="AY360" s="14">
        <v>-0.36818464439342841</v>
      </c>
      <c r="AZ360" s="14">
        <v>0.67838618427371777</v>
      </c>
      <c r="BA360" s="14">
        <v>0.44510467254567404</v>
      </c>
      <c r="BB360" s="14">
        <v>-0.16051700231559429</v>
      </c>
      <c r="BC360" s="14">
        <v>-0.15687987718770405</v>
      </c>
      <c r="BD360" s="14">
        <v>-0.45588144985887219</v>
      </c>
      <c r="BE360" s="14">
        <v>-0.46393988857381785</v>
      </c>
      <c r="BF360" s="14">
        <v>-0.57077034159147266</v>
      </c>
      <c r="BK360" s="16">
        <v>0.61518901574096019</v>
      </c>
      <c r="BL360" s="16">
        <v>-0.46678226523749755</v>
      </c>
      <c r="BN360" s="17">
        <f t="shared" si="17"/>
        <v>0</v>
      </c>
    </row>
    <row r="361" spans="1:66" x14ac:dyDescent="0.2">
      <c r="A361">
        <v>-1.372308163760033</v>
      </c>
      <c r="B361">
        <v>-0.16416153524552529</v>
      </c>
      <c r="C361">
        <v>-1.3647258502468049</v>
      </c>
      <c r="D361">
        <v>-1.1092108032843291</v>
      </c>
      <c r="E361">
        <v>-0.8444481860536408</v>
      </c>
      <c r="F361">
        <v>-0.79693632609140053</v>
      </c>
      <c r="G361">
        <v>-0.92759362346063035</v>
      </c>
      <c r="H361">
        <v>-0.91721077475939927</v>
      </c>
      <c r="I361">
        <v>-0.81339651225470044</v>
      </c>
      <c r="J361">
        <v>-0.99876548163840251</v>
      </c>
      <c r="M361" s="13">
        <v>0</v>
      </c>
      <c r="O361" s="10">
        <f t="shared" si="15"/>
        <v>1</v>
      </c>
      <c r="P361" s="10">
        <f t="shared" si="16"/>
        <v>0</v>
      </c>
      <c r="R361" s="14">
        <v>-0.54721485056686126</v>
      </c>
      <c r="S361" s="14">
        <v>-1.1314055200754509</v>
      </c>
      <c r="T361" s="14">
        <v>-0.73405526778961361</v>
      </c>
      <c r="U361" s="14">
        <v>-0.54322556193682536</v>
      </c>
      <c r="V361" s="14">
        <v>-0.48445232508754865</v>
      </c>
      <c r="W361" s="14">
        <v>-8.709123811314351E-2</v>
      </c>
      <c r="X361" s="14">
        <v>1.0651129329014013</v>
      </c>
      <c r="Y361" s="14">
        <v>1.3074953031706038</v>
      </c>
      <c r="Z361" s="14">
        <v>0.18209809865310422</v>
      </c>
      <c r="AA361" s="14">
        <v>-0.27432811223327136</v>
      </c>
      <c r="AB361" s="14">
        <v>-0.57121787590482032</v>
      </c>
      <c r="AC361" s="14">
        <v>-0.29156287234363021</v>
      </c>
      <c r="AD361" s="14">
        <v>1.1274398022697001</v>
      </c>
      <c r="AE361" s="14">
        <v>-0.66174716540277823</v>
      </c>
      <c r="AF361" s="14">
        <v>-0.13260445783616626</v>
      </c>
      <c r="AG361" s="14">
        <v>-0.33664605337138154</v>
      </c>
      <c r="AH361" s="14">
        <v>4.7194336595944075E-2</v>
      </c>
      <c r="AI361" s="14">
        <v>0.33894011133822799</v>
      </c>
      <c r="AJ361" s="14">
        <v>1.5605554466391287</v>
      </c>
      <c r="AK361" s="14">
        <v>-1.0047222151994701</v>
      </c>
      <c r="AM361" s="14">
        <v>-0.11752598562218106</v>
      </c>
      <c r="AN361" s="14">
        <v>-0.23561090305465285</v>
      </c>
      <c r="AO361" s="14">
        <v>-0.14680319150743873</v>
      </c>
      <c r="AP361" s="14">
        <v>3.733469733296349E-2</v>
      </c>
      <c r="AQ361" s="14">
        <v>-0.19404720851241519</v>
      </c>
      <c r="AR361" s="14">
        <v>0.11846681679243462</v>
      </c>
      <c r="AS361" s="14">
        <v>0.38281810376079112</v>
      </c>
      <c r="AT361" s="14">
        <v>4.6780303034199243E-2</v>
      </c>
      <c r="AU361" s="14">
        <v>-0.44937619606584528</v>
      </c>
      <c r="AV361" s="14">
        <v>-3.8988802101410966E-2</v>
      </c>
      <c r="AW361" s="14">
        <v>-1.9924792666879371E-2</v>
      </c>
      <c r="AX361" s="14">
        <v>-0.3115836010557102</v>
      </c>
      <c r="AY361" s="14">
        <v>0.27085918015132149</v>
      </c>
      <c r="AZ361" s="14">
        <v>-0.29947856231742026</v>
      </c>
      <c r="BA361" s="14">
        <v>1.2403214768718087E-2</v>
      </c>
      <c r="BB361" s="14">
        <v>0.20046492503859378</v>
      </c>
      <c r="BC361" s="14">
        <v>7.2627289574993217E-2</v>
      </c>
      <c r="BD361" s="14">
        <v>0.20197116996809347</v>
      </c>
      <c r="BE361" s="14">
        <v>0.17713965434402246</v>
      </c>
      <c r="BF361" s="14">
        <v>4.4811095015799995E-2</v>
      </c>
      <c r="BK361" s="16">
        <v>-0.44450381574142811</v>
      </c>
      <c r="BL361" s="16">
        <v>0.51036001659210617</v>
      </c>
      <c r="BN361" s="17">
        <f t="shared" si="17"/>
        <v>1</v>
      </c>
    </row>
    <row r="362" spans="1:66" x14ac:dyDescent="0.2">
      <c r="A362">
        <v>-0.48476152127175959</v>
      </c>
      <c r="B362">
        <v>-0.225462088834188</v>
      </c>
      <c r="C362">
        <v>-0.55129285593780242</v>
      </c>
      <c r="D362">
        <v>-0.49523053681346779</v>
      </c>
      <c r="E362">
        <v>-1.458853507670439</v>
      </c>
      <c r="F362">
        <v>-1.118116423723043</v>
      </c>
      <c r="G362">
        <v>-1.1476907408625809</v>
      </c>
      <c r="H362">
        <v>-0.5652372204194549</v>
      </c>
      <c r="I362">
        <v>-0.55462160207111388</v>
      </c>
      <c r="J362">
        <v>-1.51047341821345</v>
      </c>
      <c r="M362" s="13">
        <v>0</v>
      </c>
      <c r="O362" s="10">
        <f t="shared" si="15"/>
        <v>1</v>
      </c>
      <c r="P362" s="10">
        <f t="shared" si="16"/>
        <v>0</v>
      </c>
      <c r="R362" s="14">
        <v>-6.3367449208684201E-2</v>
      </c>
      <c r="S362" s="14">
        <v>0.99361254347621852</v>
      </c>
      <c r="T362" s="14">
        <v>0.19517388902655686</v>
      </c>
      <c r="U362" s="14">
        <v>-0.75878232184842731</v>
      </c>
      <c r="V362" s="14">
        <v>1.2894101080285796</v>
      </c>
      <c r="W362" s="14">
        <v>0.29668834641327374</v>
      </c>
      <c r="X362" s="14">
        <v>-1.4600575019439146</v>
      </c>
      <c r="Y362" s="14">
        <v>-0.74028014743534909</v>
      </c>
      <c r="Z362" s="14">
        <v>0.91767604367328404</v>
      </c>
      <c r="AA362" s="14">
        <v>1.063024806961022</v>
      </c>
      <c r="AB362" s="14">
        <v>0.49280618277268851</v>
      </c>
      <c r="AC362" s="14">
        <v>0.86018886553804441</v>
      </c>
      <c r="AD362" s="14">
        <v>-0.7435683799334657</v>
      </c>
      <c r="AE362" s="14">
        <v>1.6616821614366406</v>
      </c>
      <c r="AF362" s="14">
        <v>-0.469408008380233</v>
      </c>
      <c r="AG362" s="14">
        <v>-0.37477982686009514</v>
      </c>
      <c r="AH362" s="14">
        <v>-1.0742232498349413</v>
      </c>
      <c r="AI362" s="14">
        <v>-1.5279105800573534</v>
      </c>
      <c r="AJ362" s="14">
        <v>-0.43082356976186581</v>
      </c>
      <c r="AK362" s="14">
        <v>-0.21869317663275051</v>
      </c>
      <c r="AM362" s="14">
        <v>-0.47238120185233606</v>
      </c>
      <c r="AN362" s="14">
        <v>-0.79502001691395763</v>
      </c>
      <c r="AO362" s="14">
        <v>-0.540112537067575</v>
      </c>
      <c r="AP362" s="14">
        <v>-0.12359015902193835</v>
      </c>
      <c r="AQ362" s="14">
        <v>-0.55850301593349572</v>
      </c>
      <c r="AR362" s="14">
        <v>0.28484192204730469</v>
      </c>
      <c r="AS362" s="14">
        <v>0.86208307206569079</v>
      </c>
      <c r="AT362" s="14">
        <v>0.65998628388173364</v>
      </c>
      <c r="AU362" s="14">
        <v>-0.55204406475287204</v>
      </c>
      <c r="AV362" s="14">
        <v>-0.54891098225258361</v>
      </c>
      <c r="AW362" s="14">
        <v>-0.22382526019509408</v>
      </c>
      <c r="AX362" s="14">
        <v>-0.56417037988534746</v>
      </c>
      <c r="AY362" s="14">
        <v>0.7431231270359433</v>
      </c>
      <c r="AZ362" s="14">
        <v>-0.84689921890375663</v>
      </c>
      <c r="BA362" s="14">
        <v>-0.13558862454692971</v>
      </c>
      <c r="BB362" s="14">
        <v>0.2019236452402513</v>
      </c>
      <c r="BC362" s="14">
        <v>0.43070868818387942</v>
      </c>
      <c r="BD362" s="14">
        <v>0.75742588365536068</v>
      </c>
      <c r="BE362" s="14">
        <v>0.73057344120540924</v>
      </c>
      <c r="BF362" s="14">
        <v>0.13153380380870669</v>
      </c>
      <c r="BK362" s="16">
        <v>0.70875268432820193</v>
      </c>
      <c r="BL362" s="16">
        <v>-0.19124542104278114</v>
      </c>
      <c r="BN362" s="17">
        <f t="shared" si="17"/>
        <v>0</v>
      </c>
    </row>
    <row r="363" spans="1:66" x14ac:dyDescent="0.2">
      <c r="A363">
        <v>-0.26744984334292943</v>
      </c>
      <c r="B363">
        <v>0.6327456614070891</v>
      </c>
      <c r="C363">
        <v>-0.30975305864808872</v>
      </c>
      <c r="D363">
        <v>-0.33921679821655859</v>
      </c>
      <c r="E363">
        <v>-0.76695060011468008</v>
      </c>
      <c r="F363">
        <v>-0.71833361556161557</v>
      </c>
      <c r="G363">
        <v>-0.66739287382041945</v>
      </c>
      <c r="H363">
        <v>-0.46585645213523558</v>
      </c>
      <c r="I363">
        <v>-0.49174337269727869</v>
      </c>
      <c r="J363">
        <v>-0.91460397729096998</v>
      </c>
      <c r="M363" s="13">
        <v>0</v>
      </c>
      <c r="O363" s="10">
        <f t="shared" si="15"/>
        <v>1</v>
      </c>
      <c r="P363" s="10">
        <f t="shared" si="16"/>
        <v>0</v>
      </c>
      <c r="R363" s="14">
        <v>-1.014388072411216</v>
      </c>
      <c r="S363" s="14">
        <v>0.99876327638707207</v>
      </c>
      <c r="T363" s="14">
        <v>-0.19490919767015169</v>
      </c>
      <c r="U363" s="14">
        <v>-1.3422857921762197</v>
      </c>
      <c r="V363" s="14">
        <v>1.4059587545734313</v>
      </c>
      <c r="W363" s="14">
        <v>0.48131983419300789</v>
      </c>
      <c r="X363" s="14">
        <v>-1.4556435091229523</v>
      </c>
      <c r="Y363" s="14">
        <v>-0.60787490480938744</v>
      </c>
      <c r="Z363" s="14">
        <v>1.0665298201769222</v>
      </c>
      <c r="AA363" s="14">
        <v>0.69168848570944519</v>
      </c>
      <c r="AB363" s="14">
        <v>0.8662824549185667</v>
      </c>
      <c r="AC363" s="14">
        <v>0.62108026260967952</v>
      </c>
      <c r="AD363" s="14">
        <v>-0.6602040927139915</v>
      </c>
      <c r="AE363" s="14">
        <v>1.6062799185848311</v>
      </c>
      <c r="AF363" s="14">
        <v>-1.5982274647395514</v>
      </c>
      <c r="AG363" s="14">
        <v>-0.77097128103254753</v>
      </c>
      <c r="AH363" s="14">
        <v>-1.1539058070093049</v>
      </c>
      <c r="AI363" s="14">
        <v>-1.4283189571998691</v>
      </c>
      <c r="AJ363" s="14">
        <v>-0.2146985787277042</v>
      </c>
      <c r="AK363" s="14">
        <v>0.18850383750300448</v>
      </c>
      <c r="AM363" s="14">
        <v>-4.6589778690223148E-2</v>
      </c>
      <c r="AN363" s="14">
        <v>-0.83015723753110238</v>
      </c>
      <c r="AO363" s="14">
        <v>-0.46660930011471302</v>
      </c>
      <c r="AP363" s="14">
        <v>-0.33125251597264782</v>
      </c>
      <c r="AQ363" s="14">
        <v>-0.6419529166483795</v>
      </c>
      <c r="AR363" s="14">
        <v>-0.41704126961331661</v>
      </c>
      <c r="AS363" s="14">
        <v>0.85058613489973811</v>
      </c>
      <c r="AT363" s="14">
        <v>0.83853851259092316</v>
      </c>
      <c r="AU363" s="14">
        <v>-7.1258153260244247E-2</v>
      </c>
      <c r="AV363" s="14">
        <v>-0.68901036594479836</v>
      </c>
      <c r="AW363" s="14">
        <v>-0.18987184777420346</v>
      </c>
      <c r="AX363" s="14">
        <v>-0.22280441359499648</v>
      </c>
      <c r="AY363" s="14">
        <v>0.77363637946910468</v>
      </c>
      <c r="AZ363" s="14">
        <v>-0.81149400795016335</v>
      </c>
      <c r="BA363" s="14">
        <v>0.2575418298804632</v>
      </c>
      <c r="BB363" s="14">
        <v>-0.25809000163274309</v>
      </c>
      <c r="BC363" s="14">
        <v>0.54789930628167627</v>
      </c>
      <c r="BD363" s="14">
        <v>0.77884739005013426</v>
      </c>
      <c r="BE363" s="14">
        <v>0.79946630698799159</v>
      </c>
      <c r="BF363" s="14">
        <v>-0.42288296417227877</v>
      </c>
      <c r="BK363" s="16">
        <v>0.50048263683915561</v>
      </c>
      <c r="BL363" s="16">
        <v>-0.46999843204467473</v>
      </c>
      <c r="BN363" s="17">
        <f t="shared" si="17"/>
        <v>0</v>
      </c>
    </row>
    <row r="364" spans="1:66" x14ac:dyDescent="0.2">
      <c r="A364">
        <v>-0.42185550923972981</v>
      </c>
      <c r="B364">
        <v>-3.6656383781107117E-2</v>
      </c>
      <c r="C364">
        <v>-0.44961373164917701</v>
      </c>
      <c r="D364">
        <v>-0.48170167018237042</v>
      </c>
      <c r="E364">
        <v>-0.47350050851367448</v>
      </c>
      <c r="F364">
        <v>-0.79966386494259178</v>
      </c>
      <c r="G364">
        <v>-0.83174364201163331</v>
      </c>
      <c r="H364">
        <v>-0.55902592240169124</v>
      </c>
      <c r="I364">
        <v>-0.56524890844415643</v>
      </c>
      <c r="J364">
        <v>-0.51056885499671245</v>
      </c>
      <c r="M364" s="13">
        <v>0</v>
      </c>
      <c r="O364" s="10">
        <f t="shared" si="15"/>
        <v>1</v>
      </c>
      <c r="P364" s="10">
        <f t="shared" si="16"/>
        <v>0</v>
      </c>
      <c r="R364" s="14">
        <v>0.49377734468565027</v>
      </c>
      <c r="S364" s="14">
        <v>0.94576743858096313</v>
      </c>
      <c r="T364" s="14">
        <v>0.25378140879491451</v>
      </c>
      <c r="U364" s="14">
        <v>-0.24383431905235947</v>
      </c>
      <c r="V364" s="14">
        <v>0.7443748989169654</v>
      </c>
      <c r="W364" s="14">
        <v>-0.83714119202087889</v>
      </c>
      <c r="X364" s="14">
        <v>-1.4319948478855835</v>
      </c>
      <c r="Y364" s="14">
        <v>-0.8277011403486636</v>
      </c>
      <c r="Z364" s="14">
        <v>0.64102748025691114</v>
      </c>
      <c r="AA364" s="14">
        <v>1.1346118761941653</v>
      </c>
      <c r="AB364" s="14">
        <v>0.88248736801865502</v>
      </c>
      <c r="AC364" s="14">
        <v>0.96012789314938074</v>
      </c>
      <c r="AD364" s="14">
        <v>-0.37869189269324555</v>
      </c>
      <c r="AE364" s="14">
        <v>1.6847870883315694</v>
      </c>
      <c r="AF364" s="14">
        <v>0.13656066784359344</v>
      </c>
      <c r="AG364" s="14">
        <v>-0.63099337165282643</v>
      </c>
      <c r="AH364" s="14">
        <v>-0.70678574590438248</v>
      </c>
      <c r="AI364" s="14">
        <v>-1.4618824924300124</v>
      </c>
      <c r="AJ364" s="14">
        <v>-0.34076571208753587</v>
      </c>
      <c r="AK364" s="14">
        <v>-1.3118873954850119</v>
      </c>
      <c r="AM364" s="14">
        <v>-0.27538215791265658</v>
      </c>
      <c r="AN364" s="14">
        <v>-0.72827431070923609</v>
      </c>
      <c r="AO364" s="14">
        <v>-0.29034246487434878</v>
      </c>
      <c r="AP364" s="14">
        <v>0.13347215334063525</v>
      </c>
      <c r="AQ364" s="14">
        <v>-0.41221626344029028</v>
      </c>
      <c r="AR364" s="14">
        <v>3.5580776429838173E-2</v>
      </c>
      <c r="AS364" s="14">
        <v>0.7449671081173016</v>
      </c>
      <c r="AT364" s="14">
        <v>0.720840341622909</v>
      </c>
      <c r="AU364" s="14">
        <v>-0.20679977105479463</v>
      </c>
      <c r="AV364" s="14">
        <v>-0.47141826310824592</v>
      </c>
      <c r="AW364" s="14">
        <v>-0.51283586587998509</v>
      </c>
      <c r="AX364" s="14">
        <v>-0.30748866588704665</v>
      </c>
      <c r="AY364" s="14">
        <v>0.61477114147923839</v>
      </c>
      <c r="AZ364" s="14">
        <v>-0.74641458800941485</v>
      </c>
      <c r="BA364" s="14">
        <v>1.5681328176330309E-2</v>
      </c>
      <c r="BB364" s="14">
        <v>7.3527857149027598E-2</v>
      </c>
      <c r="BC364" s="14">
        <v>0.43830723264838678</v>
      </c>
      <c r="BD364" s="14">
        <v>0.68456360525981319</v>
      </c>
      <c r="BE364" s="14">
        <v>0.62792700101056864</v>
      </c>
      <c r="BF364" s="14">
        <v>-0.21049933578899294</v>
      </c>
      <c r="BK364" s="16">
        <v>0.73210477630077742</v>
      </c>
      <c r="BL364" s="16">
        <v>-0.22482475601904511</v>
      </c>
      <c r="BN364" s="17">
        <f t="shared" si="17"/>
        <v>0</v>
      </c>
    </row>
    <row r="365" spans="1:66" x14ac:dyDescent="0.2">
      <c r="A365">
        <v>0.64754669530477482</v>
      </c>
      <c r="B365">
        <v>-0.17151760167616509</v>
      </c>
      <c r="C365">
        <v>0.57672289841519153</v>
      </c>
      <c r="D365">
        <v>0.50130002226863413</v>
      </c>
      <c r="E365">
        <v>-0.37760421512157882</v>
      </c>
      <c r="F365">
        <v>-0.40615439613890469</v>
      </c>
      <c r="G365">
        <v>-5.1141393091000437E-2</v>
      </c>
      <c r="H365">
        <v>0.34782358819181181</v>
      </c>
      <c r="I365">
        <v>0.19513486254703921</v>
      </c>
      <c r="J365">
        <v>-0.3891187126021079</v>
      </c>
      <c r="M365" s="13">
        <v>0</v>
      </c>
      <c r="O365" s="10">
        <f t="shared" si="15"/>
        <v>1</v>
      </c>
      <c r="P365" s="10">
        <f t="shared" si="16"/>
        <v>0</v>
      </c>
      <c r="R365" s="14">
        <v>-0.25961035279727829</v>
      </c>
      <c r="S365" s="14">
        <v>-0.68083891432203758</v>
      </c>
      <c r="T365" s="14">
        <v>-0.45242673007713663</v>
      </c>
      <c r="U365" s="14">
        <v>-0.59885793818293398</v>
      </c>
      <c r="V365" s="14">
        <v>-0.19087667379778273</v>
      </c>
      <c r="W365" s="14">
        <v>0.45223023110342414</v>
      </c>
      <c r="X365" s="14">
        <v>1.0074719589784489</v>
      </c>
      <c r="Y365" s="14">
        <v>0.12316532024228258</v>
      </c>
      <c r="Z365" s="14">
        <v>-0.82267441578748257</v>
      </c>
      <c r="AA365" s="14">
        <v>0.43019626159173852</v>
      </c>
      <c r="AB365" s="14">
        <v>0.40031590136946926</v>
      </c>
      <c r="AC365" s="14">
        <v>-0.27525499317410296</v>
      </c>
      <c r="AD365" s="14">
        <v>0.87738839223206422</v>
      </c>
      <c r="AE365" s="14">
        <v>-0.51085139649236577</v>
      </c>
      <c r="AF365" s="14">
        <v>0.13983537518725087</v>
      </c>
      <c r="AG365" s="14">
        <v>0.39249956363045058</v>
      </c>
      <c r="AH365" s="14">
        <v>-0.511097204189086</v>
      </c>
      <c r="AI365" s="14">
        <v>-0.14405098257424798</v>
      </c>
      <c r="AJ365" s="14">
        <v>0.93124509680488265</v>
      </c>
      <c r="AK365" s="14">
        <v>-0.52848363132615839</v>
      </c>
      <c r="AM365" s="14">
        <v>6.521897661527104E-2</v>
      </c>
      <c r="AN365" s="14">
        <v>0.68744464477941014</v>
      </c>
      <c r="AO365" s="14">
        <v>0.48856144687526953</v>
      </c>
      <c r="AP365" s="14">
        <v>0.17483393114575671</v>
      </c>
      <c r="AQ365" s="14">
        <v>0.63068733457425341</v>
      </c>
      <c r="AR365" s="14">
        <v>5.0654945635827398E-2</v>
      </c>
      <c r="AS365" s="14">
        <v>-0.86521960905739148</v>
      </c>
      <c r="AT365" s="14">
        <v>-0.51610536283484287</v>
      </c>
      <c r="AU365" s="14">
        <v>0.72535618959253401</v>
      </c>
      <c r="AV365" s="14">
        <v>0.37265520154438864</v>
      </c>
      <c r="AW365" s="14">
        <v>2.8603852930646888E-2</v>
      </c>
      <c r="AX365" s="14">
        <v>0.58138274561714209</v>
      </c>
      <c r="AY365" s="14">
        <v>-0.74510263072912064</v>
      </c>
      <c r="AZ365" s="14">
        <v>0.74934196519910168</v>
      </c>
      <c r="BA365" s="14">
        <v>-0.20497266912312939</v>
      </c>
      <c r="BB365" s="14">
        <v>-0.28980961493203272</v>
      </c>
      <c r="BC365" s="14">
        <v>-0.35288000152670967</v>
      </c>
      <c r="BD365" s="14">
        <v>-0.62909326413304367</v>
      </c>
      <c r="BE365" s="14">
        <v>-0.67789691500448779</v>
      </c>
      <c r="BF365" s="14">
        <v>0.12517504435806387</v>
      </c>
      <c r="BK365" s="16">
        <v>7.622084814321721E-2</v>
      </c>
      <c r="BL365" s="16">
        <v>0.12447648059918057</v>
      </c>
      <c r="BN365" s="17">
        <f t="shared" si="17"/>
        <v>1</v>
      </c>
    </row>
    <row r="366" spans="1:66" x14ac:dyDescent="0.2">
      <c r="A366">
        <v>-0.23885620151018869</v>
      </c>
      <c r="B366">
        <v>-0.50008856891139686</v>
      </c>
      <c r="C366">
        <v>-0.29979265463614141</v>
      </c>
      <c r="D366">
        <v>-0.32108235996636447</v>
      </c>
      <c r="E366">
        <v>-0.89276802380934794</v>
      </c>
      <c r="F366">
        <v>-0.86252123755868182</v>
      </c>
      <c r="G366">
        <v>-0.91046842677507622</v>
      </c>
      <c r="H366">
        <v>-0.35612352048807627</v>
      </c>
      <c r="I366">
        <v>-0.41682086276732871</v>
      </c>
      <c r="J366">
        <v>-0.70899233054893307</v>
      </c>
      <c r="M366" s="13">
        <v>0</v>
      </c>
      <c r="O366" s="10">
        <f t="shared" si="15"/>
        <v>1</v>
      </c>
      <c r="P366" s="10">
        <f t="shared" si="16"/>
        <v>0</v>
      </c>
      <c r="R366" s="14">
        <v>-0.74159187444469121</v>
      </c>
      <c r="S366" s="14">
        <v>-1.125698126704167</v>
      </c>
      <c r="T366" s="14">
        <v>-0.81161347019472052</v>
      </c>
      <c r="U366" s="14">
        <v>-0.6332704355892802</v>
      </c>
      <c r="V366" s="14">
        <v>-0.46059701950239818</v>
      </c>
      <c r="W366" s="14">
        <v>0.36412203595114434</v>
      </c>
      <c r="X366" s="14">
        <v>1.0652572606527395</v>
      </c>
      <c r="Y366" s="14">
        <v>1.137311821175045</v>
      </c>
      <c r="Z366" s="14">
        <v>-0.3005326721551343</v>
      </c>
      <c r="AA366" s="14">
        <v>-0.25299088223662591</v>
      </c>
      <c r="AB366" s="14">
        <v>0.17431625578748955</v>
      </c>
      <c r="AC366" s="14">
        <v>-0.38575983897833943</v>
      </c>
      <c r="AD366" s="14">
        <v>1.1231103432713097</v>
      </c>
      <c r="AE366" s="14">
        <v>-0.66199142047964576</v>
      </c>
      <c r="AF366" s="14">
        <v>-0.2719778666152729</v>
      </c>
      <c r="AG366" s="14">
        <v>5.985093656388718E-3</v>
      </c>
      <c r="AH366" s="14">
        <v>-5.4333159100792505E-2</v>
      </c>
      <c r="AI366" s="14">
        <v>0.33390074459896457</v>
      </c>
      <c r="AJ366" s="14">
        <v>1.5484458747471455</v>
      </c>
      <c r="AK366" s="14">
        <v>-0.41579265061189929</v>
      </c>
      <c r="AM366" s="14">
        <v>0.47836678407055172</v>
      </c>
      <c r="AN366" s="14">
        <v>-0.60274102825737008</v>
      </c>
      <c r="AO366" s="14">
        <v>-0.37742321298748965</v>
      </c>
      <c r="AP366" s="14">
        <v>-0.36906767636830662</v>
      </c>
      <c r="AQ366" s="14">
        <v>-0.35772660877236107</v>
      </c>
      <c r="AR366" s="14">
        <v>-0.44656514699938843</v>
      </c>
      <c r="AS366" s="14">
        <v>0.75528587379569323</v>
      </c>
      <c r="AT366" s="14">
        <v>0.59583375871025646</v>
      </c>
      <c r="AU366" s="14">
        <v>-0.16297422046531587</v>
      </c>
      <c r="AV366" s="14">
        <v>-0.25628189168532145</v>
      </c>
      <c r="AW366" s="14">
        <v>-7.9156086965970304E-2</v>
      </c>
      <c r="AX366" s="14">
        <v>-4.0510182907552983E-3</v>
      </c>
      <c r="AY366" s="14">
        <v>0.71351728119024838</v>
      </c>
      <c r="AZ366" s="14">
        <v>-0.50698376898962072</v>
      </c>
      <c r="BA366" s="14">
        <v>0.37151031157082154</v>
      </c>
      <c r="BB366" s="14">
        <v>2.1336341870870877E-2</v>
      </c>
      <c r="BC366" s="14">
        <v>0.26528486958596359</v>
      </c>
      <c r="BD366" s="14">
        <v>0.62561979362289977</v>
      </c>
      <c r="BE366" s="14">
        <v>0.66964657629061131</v>
      </c>
      <c r="BF366" s="14">
        <v>-0.47025854222916985</v>
      </c>
      <c r="BK366" s="16">
        <v>0.74220816940788004</v>
      </c>
      <c r="BL366" s="16">
        <v>-0.25002203735550343</v>
      </c>
      <c r="BN366" s="17">
        <f t="shared" si="17"/>
        <v>0</v>
      </c>
    </row>
    <row r="367" spans="1:66" x14ac:dyDescent="0.2">
      <c r="A367">
        <v>1.7741361835147611</v>
      </c>
      <c r="B367">
        <v>0.6842381264215659</v>
      </c>
      <c r="C367">
        <v>1.705568686435849</v>
      </c>
      <c r="D367">
        <v>1.810721603223135</v>
      </c>
      <c r="E367">
        <v>0.15056878065426521</v>
      </c>
      <c r="F367">
        <v>8.1951079185643469E-2</v>
      </c>
      <c r="G367">
        <v>0.70287846097444406</v>
      </c>
      <c r="H367">
        <v>1.6273509798511381</v>
      </c>
      <c r="I367">
        <v>1.560743731483009</v>
      </c>
      <c r="J367">
        <v>0.8878299485554656</v>
      </c>
      <c r="M367" s="13">
        <v>1</v>
      </c>
      <c r="O367" s="10">
        <f t="shared" si="15"/>
        <v>0</v>
      </c>
      <c r="P367" s="10">
        <f t="shared" si="16"/>
        <v>1</v>
      </c>
      <c r="R367" s="14">
        <v>-0.32775163316023803</v>
      </c>
      <c r="S367" s="14">
        <v>-1.1323389045042878</v>
      </c>
      <c r="T367" s="14">
        <v>-0.80035903938091169</v>
      </c>
      <c r="U367" s="14">
        <v>-1.030454405347254</v>
      </c>
      <c r="V367" s="14">
        <v>-0.59849024849106547</v>
      </c>
      <c r="W367" s="14">
        <v>-0.38625521674008895</v>
      </c>
      <c r="X367" s="14">
        <v>1.0654130757337854</v>
      </c>
      <c r="Y367" s="14">
        <v>1.3263365013333601</v>
      </c>
      <c r="Z367" s="14">
        <v>0.38355977642195271</v>
      </c>
      <c r="AA367" s="14">
        <v>-0.2944685822934936</v>
      </c>
      <c r="AB367" s="14">
        <v>0.41053292512795792</v>
      </c>
      <c r="AC367" s="14">
        <v>-0.24090560028635988</v>
      </c>
      <c r="AD367" s="14">
        <v>1.1364155882597591</v>
      </c>
      <c r="AE367" s="14">
        <v>-0.6613287671846757</v>
      </c>
      <c r="AF367" s="14">
        <v>-4.0700036073721413E-2</v>
      </c>
      <c r="AG367" s="14">
        <v>-0.55057896736467593</v>
      </c>
      <c r="AH367" s="14">
        <v>8.4559527378280874E-2</v>
      </c>
      <c r="AI367" s="14">
        <v>0.3399936038993141</v>
      </c>
      <c r="AJ367" s="14">
        <v>1.5664441139731546</v>
      </c>
      <c r="AK367" s="14">
        <v>-1.1857928897226571</v>
      </c>
      <c r="AM367" s="14">
        <v>0.2759509390291161</v>
      </c>
      <c r="AN367" s="14">
        <v>0.68952206251420112</v>
      </c>
      <c r="AO367" s="14">
        <v>0.58537373622812061</v>
      </c>
      <c r="AP367" s="14">
        <v>0.79794378935034516</v>
      </c>
      <c r="AQ367" s="14">
        <v>0.7527223310168083</v>
      </c>
      <c r="AR367" s="14">
        <v>-0.62721078988205559</v>
      </c>
      <c r="AS367" s="14">
        <v>-0.82173245227432024</v>
      </c>
      <c r="AT367" s="14">
        <v>-0.20566693379123455</v>
      </c>
      <c r="AU367" s="14">
        <v>0.6624324397483754</v>
      </c>
      <c r="AV367" s="14">
        <v>0.71431654711896497</v>
      </c>
      <c r="AW367" s="14">
        <v>-0.52198056278298943</v>
      </c>
      <c r="AX367" s="14">
        <v>0.41795078307587763</v>
      </c>
      <c r="AY367" s="14">
        <v>-0.6745503052272378</v>
      </c>
      <c r="AZ367" s="14">
        <v>0.81121833817054401</v>
      </c>
      <c r="BA367" s="14">
        <v>0.60363731624288719</v>
      </c>
      <c r="BB367" s="14">
        <v>0.58023245894253972</v>
      </c>
      <c r="BC367" s="14">
        <v>-0.1835757215341062</v>
      </c>
      <c r="BD367" s="14">
        <v>-0.69468797248768532</v>
      </c>
      <c r="BE367" s="14">
        <v>-0.83214557601828532</v>
      </c>
      <c r="BF367" s="14">
        <v>-0.16927595537132395</v>
      </c>
      <c r="BK367" s="16">
        <v>0.78985821372367504</v>
      </c>
      <c r="BL367" s="16">
        <v>-0.38468062061523139</v>
      </c>
      <c r="BN367" s="17">
        <f t="shared" si="17"/>
        <v>0</v>
      </c>
    </row>
    <row r="368" spans="1:66" x14ac:dyDescent="0.2">
      <c r="A368">
        <v>1.7055114431161831</v>
      </c>
      <c r="B368">
        <v>1.9225093089125509</v>
      </c>
      <c r="C368">
        <v>1.701418518097537</v>
      </c>
      <c r="D368">
        <v>1.6408911497689349</v>
      </c>
      <c r="E368">
        <v>1.150417731137741</v>
      </c>
      <c r="F368">
        <v>0.90157650396862254</v>
      </c>
      <c r="G368">
        <v>1.9463722203061</v>
      </c>
      <c r="H368">
        <v>1.6025057877800839</v>
      </c>
      <c r="I368">
        <v>1.3676809990394021</v>
      </c>
      <c r="J368">
        <v>1.467376250734405</v>
      </c>
      <c r="M368" s="13">
        <v>1</v>
      </c>
      <c r="O368" s="10">
        <f t="shared" si="15"/>
        <v>0</v>
      </c>
      <c r="P368" s="10">
        <f t="shared" si="16"/>
        <v>1</v>
      </c>
      <c r="R368" s="14">
        <v>-0.57818253301000888</v>
      </c>
      <c r="S368" s="14">
        <v>-1.129520968613076</v>
      </c>
      <c r="T368" s="14">
        <v>-0.66703421787472461</v>
      </c>
      <c r="U368" s="14">
        <v>-0.38028308460320992</v>
      </c>
      <c r="V368" s="14">
        <v>-0.43249127553769839</v>
      </c>
      <c r="W368" s="14">
        <v>0.12036956323742748</v>
      </c>
      <c r="X368" s="14">
        <v>1.0645749802380549</v>
      </c>
      <c r="Y368" s="14">
        <v>1.2760454380593034</v>
      </c>
      <c r="Z368" s="14">
        <v>5.885114972674188E-3</v>
      </c>
      <c r="AA368" s="14">
        <v>-0.24891743889204643</v>
      </c>
      <c r="AB368" s="14">
        <v>-0.76728705227862959</v>
      </c>
      <c r="AC368" s="14">
        <v>-0.29937349314430806</v>
      </c>
      <c r="AD368" s="14">
        <v>1.1143829061851995</v>
      </c>
      <c r="AE368" s="14">
        <v>-0.66153452177078798</v>
      </c>
      <c r="AF368" s="14">
        <v>-0.1213349319697149</v>
      </c>
      <c r="AG368" s="14">
        <v>-0.18544596491662169</v>
      </c>
      <c r="AH368" s="14">
        <v>4.5816991362813697E-3</v>
      </c>
      <c r="AI368" s="14">
        <v>0.33586238155557291</v>
      </c>
      <c r="AJ368" s="14">
        <v>1.5502474033085507</v>
      </c>
      <c r="AK368" s="14">
        <v>-0.91485395510748135</v>
      </c>
      <c r="AM368" s="14">
        <v>-0.24999633388151302</v>
      </c>
      <c r="AN368" s="14">
        <v>-0.70204868117157015</v>
      </c>
      <c r="AO368" s="14">
        <v>-0.50872055911903591</v>
      </c>
      <c r="AP368" s="14">
        <v>-0.16361140965170645</v>
      </c>
      <c r="AQ368" s="14">
        <v>-0.78835634935417154</v>
      </c>
      <c r="AR368" s="14">
        <v>0.2659896117089886</v>
      </c>
      <c r="AS368" s="14">
        <v>0.8289482380290818</v>
      </c>
      <c r="AT368" s="14">
        <v>0.38487119445211532</v>
      </c>
      <c r="AU368" s="14">
        <v>-0.73778004808832698</v>
      </c>
      <c r="AV368" s="14">
        <v>-0.59389500853002963</v>
      </c>
      <c r="AW368" s="14">
        <v>0.38077839901488253</v>
      </c>
      <c r="AX368" s="14">
        <v>-0.58919225394454677</v>
      </c>
      <c r="AY368" s="14">
        <v>0.66019253449896143</v>
      </c>
      <c r="AZ368" s="14">
        <v>-0.80184887380561187</v>
      </c>
      <c r="BA368" s="14">
        <v>-8.2112719505601894E-2</v>
      </c>
      <c r="BB368" s="14">
        <v>-0.19554776510752023</v>
      </c>
      <c r="BC368" s="14">
        <v>0.4531914268018184</v>
      </c>
      <c r="BD368" s="14">
        <v>0.62082418311216669</v>
      </c>
      <c r="BE368" s="14">
        <v>0.71658037080079962</v>
      </c>
      <c r="BF368" s="14">
        <v>-8.9814250112897509E-2</v>
      </c>
      <c r="BK368" s="16">
        <v>0.76151587762018835</v>
      </c>
      <c r="BL368" s="16">
        <v>-0.19888558577746868</v>
      </c>
      <c r="BN368" s="17">
        <f t="shared" si="17"/>
        <v>0</v>
      </c>
    </row>
    <row r="369" spans="1:66" x14ac:dyDescent="0.2">
      <c r="A369">
        <v>-0.57912053931980367</v>
      </c>
      <c r="B369">
        <v>-0.2377221995519207</v>
      </c>
      <c r="C369">
        <v>-0.59735972449305708</v>
      </c>
      <c r="D369">
        <v>-0.59165969258831008</v>
      </c>
      <c r="E369">
        <v>-0.61790248519130675</v>
      </c>
      <c r="F369">
        <v>-0.58840358301395823</v>
      </c>
      <c r="G369">
        <v>-0.76886605418109111</v>
      </c>
      <c r="H369">
        <v>-0.4472225580819445</v>
      </c>
      <c r="I369">
        <v>-0.48572123241922133</v>
      </c>
      <c r="J369">
        <v>-0.43314626113973292</v>
      </c>
      <c r="M369" s="13">
        <v>0</v>
      </c>
      <c r="O369" s="10">
        <f t="shared" si="15"/>
        <v>1</v>
      </c>
      <c r="P369" s="10">
        <f t="shared" si="16"/>
        <v>0</v>
      </c>
      <c r="R369" s="14">
        <v>0.13160879758130795</v>
      </c>
      <c r="S369" s="14">
        <v>0.99386793854860866</v>
      </c>
      <c r="T369" s="14">
        <v>0.39720228496627086</v>
      </c>
      <c r="U369" s="14">
        <v>-0.44630948700106815</v>
      </c>
      <c r="V369" s="14">
        <v>1.3569667457701655</v>
      </c>
      <c r="W369" s="14">
        <v>0.38115532860952578</v>
      </c>
      <c r="X369" s="14">
        <v>-1.4654465865947321</v>
      </c>
      <c r="Y369" s="14">
        <v>-0.40988321310045644</v>
      </c>
      <c r="Z369" s="14">
        <v>1.2956290786866909</v>
      </c>
      <c r="AA369" s="14">
        <v>1.084210793300868</v>
      </c>
      <c r="AB369" s="14">
        <v>-0.16759308757742786</v>
      </c>
      <c r="AC369" s="14">
        <v>1.040986595610164</v>
      </c>
      <c r="AD369" s="14">
        <v>-0.80357862183137552</v>
      </c>
      <c r="AE369" s="14">
        <v>1.677449175804683</v>
      </c>
      <c r="AF369" s="14">
        <v>-3.1603868555525216E-2</v>
      </c>
      <c r="AG369" s="14">
        <v>-0.40143839541249804</v>
      </c>
      <c r="AH369" s="14">
        <v>-1.0243558925937559</v>
      </c>
      <c r="AI369" s="14">
        <v>-1.5567751669004961</v>
      </c>
      <c r="AJ369" s="14">
        <v>-0.47405561205739516</v>
      </c>
      <c r="AK369" s="14">
        <v>-0.46224096425459849</v>
      </c>
      <c r="AM369" s="14">
        <v>-0.19600632623155873</v>
      </c>
      <c r="AN369" s="14">
        <v>0.88879067409564294</v>
      </c>
      <c r="AO369" s="14">
        <v>0.6882729452865104</v>
      </c>
      <c r="AP369" s="14">
        <v>0.26381091511917665</v>
      </c>
      <c r="AQ369" s="14">
        <v>0.93419114314695528</v>
      </c>
      <c r="AR369" s="14">
        <v>-0.28567753104148352</v>
      </c>
      <c r="AS369" s="14">
        <v>-0.96144482032140666</v>
      </c>
      <c r="AT369" s="14">
        <v>-0.16541360829523813</v>
      </c>
      <c r="AU369" s="14">
        <v>0.97075598296600607</v>
      </c>
      <c r="AV369" s="14">
        <v>0.61509968645674118</v>
      </c>
      <c r="AW369" s="14">
        <v>-0.63058726022220024</v>
      </c>
      <c r="AX369" s="14">
        <v>0.82967792997066103</v>
      </c>
      <c r="AY369" s="14">
        <v>-0.90292696795974503</v>
      </c>
      <c r="AZ369" s="14">
        <v>0.92204680743549505</v>
      </c>
      <c r="BA369" s="14">
        <v>-5.006842807778504E-2</v>
      </c>
      <c r="BB369" s="14">
        <v>0.31329251395423618</v>
      </c>
      <c r="BC369" s="14">
        <v>-0.49428391118499837</v>
      </c>
      <c r="BD369" s="14">
        <v>-0.85620149950134106</v>
      </c>
      <c r="BE369" s="14">
        <v>-0.88757075941456975</v>
      </c>
      <c r="BF369" s="14">
        <v>0.56010386060327744</v>
      </c>
      <c r="BK369" s="16">
        <v>-0.28144020123312175</v>
      </c>
      <c r="BL369" s="16">
        <v>0.76448013128261549</v>
      </c>
      <c r="BN369" s="17">
        <f t="shared" si="17"/>
        <v>1</v>
      </c>
    </row>
    <row r="370" spans="1:66" x14ac:dyDescent="0.2">
      <c r="A370">
        <v>2.1372754347905691</v>
      </c>
      <c r="B370">
        <v>-0.42652790460500151</v>
      </c>
      <c r="C370">
        <v>2.0002306384559461</v>
      </c>
      <c r="D370">
        <v>2.538977615492839</v>
      </c>
      <c r="E370">
        <v>-0.36013473531759249</v>
      </c>
      <c r="F370">
        <v>0.31515565096249781</v>
      </c>
      <c r="G370">
        <v>0.87668642733529223</v>
      </c>
      <c r="H370">
        <v>2.960709620997751</v>
      </c>
      <c r="I370">
        <v>3.9749134958925119</v>
      </c>
      <c r="J370">
        <v>0.97019441010544405</v>
      </c>
      <c r="M370" s="13">
        <v>1</v>
      </c>
      <c r="O370" s="10">
        <f t="shared" si="15"/>
        <v>0</v>
      </c>
      <c r="P370" s="10">
        <f t="shared" si="16"/>
        <v>1</v>
      </c>
      <c r="R370" s="14">
        <v>0.55717156547057045</v>
      </c>
      <c r="S370" s="14">
        <v>-1.0476617860966697</v>
      </c>
      <c r="T370" s="14">
        <v>-0.75725443640657175</v>
      </c>
      <c r="U370" s="14">
        <v>-1.0665259424096829</v>
      </c>
      <c r="V370" s="14">
        <v>-0.27032987390619612</v>
      </c>
      <c r="W370" s="14">
        <v>-0.41152777905873589</v>
      </c>
      <c r="X370" s="14">
        <v>1.061302408110196</v>
      </c>
      <c r="Y370" s="14">
        <v>1.0082997773154889</v>
      </c>
      <c r="Z370" s="14">
        <v>0.14874210890200978</v>
      </c>
      <c r="AA370" s="14">
        <v>-7.1875958005624851E-2</v>
      </c>
      <c r="AB370" s="14">
        <v>0.60531886749882891</v>
      </c>
      <c r="AC370" s="14">
        <v>-4.3923104209338093E-2</v>
      </c>
      <c r="AD370" s="14">
        <v>1.1274537637036313</v>
      </c>
      <c r="AE370" s="14">
        <v>-0.44317615882965739</v>
      </c>
      <c r="AF370" s="14">
        <v>0.22371924732720627</v>
      </c>
      <c r="AG370" s="14">
        <v>-0.31908247659999633</v>
      </c>
      <c r="AH370" s="14">
        <v>-0.22530657642509105</v>
      </c>
      <c r="AI370" s="14">
        <v>0.3080234816732984</v>
      </c>
      <c r="AJ370" s="14">
        <v>1.5393366015171273</v>
      </c>
      <c r="AK370" s="14">
        <v>-1.2197852055965956</v>
      </c>
      <c r="AM370" s="14">
        <v>0.46426925120642876</v>
      </c>
      <c r="AN370" s="14">
        <v>3.56377950805545E-2</v>
      </c>
      <c r="AO370" s="14">
        <v>0.13399412360046117</v>
      </c>
      <c r="AP370" s="14">
        <v>0.19594822108109491</v>
      </c>
      <c r="AQ370" s="14">
        <v>-2.4118392026827778E-2</v>
      </c>
      <c r="AR370" s="14">
        <v>-0.40444081464620868</v>
      </c>
      <c r="AS370" s="14">
        <v>-2.3549326310847392E-2</v>
      </c>
      <c r="AT370" s="14">
        <v>-2.3866666539122776E-2</v>
      </c>
      <c r="AU370" s="14">
        <v>-2.8400987914695187E-2</v>
      </c>
      <c r="AV370" s="14">
        <v>0.17579439351966955</v>
      </c>
      <c r="AW370" s="14">
        <v>2.3695982698566515E-2</v>
      </c>
      <c r="AX370" s="14">
        <v>0.1458494842131936</v>
      </c>
      <c r="AY370" s="14">
        <v>4.713526258793882E-2</v>
      </c>
      <c r="AZ370" s="14">
        <v>0.18541936016037092</v>
      </c>
      <c r="BA370" s="14">
        <v>0.36907837053330844</v>
      </c>
      <c r="BB370" s="14">
        <v>-4.5278109399129259E-4</v>
      </c>
      <c r="BC370" s="14">
        <v>5.7603684993029237E-2</v>
      </c>
      <c r="BD370" s="14">
        <v>-4.1374048834174657E-2</v>
      </c>
      <c r="BE370" s="14">
        <v>-7.0707765788448743E-2</v>
      </c>
      <c r="BF370" s="14">
        <v>-0.44168852732232072</v>
      </c>
      <c r="BK370" s="16">
        <v>-0.11007843025965115</v>
      </c>
      <c r="BL370" s="16">
        <v>0.95837310303940637</v>
      </c>
      <c r="BN370" s="17">
        <f t="shared" si="17"/>
        <v>1</v>
      </c>
    </row>
    <row r="371" spans="1:66" x14ac:dyDescent="0.2">
      <c r="A371">
        <v>2.2230563602887909</v>
      </c>
      <c r="B371">
        <v>0.71366239214412341</v>
      </c>
      <c r="C371">
        <v>2.2616912437695529</v>
      </c>
      <c r="D371">
        <v>2.354754750728961</v>
      </c>
      <c r="E371">
        <v>1.6800774911522229</v>
      </c>
      <c r="F371">
        <v>1.9020873462010599</v>
      </c>
      <c r="G371">
        <v>2.549588103558456</v>
      </c>
      <c r="H371">
        <v>2.320945925168088</v>
      </c>
      <c r="I371">
        <v>2.352478056274681</v>
      </c>
      <c r="J371">
        <v>1.8866862368070221</v>
      </c>
      <c r="M371" s="13">
        <v>1</v>
      </c>
      <c r="O371" s="10">
        <f t="shared" si="15"/>
        <v>0</v>
      </c>
      <c r="P371" s="10">
        <f t="shared" si="16"/>
        <v>1</v>
      </c>
      <c r="R371" s="14">
        <v>0.22886972245504555</v>
      </c>
      <c r="S371" s="14">
        <v>0.94980696918601948</v>
      </c>
      <c r="T371" s="14">
        <v>0.4351513891888622</v>
      </c>
      <c r="U371" s="14">
        <v>0.39737969195875955</v>
      </c>
      <c r="V371" s="14">
        <v>1.4776981832118277</v>
      </c>
      <c r="W371" s="14">
        <v>-0.82424308561723736</v>
      </c>
      <c r="X371" s="14">
        <v>-1.4656991961436707</v>
      </c>
      <c r="Y371" s="14">
        <v>-2.0740667538835508E-2</v>
      </c>
      <c r="Z371" s="14">
        <v>1.2105140702971757</v>
      </c>
      <c r="AA371" s="14">
        <v>1.2092549708510112</v>
      </c>
      <c r="AB371" s="14">
        <v>-0.28738062510174434</v>
      </c>
      <c r="AC371" s="14">
        <v>1.001143211084466</v>
      </c>
      <c r="AD371" s="14">
        <v>-0.80721162708030958</v>
      </c>
      <c r="AE371" s="14">
        <v>1.6882153830890987</v>
      </c>
      <c r="AF371" s="14">
        <v>0.24667445894215023</v>
      </c>
      <c r="AG371" s="14">
        <v>0.28336346266486756</v>
      </c>
      <c r="AH371" s="14">
        <v>-0.67948130841698529</v>
      </c>
      <c r="AI371" s="14">
        <v>-1.5943403622597201</v>
      </c>
      <c r="AJ371" s="14">
        <v>-0.55673396645256146</v>
      </c>
      <c r="AK371" s="14">
        <v>-0.84326070963186162</v>
      </c>
      <c r="AM371" s="14">
        <v>-0.39130948888828737</v>
      </c>
      <c r="AN371" s="14">
        <v>-0.49244587500551706</v>
      </c>
      <c r="AO371" s="14">
        <v>-0.44747443895014855</v>
      </c>
      <c r="AP371" s="14">
        <v>-0.46612610623795553</v>
      </c>
      <c r="AQ371" s="14">
        <v>-0.8154706667129954</v>
      </c>
      <c r="AR371" s="14">
        <v>0.39629518209436998</v>
      </c>
      <c r="AS371" s="14">
        <v>0.75579695614848696</v>
      </c>
      <c r="AT371" s="14">
        <v>0.11414832653135823</v>
      </c>
      <c r="AU371" s="14">
        <v>-0.81215440495707025</v>
      </c>
      <c r="AV371" s="14">
        <v>-0.61099589700641854</v>
      </c>
      <c r="AW371" s="14">
        <v>0.58339427068357841</v>
      </c>
      <c r="AX371" s="14">
        <v>-0.62861039022122756</v>
      </c>
      <c r="AY371" s="14">
        <v>0.49475211252609003</v>
      </c>
      <c r="AZ371" s="14">
        <v>-0.715190236225419</v>
      </c>
      <c r="BA371" s="14">
        <v>-0.23402575895713312</v>
      </c>
      <c r="BB371" s="14">
        <v>-0.34972885953750915</v>
      </c>
      <c r="BC371" s="14">
        <v>0.28365920908151959</v>
      </c>
      <c r="BD371" s="14">
        <v>0.34914930216758033</v>
      </c>
      <c r="BE371" s="14">
        <v>0.64700443390890972</v>
      </c>
      <c r="BF371" s="14">
        <v>0.12796711448416404</v>
      </c>
      <c r="BK371" s="16">
        <v>-0.96436697719844644</v>
      </c>
      <c r="BL371" s="16">
        <v>0.36839535290194325</v>
      </c>
      <c r="BN371" s="17">
        <f t="shared" si="17"/>
        <v>1</v>
      </c>
    </row>
    <row r="372" spans="1:66" x14ac:dyDescent="0.2">
      <c r="A372">
        <v>0.60465623255566414</v>
      </c>
      <c r="B372">
        <v>1.054493470097088</v>
      </c>
      <c r="C372">
        <v>0.67632693853466141</v>
      </c>
      <c r="D372">
        <v>0.50792053147108585</v>
      </c>
      <c r="E372">
        <v>0.83076341983075663</v>
      </c>
      <c r="F372">
        <v>1.1123408697424939</v>
      </c>
      <c r="G372">
        <v>0.95541121209873525</v>
      </c>
      <c r="H372">
        <v>0.60662767226530012</v>
      </c>
      <c r="I372">
        <v>0.47144482824614592</v>
      </c>
      <c r="J372">
        <v>1.61113967453073</v>
      </c>
      <c r="M372" s="13">
        <v>1</v>
      </c>
      <c r="O372" s="10">
        <f t="shared" si="15"/>
        <v>0</v>
      </c>
      <c r="P372" s="10">
        <f t="shared" si="16"/>
        <v>1</v>
      </c>
      <c r="R372" s="14">
        <v>-0.53094479675487172</v>
      </c>
      <c r="S372" s="14">
        <v>-1.1138631106550556</v>
      </c>
      <c r="T372" s="14">
        <v>-0.78658965539458015</v>
      </c>
      <c r="U372" s="14">
        <v>-0.71604768605447311</v>
      </c>
      <c r="V372" s="14">
        <v>-0.6445658674820729</v>
      </c>
      <c r="W372" s="14">
        <v>0.40727105150559556</v>
      </c>
      <c r="X372" s="14">
        <v>1.0651946996667359</v>
      </c>
      <c r="Y372" s="14">
        <v>0.69958808074561674</v>
      </c>
      <c r="Z372" s="14">
        <v>-0.84569018390055894</v>
      </c>
      <c r="AA372" s="14">
        <v>-0.26801704484779765</v>
      </c>
      <c r="AB372" s="14">
        <v>0.72739959541563026</v>
      </c>
      <c r="AC372" s="14">
        <v>-0.36195255600371667</v>
      </c>
      <c r="AD372" s="14">
        <v>1.1087199684903604</v>
      </c>
      <c r="AE372" s="14">
        <v>-0.66095553614140901</v>
      </c>
      <c r="AF372" s="14">
        <v>-0.16984665197093551</v>
      </c>
      <c r="AG372" s="14">
        <v>-0.43389690299711914</v>
      </c>
      <c r="AH372" s="14">
        <v>-1.40185778849371E-2</v>
      </c>
      <c r="AI372" s="14">
        <v>0.30955209926428873</v>
      </c>
      <c r="AJ372" s="14">
        <v>1.5559149105338839</v>
      </c>
      <c r="AK372" s="14">
        <v>-0.76603016873792851</v>
      </c>
      <c r="AM372" s="14">
        <v>0.35563580635313685</v>
      </c>
      <c r="AN372" s="14">
        <v>-0.48010376347883943</v>
      </c>
      <c r="AO372" s="14">
        <v>-0.34456004834329773</v>
      </c>
      <c r="AP372" s="14">
        <v>-0.21906023698830238</v>
      </c>
      <c r="AQ372" s="14">
        <v>-0.73147251091002841</v>
      </c>
      <c r="AR372" s="14">
        <v>3.7893694447073356E-2</v>
      </c>
      <c r="AS372" s="14">
        <v>0.71541384976481837</v>
      </c>
      <c r="AT372" s="14">
        <v>0.12034895440622302</v>
      </c>
      <c r="AU372" s="14">
        <v>-0.68108803320050504</v>
      </c>
      <c r="AV372" s="14">
        <v>-0.37962590127443091</v>
      </c>
      <c r="AW372" s="14">
        <v>0.51174931623728137</v>
      </c>
      <c r="AX372" s="14">
        <v>-0.28776849717085884</v>
      </c>
      <c r="AY372" s="14">
        <v>0.56004774453132489</v>
      </c>
      <c r="AZ372" s="14">
        <v>-0.55860866796742725</v>
      </c>
      <c r="BA372" s="14">
        <v>0.10495319455937412</v>
      </c>
      <c r="BB372" s="14">
        <v>-0.34026252186245248</v>
      </c>
      <c r="BC372" s="14">
        <v>0.32749902029200378</v>
      </c>
      <c r="BD372" s="14">
        <v>0.4466810674566859</v>
      </c>
      <c r="BE372" s="14">
        <v>0.63879915515156072</v>
      </c>
      <c r="BF372" s="14">
        <v>-0.43605751882910854</v>
      </c>
      <c r="BK372" s="16">
        <v>0.79035020512946597</v>
      </c>
      <c r="BL372" s="16">
        <v>-0.26562528103780947</v>
      </c>
      <c r="BN372" s="17">
        <f t="shared" si="17"/>
        <v>0</v>
      </c>
    </row>
    <row r="373" spans="1:66" x14ac:dyDescent="0.2">
      <c r="A373">
        <v>0.27296998729587069</v>
      </c>
      <c r="B373">
        <v>-1.4171448505977899</v>
      </c>
      <c r="C373">
        <v>0.2052828321363363</v>
      </c>
      <c r="D373">
        <v>0.13774771258616869</v>
      </c>
      <c r="E373">
        <v>-0.66269125788025052</v>
      </c>
      <c r="F373">
        <v>-0.71225864266578043</v>
      </c>
      <c r="G373">
        <v>-0.60783808534677586</v>
      </c>
      <c r="H373">
        <v>-5.1769917617654239E-2</v>
      </c>
      <c r="I373">
        <v>-0.14121938415975799</v>
      </c>
      <c r="J373">
        <v>-0.5306358329016162</v>
      </c>
      <c r="M373" s="13">
        <v>0</v>
      </c>
      <c r="O373" s="10">
        <f t="shared" si="15"/>
        <v>1</v>
      </c>
      <c r="P373" s="10">
        <f t="shared" si="16"/>
        <v>0</v>
      </c>
      <c r="R373" s="14">
        <v>-3.883207902124497E-2</v>
      </c>
      <c r="S373" s="14">
        <v>1.0357597038282218</v>
      </c>
      <c r="T373" s="14">
        <v>0.44993381796225962</v>
      </c>
      <c r="U373" s="14">
        <v>-0.26949419019418447</v>
      </c>
      <c r="V373" s="14">
        <v>1.5051710957805475</v>
      </c>
      <c r="W373" s="14">
        <v>3.7566377742107804E-2</v>
      </c>
      <c r="X373" s="14">
        <v>-1.4659127710274458</v>
      </c>
      <c r="Y373" s="14">
        <v>0.5849224324125466</v>
      </c>
      <c r="Z373" s="14">
        <v>1.7400407714908441</v>
      </c>
      <c r="AA373" s="14">
        <v>1.2143099407470541</v>
      </c>
      <c r="AB373" s="14">
        <v>-0.28838745630984108</v>
      </c>
      <c r="AC373" s="14">
        <v>1.065199810602292</v>
      </c>
      <c r="AD373" s="14">
        <v>-0.81583387530060547</v>
      </c>
      <c r="AE373" s="14">
        <v>1.6894092883813916</v>
      </c>
      <c r="AF373" s="14">
        <v>0.24728874098471887</v>
      </c>
      <c r="AG373" s="14">
        <v>0.28638913973284408</v>
      </c>
      <c r="AH373" s="14">
        <v>-1.2494033472972761</v>
      </c>
      <c r="AI373" s="14">
        <v>-1.6035628768854568</v>
      </c>
      <c r="AJ373" s="14">
        <v>-0.55690505884630137</v>
      </c>
      <c r="AK373" s="14">
        <v>8.6213346964968962E-2</v>
      </c>
      <c r="AM373" s="14">
        <v>0.38831926757254492</v>
      </c>
      <c r="AN373" s="14">
        <v>0.84126904338314945</v>
      </c>
      <c r="AO373" s="14">
        <v>0.68050041090576752</v>
      </c>
      <c r="AP373" s="14">
        <v>0.43350021654993354</v>
      </c>
      <c r="AQ373" s="14">
        <v>0.80035118521818993</v>
      </c>
      <c r="AR373" s="14">
        <v>-6.7664371057963607E-2</v>
      </c>
      <c r="AS373" s="14">
        <v>-0.93257428733249148</v>
      </c>
      <c r="AT373" s="14">
        <v>-0.73685658464385639</v>
      </c>
      <c r="AU373" s="14">
        <v>0.73252983860006715</v>
      </c>
      <c r="AV373" s="14">
        <v>0.70176140048244529</v>
      </c>
      <c r="AW373" s="14">
        <v>-0.25194287879958849</v>
      </c>
      <c r="AX373" s="14">
        <v>0.64324786626138231</v>
      </c>
      <c r="AY373" s="14">
        <v>-0.84514716783230925</v>
      </c>
      <c r="AZ373" s="14">
        <v>0.88859931019191674</v>
      </c>
      <c r="BA373" s="14">
        <v>-8.1937454820362673E-2</v>
      </c>
      <c r="BB373" s="14">
        <v>6.2852196195502724E-2</v>
      </c>
      <c r="BC373" s="14">
        <v>-0.51510947426668674</v>
      </c>
      <c r="BD373" s="14">
        <v>-0.79051227348748598</v>
      </c>
      <c r="BE373" s="14">
        <v>-0.85815253531224123</v>
      </c>
      <c r="BF373" s="14">
        <v>3.2021741370326373E-2</v>
      </c>
      <c r="BK373" s="16">
        <v>0.58977987051900882</v>
      </c>
      <c r="BL373" s="16">
        <v>-0.24439657859661745</v>
      </c>
      <c r="BN373" s="17">
        <f t="shared" si="17"/>
        <v>0</v>
      </c>
    </row>
    <row r="374" spans="1:66" x14ac:dyDescent="0.2">
      <c r="A374">
        <v>2.0400570525592499</v>
      </c>
      <c r="B374">
        <v>-0.95371266546750033</v>
      </c>
      <c r="C374">
        <v>2.0168313118091921</v>
      </c>
      <c r="D374">
        <v>2.0784204535831452</v>
      </c>
      <c r="E374">
        <v>0.86421561520009216</v>
      </c>
      <c r="F374">
        <v>1.262355506558015</v>
      </c>
      <c r="G374">
        <v>1.9208122252530351</v>
      </c>
      <c r="H374">
        <v>1.291940886891898</v>
      </c>
      <c r="I374">
        <v>1.126795387917104</v>
      </c>
      <c r="J374">
        <v>1.1888346171290229</v>
      </c>
      <c r="M374" s="13">
        <v>1</v>
      </c>
      <c r="O374" s="10">
        <f t="shared" si="15"/>
        <v>0</v>
      </c>
      <c r="P374" s="10">
        <f t="shared" si="16"/>
        <v>1</v>
      </c>
      <c r="R374" s="14">
        <v>0.82870332776073319</v>
      </c>
      <c r="S374" s="14">
        <v>-0.23716585646561797</v>
      </c>
      <c r="T374" s="14">
        <v>0.30888821649036802</v>
      </c>
      <c r="U374" s="14">
        <v>-0.40493786548813171</v>
      </c>
      <c r="V374" s="14">
        <v>1.3240583026968344E-2</v>
      </c>
      <c r="W374" s="14">
        <v>-0.13130051342424448</v>
      </c>
      <c r="X374" s="14">
        <v>0.40327173394465821</v>
      </c>
      <c r="Y374" s="14">
        <v>0.2167900076874037</v>
      </c>
      <c r="Z374" s="14">
        <v>-0.43537210460800257</v>
      </c>
      <c r="AA374" s="14">
        <v>1.059851568810618</v>
      </c>
      <c r="AB374" s="14">
        <v>-6.5389506716830859E-3</v>
      </c>
      <c r="AC374" s="14">
        <v>0.67712823487797902</v>
      </c>
      <c r="AD374" s="14">
        <v>0.60926185332419769</v>
      </c>
      <c r="AE374" s="14">
        <v>0.86230141513129155</v>
      </c>
      <c r="AF374" s="14">
        <v>1.1817445801185835</v>
      </c>
      <c r="AG374" s="14">
        <v>0.308991918830825</v>
      </c>
      <c r="AH374" s="14">
        <v>-0.54143558632100208</v>
      </c>
      <c r="AI374" s="14">
        <v>-0.60684587618179686</v>
      </c>
      <c r="AJ374" s="14">
        <v>0.53429460835149656</v>
      </c>
      <c r="AK374" s="14">
        <v>-1.2048807181131127</v>
      </c>
      <c r="AM374" s="14">
        <v>0.21900056774916024</v>
      </c>
      <c r="AN374" s="14">
        <v>-0.5304514939318965</v>
      </c>
      <c r="AO374" s="14">
        <v>-0.33405714810796011</v>
      </c>
      <c r="AP374" s="14">
        <v>-0.26331260916403354</v>
      </c>
      <c r="AQ374" s="14">
        <v>-0.57040257772141434</v>
      </c>
      <c r="AR374" s="14">
        <v>-0.12060498614520412</v>
      </c>
      <c r="AS374" s="14">
        <v>0.62525148373719708</v>
      </c>
      <c r="AT374" s="14">
        <v>0.40283495406603637</v>
      </c>
      <c r="AU374" s="14">
        <v>-0.25649241495947694</v>
      </c>
      <c r="AV374" s="14">
        <v>-0.43667641205286994</v>
      </c>
      <c r="AW374" s="14">
        <v>0.25535328528228263</v>
      </c>
      <c r="AX374" s="14">
        <v>-0.11305545830357927</v>
      </c>
      <c r="AY374" s="14">
        <v>0.5304219510276601</v>
      </c>
      <c r="AZ374" s="14">
        <v>-0.53428543005359985</v>
      </c>
      <c r="BA374" s="14">
        <v>9.5436933893636208E-2</v>
      </c>
      <c r="BB374" s="14">
        <v>-0.35888158706974943</v>
      </c>
      <c r="BC374" s="14">
        <v>0.31267810380406441</v>
      </c>
      <c r="BD374" s="14">
        <v>0.50965296806882943</v>
      </c>
      <c r="BE374" s="14">
        <v>0.6183880282364429</v>
      </c>
      <c r="BF374" s="14">
        <v>-0.37204296494147915</v>
      </c>
      <c r="BK374" s="16">
        <v>0.2112059115275364</v>
      </c>
      <c r="BL374" s="16">
        <v>-0.16605383891451697</v>
      </c>
      <c r="BN374" s="17">
        <f t="shared" si="17"/>
        <v>0</v>
      </c>
    </row>
    <row r="375" spans="1:66" x14ac:dyDescent="0.2">
      <c r="A375">
        <v>1.831323467180243</v>
      </c>
      <c r="B375">
        <v>-0.40200768316953611</v>
      </c>
      <c r="C375">
        <v>1.7470703698189609</v>
      </c>
      <c r="D375">
        <v>1.931617858224429</v>
      </c>
      <c r="E375">
        <v>4.8353739247961713E-2</v>
      </c>
      <c r="F375">
        <v>0.76024039986143821</v>
      </c>
      <c r="G375">
        <v>0.99835200378788602</v>
      </c>
      <c r="H375">
        <v>1.846816843145457</v>
      </c>
      <c r="I375">
        <v>1.85476587447052</v>
      </c>
      <c r="J375">
        <v>1.4074748241526021</v>
      </c>
      <c r="M375" s="13">
        <v>1</v>
      </c>
      <c r="O375" s="10">
        <f t="shared" si="15"/>
        <v>0</v>
      </c>
      <c r="P375" s="10">
        <f t="shared" si="16"/>
        <v>1</v>
      </c>
      <c r="R375" s="14">
        <v>-0.65711509893576359</v>
      </c>
      <c r="S375" s="14">
        <v>-1.021148335097859</v>
      </c>
      <c r="T375" s="14">
        <v>-0.75909715715257164</v>
      </c>
      <c r="U375" s="14">
        <v>-1.3090852600444278</v>
      </c>
      <c r="V375" s="14">
        <v>-0.66072098603319684</v>
      </c>
      <c r="W375" s="14">
        <v>0.64840751716776901</v>
      </c>
      <c r="X375" s="14">
        <v>1.0643681576830231</v>
      </c>
      <c r="Y375" s="14">
        <v>9.0114758380198445E-2</v>
      </c>
      <c r="Z375" s="14">
        <v>-1.1134304830042647</v>
      </c>
      <c r="AA375" s="14">
        <v>-0.28395436581613309</v>
      </c>
      <c r="AB375" s="14">
        <v>0.78430320659554487</v>
      </c>
      <c r="AC375" s="14">
        <v>-0.36542575688951984</v>
      </c>
      <c r="AD375" s="14">
        <v>1.058861101829994</v>
      </c>
      <c r="AE375" s="14">
        <v>-0.65631735229668964</v>
      </c>
      <c r="AF375" s="14">
        <v>-0.28821480836744162</v>
      </c>
      <c r="AG375" s="14">
        <v>-0.56870519633186034</v>
      </c>
      <c r="AH375" s="14">
        <v>-0.17713901071338911</v>
      </c>
      <c r="AI375" s="14">
        <v>9.5852148565246931E-2</v>
      </c>
      <c r="AJ375" s="14">
        <v>1.5446068219263109</v>
      </c>
      <c r="AK375" s="14">
        <v>-0.44389717493156416</v>
      </c>
      <c r="AM375" s="14">
        <v>5.0038456801644975E-2</v>
      </c>
      <c r="AN375" s="14">
        <v>-0.73945203265098258</v>
      </c>
      <c r="AO375" s="14">
        <v>-0.62911641110254712</v>
      </c>
      <c r="AP375" s="14">
        <v>-0.60451190903376628</v>
      </c>
      <c r="AQ375" s="14">
        <v>-0.77105203556792801</v>
      </c>
      <c r="AR375" s="14">
        <v>2.0001978150042399E-2</v>
      </c>
      <c r="AS375" s="14">
        <v>0.88775555261162198</v>
      </c>
      <c r="AT375" s="14">
        <v>0.53034787205248834</v>
      </c>
      <c r="AU375" s="14">
        <v>-0.64506026703366792</v>
      </c>
      <c r="AV375" s="14">
        <v>-0.62324519997376482</v>
      </c>
      <c r="AW375" s="14">
        <v>0.46909456664700111</v>
      </c>
      <c r="AX375" s="14">
        <v>-0.44123193435166264</v>
      </c>
      <c r="AY375" s="14">
        <v>0.7916443813450863</v>
      </c>
      <c r="AZ375" s="14">
        <v>-0.79606431000321864</v>
      </c>
      <c r="BA375" s="14">
        <v>2.9147455790103274E-2</v>
      </c>
      <c r="BB375" s="14">
        <v>-0.25682856238012614</v>
      </c>
      <c r="BC375" s="14">
        <v>0.38947600121468645</v>
      </c>
      <c r="BD375" s="14">
        <v>0.71203852282397184</v>
      </c>
      <c r="BE375" s="14">
        <v>0.8301379214426069</v>
      </c>
      <c r="BF375" s="14">
        <v>-0.16609095163698218</v>
      </c>
      <c r="BK375" s="16">
        <v>0.60319980946164209</v>
      </c>
      <c r="BL375" s="16">
        <v>-0.31448278083152276</v>
      </c>
      <c r="BN375" s="17">
        <f t="shared" si="17"/>
        <v>0</v>
      </c>
    </row>
    <row r="376" spans="1:66" x14ac:dyDescent="0.2">
      <c r="A376">
        <v>-0.15593464019524081</v>
      </c>
      <c r="B376">
        <v>-0.71586651754348918</v>
      </c>
      <c r="C376">
        <v>-0.2018486818519962</v>
      </c>
      <c r="D376">
        <v>-0.2442268835726841</v>
      </c>
      <c r="E376">
        <v>-0.76676475458485016</v>
      </c>
      <c r="F376">
        <v>-0.81602909804973955</v>
      </c>
      <c r="G376">
        <v>-0.7678436543789684</v>
      </c>
      <c r="H376">
        <v>-0.33334876108960948</v>
      </c>
      <c r="I376">
        <v>-0.4042452168925616</v>
      </c>
      <c r="J376">
        <v>-0.70899233054893307</v>
      </c>
      <c r="M376" s="13">
        <v>0</v>
      </c>
      <c r="O376" s="10">
        <f t="shared" si="15"/>
        <v>1</v>
      </c>
      <c r="P376" s="10">
        <f t="shared" si="16"/>
        <v>0</v>
      </c>
      <c r="R376" s="14">
        <v>0.43993229104746889</v>
      </c>
      <c r="S376" s="14">
        <v>-0.98779548661218797</v>
      </c>
      <c r="T376" s="14">
        <v>-0.68217548453777899</v>
      </c>
      <c r="U376" s="14">
        <v>-0.84719624374551949</v>
      </c>
      <c r="V376" s="14">
        <v>-0.63492717815326205</v>
      </c>
      <c r="W376" s="14">
        <v>8.37917533848338E-2</v>
      </c>
      <c r="X376" s="14">
        <v>1.0620382003871482</v>
      </c>
      <c r="Y376" s="14">
        <v>0.18259574489287908</v>
      </c>
      <c r="Z376" s="14">
        <v>-0.87632557097336294</v>
      </c>
      <c r="AA376" s="14">
        <v>-0.16056251410774092</v>
      </c>
      <c r="AB376" s="14">
        <v>0.76529860642340319</v>
      </c>
      <c r="AC376" s="14">
        <v>-0.14224816749797997</v>
      </c>
      <c r="AD376" s="14">
        <v>1.0842072013313613</v>
      </c>
      <c r="AE376" s="14">
        <v>-0.59486684319986871</v>
      </c>
      <c r="AF376" s="14">
        <v>0.10598497883368757</v>
      </c>
      <c r="AG376" s="14">
        <v>-0.52668228269603667</v>
      </c>
      <c r="AH376" s="14">
        <v>-0.14119284224513196</v>
      </c>
      <c r="AI376" s="14">
        <v>0.22134524953155998</v>
      </c>
      <c r="AJ376" s="14">
        <v>1.5492652205351449</v>
      </c>
      <c r="AK376" s="14">
        <v>-1.210029063468725</v>
      </c>
      <c r="AM376" s="14">
        <v>-0.2669712692750531</v>
      </c>
      <c r="AN376" s="14">
        <v>-0.67142860316632613</v>
      </c>
      <c r="AO376" s="14">
        <v>-0.30140391792297866</v>
      </c>
      <c r="AP376" s="14">
        <v>0.18158149437092197</v>
      </c>
      <c r="AQ376" s="14">
        <v>-0.42710277437392524</v>
      </c>
      <c r="AR376" s="14">
        <v>-5.6997625494083812E-2</v>
      </c>
      <c r="AS376" s="14">
        <v>0.6846233343238185</v>
      </c>
      <c r="AT376" s="14">
        <v>0.6311454049639138</v>
      </c>
      <c r="AU376" s="14">
        <v>-0.25674674726880375</v>
      </c>
      <c r="AV376" s="14">
        <v>-0.41538754436542652</v>
      </c>
      <c r="AW376" s="14">
        <v>-0.3473253974149052</v>
      </c>
      <c r="AX376" s="14">
        <v>-0.37484523298400946</v>
      </c>
      <c r="AY376" s="14">
        <v>0.55990275528756561</v>
      </c>
      <c r="AZ376" s="14">
        <v>-0.68906706439354726</v>
      </c>
      <c r="BA376" s="14">
        <v>0.10497795155518201</v>
      </c>
      <c r="BB376" s="14">
        <v>9.7317020783568034E-2</v>
      </c>
      <c r="BC376" s="14">
        <v>0.40627770261317381</v>
      </c>
      <c r="BD376" s="14">
        <v>0.60324868101924234</v>
      </c>
      <c r="BE376" s="14">
        <v>0.53119277286665278</v>
      </c>
      <c r="BF376" s="14">
        <v>-0.16664597029587278</v>
      </c>
      <c r="BK376" s="16">
        <v>0.53819663184879418</v>
      </c>
      <c r="BL376" s="16">
        <v>-0.42841560130450856</v>
      </c>
      <c r="BN376" s="17">
        <f t="shared" si="17"/>
        <v>0</v>
      </c>
    </row>
    <row r="377" spans="1:66" x14ac:dyDescent="0.2">
      <c r="A377">
        <v>0.55318767725673079</v>
      </c>
      <c r="B377">
        <v>-0.71586651754348918</v>
      </c>
      <c r="C377">
        <v>0.56427239340025792</v>
      </c>
      <c r="D377">
        <v>0.3585273020766287</v>
      </c>
      <c r="E377">
        <v>0.72111455723126772</v>
      </c>
      <c r="F377">
        <v>-0.30833493461209022</v>
      </c>
      <c r="G377">
        <v>9.2505779107229971E-2</v>
      </c>
      <c r="H377">
        <v>0.1076533981716145</v>
      </c>
      <c r="I377">
        <v>-6.6119752456923947E-2</v>
      </c>
      <c r="J377">
        <v>0.1180966169793041</v>
      </c>
      <c r="M377" s="13">
        <v>0</v>
      </c>
      <c r="O377" s="10">
        <f t="shared" si="15"/>
        <v>1</v>
      </c>
      <c r="P377" s="10">
        <f t="shared" si="16"/>
        <v>0</v>
      </c>
      <c r="R377" s="14">
        <v>0.42640041740161483</v>
      </c>
      <c r="S377" s="14">
        <v>1.0343444114268632</v>
      </c>
      <c r="T377" s="14">
        <v>0.44353581360030936</v>
      </c>
      <c r="U377" s="14">
        <v>-0.12724360917816346</v>
      </c>
      <c r="V377" s="14">
        <v>1.4906473904509614</v>
      </c>
      <c r="W377" s="14">
        <v>0.36104561927008177</v>
      </c>
      <c r="X377" s="14">
        <v>-1.4659085154969489</v>
      </c>
      <c r="Y377" s="14">
        <v>-0.92727853143812755</v>
      </c>
      <c r="Z377" s="14">
        <v>1.1694018270792175</v>
      </c>
      <c r="AA377" s="14">
        <v>1.2125672587402856</v>
      </c>
      <c r="AB377" s="14">
        <v>-0.27684843107669022</v>
      </c>
      <c r="AC377" s="14">
        <v>1.0607384592252582</v>
      </c>
      <c r="AD377" s="14">
        <v>-0.81351531711644431</v>
      </c>
      <c r="AE377" s="14">
        <v>1.689311205688643</v>
      </c>
      <c r="AF377" s="14">
        <v>0.1010127335428237</v>
      </c>
      <c r="AG377" s="14">
        <v>0.13469914461469457</v>
      </c>
      <c r="AH377" s="14">
        <v>-1.2087576881266342</v>
      </c>
      <c r="AI377" s="14">
        <v>-1.5984583518386786</v>
      </c>
      <c r="AJ377" s="14">
        <v>-0.55467555781248268</v>
      </c>
      <c r="AK377" s="14">
        <v>-0.588483210114501</v>
      </c>
      <c r="AM377" s="14">
        <v>0.617026461718296</v>
      </c>
      <c r="AN377" s="14">
        <v>-0.13920767992607441</v>
      </c>
      <c r="AO377" s="14">
        <v>0.18085085039582091</v>
      </c>
      <c r="AP377" s="14">
        <v>0.29960002797887852</v>
      </c>
      <c r="AQ377" s="14">
        <v>-1.6628273920718634E-3</v>
      </c>
      <c r="AR377" s="14">
        <v>-0.6898455883051785</v>
      </c>
      <c r="AS377" s="14">
        <v>-5.6341222215292107E-2</v>
      </c>
      <c r="AT377" s="14">
        <v>0.37559169643112761</v>
      </c>
      <c r="AU377" s="14">
        <v>0.45682809232074778</v>
      </c>
      <c r="AV377" s="14">
        <v>5.4324423993398652E-2</v>
      </c>
      <c r="AW377" s="14">
        <v>-0.25001772335209249</v>
      </c>
      <c r="AX377" s="14">
        <v>0.36877177082214652</v>
      </c>
      <c r="AY377" s="14">
        <v>0.11184059944190466</v>
      </c>
      <c r="AZ377" s="14">
        <v>0.16830487369779762</v>
      </c>
      <c r="BA377" s="14">
        <v>0.54420709738731177</v>
      </c>
      <c r="BB377" s="14">
        <v>-0.18367740211488157</v>
      </c>
      <c r="BC377" s="14">
        <v>0.20254462070499729</v>
      </c>
      <c r="BD377" s="14">
        <v>0.12288480007426975</v>
      </c>
      <c r="BE377" s="14">
        <v>2.936064853978293E-2</v>
      </c>
      <c r="BF377" s="14">
        <v>-0.68764241703933549</v>
      </c>
      <c r="BK377" s="16">
        <v>0.75589655453401572</v>
      </c>
      <c r="BL377" s="16">
        <v>-4.115739709082783E-2</v>
      </c>
      <c r="BN377" s="17">
        <f t="shared" si="17"/>
        <v>0</v>
      </c>
    </row>
    <row r="378" spans="1:66" x14ac:dyDescent="0.2">
      <c r="A378">
        <v>-1.048056265376752</v>
      </c>
      <c r="B378">
        <v>0.30172267202831038</v>
      </c>
      <c r="C378">
        <v>-0.93601346089925397</v>
      </c>
      <c r="D378">
        <v>-0.93736541224677461</v>
      </c>
      <c r="E378">
        <v>1.133691633453074</v>
      </c>
      <c r="F378">
        <v>1.693802561200999</v>
      </c>
      <c r="G378">
        <v>0.23155215219590861</v>
      </c>
      <c r="H378">
        <v>-1.1594513974521841</v>
      </c>
      <c r="I378">
        <v>-0.96873230707400604</v>
      </c>
      <c r="J378">
        <v>0.43856924919194729</v>
      </c>
      <c r="M378" s="13">
        <v>0</v>
      </c>
      <c r="O378" s="10">
        <f t="shared" si="15"/>
        <v>1</v>
      </c>
      <c r="P378" s="10">
        <f t="shared" si="16"/>
        <v>0</v>
      </c>
      <c r="R378" s="14">
        <v>0.28100969585228958</v>
      </c>
      <c r="S378" s="14">
        <v>-1.082338168921231</v>
      </c>
      <c r="T378" s="14">
        <v>-0.68764926547573346</v>
      </c>
      <c r="U378" s="14">
        <v>-0.94665390096892343</v>
      </c>
      <c r="V378" s="14">
        <v>-0.58052154982742732</v>
      </c>
      <c r="W378" s="14">
        <v>-2.3697303119017799E-2</v>
      </c>
      <c r="X378" s="14">
        <v>1.0617665752404428</v>
      </c>
      <c r="Y378" s="14">
        <v>0.9317899564474631</v>
      </c>
      <c r="Z378" s="14">
        <v>-0.1867996697887539</v>
      </c>
      <c r="AA378" s="14">
        <v>-0.226895739874586</v>
      </c>
      <c r="AB378" s="14">
        <v>0.67585371731800137</v>
      </c>
      <c r="AC378" s="14">
        <v>1.2940399885290388E-2</v>
      </c>
      <c r="AD378" s="14">
        <v>1.0954680737692928</v>
      </c>
      <c r="AE378" s="14">
        <v>-0.63298567385118676</v>
      </c>
      <c r="AF378" s="14">
        <v>8.8109534707396575E-2</v>
      </c>
      <c r="AG378" s="14">
        <v>-0.5299291571668282</v>
      </c>
      <c r="AH378" s="14">
        <v>-0.16366988287971607</v>
      </c>
      <c r="AI378" s="14">
        <v>0.29969017167153367</v>
      </c>
      <c r="AJ378" s="14">
        <v>1.5583263078905909</v>
      </c>
      <c r="AK378" s="14">
        <v>-1.1469490215419493</v>
      </c>
      <c r="AM378" s="14">
        <v>0.10764597164845924</v>
      </c>
      <c r="AN378" s="14">
        <v>-0.65140915259481036</v>
      </c>
      <c r="AO378" s="14">
        <v>-0.36554812606454801</v>
      </c>
      <c r="AP378" s="14">
        <v>-0.17300186169249437</v>
      </c>
      <c r="AQ378" s="14">
        <v>-0.62645357067539553</v>
      </c>
      <c r="AR378" s="14">
        <v>-4.4865058230097732E-2</v>
      </c>
      <c r="AS378" s="14">
        <v>0.7408068748921075</v>
      </c>
      <c r="AT378" s="14">
        <v>0.5442805191937824</v>
      </c>
      <c r="AU378" s="14">
        <v>-0.35835760089962904</v>
      </c>
      <c r="AV378" s="14">
        <v>-0.50476494460950838</v>
      </c>
      <c r="AW378" s="14">
        <v>7.1131101603348817E-2</v>
      </c>
      <c r="AX378" s="14">
        <v>-0.21910999946177798</v>
      </c>
      <c r="AY378" s="14">
        <v>0.61923088985974784</v>
      </c>
      <c r="AZ378" s="14">
        <v>-0.67606461403072438</v>
      </c>
      <c r="BA378" s="14">
        <v>7.1184108520794542E-2</v>
      </c>
      <c r="BB378" s="14">
        <v>-0.28434715348107714</v>
      </c>
      <c r="BC378" s="14">
        <v>0.40504279017180395</v>
      </c>
      <c r="BD378" s="14">
        <v>0.61894101524466827</v>
      </c>
      <c r="BE378" s="14">
        <v>0.69319815593197753</v>
      </c>
      <c r="BF378" s="14">
        <v>-0.3820553637103542</v>
      </c>
      <c r="BK378" s="16">
        <v>0.56900066897893242</v>
      </c>
      <c r="BL378" s="16">
        <v>-0.45058657009491682</v>
      </c>
      <c r="BN378" s="17">
        <f t="shared" si="17"/>
        <v>0</v>
      </c>
    </row>
    <row r="379" spans="1:66" x14ac:dyDescent="0.2">
      <c r="A379">
        <v>-0.2217000164105441</v>
      </c>
      <c r="B379">
        <v>2.2608883647219691</v>
      </c>
      <c r="C379">
        <v>-0.28277696444906542</v>
      </c>
      <c r="D379">
        <v>-0.29316108202558921</v>
      </c>
      <c r="E379">
        <v>-1.0730381877441011</v>
      </c>
      <c r="F379">
        <v>-0.97534216276704822</v>
      </c>
      <c r="G379">
        <v>-1.001462009163991</v>
      </c>
      <c r="H379">
        <v>-0.36440525117842809</v>
      </c>
      <c r="I379">
        <v>-0.3865330396041573</v>
      </c>
      <c r="J379">
        <v>-0.88959513169306748</v>
      </c>
      <c r="M379" s="13">
        <v>0</v>
      </c>
      <c r="O379" s="10">
        <f t="shared" si="15"/>
        <v>1</v>
      </c>
      <c r="P379" s="10">
        <f t="shared" si="16"/>
        <v>0</v>
      </c>
      <c r="R379" s="14">
        <v>-0.2584778272275734</v>
      </c>
      <c r="S379" s="14">
        <v>-1.0970682185514256</v>
      </c>
      <c r="T379" s="14">
        <v>-0.83137109658334629</v>
      </c>
      <c r="U379" s="14">
        <v>-1.345819825641724</v>
      </c>
      <c r="V379" s="14">
        <v>-0.62533223621618206</v>
      </c>
      <c r="W379" s="14">
        <v>-0.13458078843323801</v>
      </c>
      <c r="X379" s="14">
        <v>1.065288770781605</v>
      </c>
      <c r="Y379" s="14">
        <v>0.80893903591793959</v>
      </c>
      <c r="Z379" s="14">
        <v>-0.41310022039502525</v>
      </c>
      <c r="AA379" s="14">
        <v>-0.27972095807076647</v>
      </c>
      <c r="AB379" s="14">
        <v>0.78012030926492426</v>
      </c>
      <c r="AC379" s="14">
        <v>-0.32840986348124479</v>
      </c>
      <c r="AD379" s="14">
        <v>1.1314726368325254</v>
      </c>
      <c r="AE379" s="14">
        <v>-0.65320671154076537</v>
      </c>
      <c r="AF379" s="14">
        <v>-0.23698045361565789</v>
      </c>
      <c r="AG379" s="14">
        <v>-0.55755489704162664</v>
      </c>
      <c r="AH379" s="14">
        <v>-9.5724633287238903E-2</v>
      </c>
      <c r="AI379" s="14">
        <v>0.31998073354439127</v>
      </c>
      <c r="AJ379" s="14">
        <v>1.5646331784194278</v>
      </c>
      <c r="AK379" s="14">
        <v>-0.84485907225056966</v>
      </c>
      <c r="AM379" s="14">
        <v>0.40197902382414019</v>
      </c>
      <c r="AN379" s="14">
        <v>-0.62733601458190869</v>
      </c>
      <c r="AO379" s="14">
        <v>-0.59834842397963894</v>
      </c>
      <c r="AP379" s="14">
        <v>-0.38688563101211459</v>
      </c>
      <c r="AQ379" s="14">
        <v>-0.46978272680229022</v>
      </c>
      <c r="AR379" s="14">
        <v>-0.34246737210793149</v>
      </c>
      <c r="AS379" s="14">
        <v>0.82196369288990712</v>
      </c>
      <c r="AT379" s="14">
        <v>0.49764171655859912</v>
      </c>
      <c r="AU379" s="14">
        <v>-0.40755324696786527</v>
      </c>
      <c r="AV379" s="14">
        <v>-0.22774797436800368</v>
      </c>
      <c r="AW379" s="14">
        <v>0.22648471090732131</v>
      </c>
      <c r="AX379" s="14">
        <v>-0.28706407224767272</v>
      </c>
      <c r="AY379" s="14">
        <v>0.78056249841939829</v>
      </c>
      <c r="AZ379" s="14">
        <v>-0.58701105014716493</v>
      </c>
      <c r="BA379" s="14">
        <v>0.36892771816235215</v>
      </c>
      <c r="BB379" s="14">
        <v>0.17841837410090367</v>
      </c>
      <c r="BC379" s="14">
        <v>0.23744280944398113</v>
      </c>
      <c r="BD379" s="14">
        <v>0.66155997550206114</v>
      </c>
      <c r="BE379" s="14">
        <v>0.70931458346143761</v>
      </c>
      <c r="BF379" s="14">
        <v>-0.26840701538572609</v>
      </c>
      <c r="BK379" s="16">
        <v>0.64935736594719928</v>
      </c>
      <c r="BL379" s="16">
        <v>-0.19549253790639654</v>
      </c>
      <c r="BN379" s="17">
        <f t="shared" si="17"/>
        <v>0</v>
      </c>
    </row>
    <row r="380" spans="1:66" x14ac:dyDescent="0.2">
      <c r="A380">
        <v>-0.16451273274506281</v>
      </c>
      <c r="B380">
        <v>-0.94145255474976763</v>
      </c>
      <c r="C380">
        <v>-0.18400295799725819</v>
      </c>
      <c r="D380">
        <v>-0.2399091601797807</v>
      </c>
      <c r="E380">
        <v>-0.54858210256484985</v>
      </c>
      <c r="F380">
        <v>-0.60613258554670157</v>
      </c>
      <c r="G380">
        <v>-0.65537967614547854</v>
      </c>
      <c r="H380">
        <v>-0.39546174126724681</v>
      </c>
      <c r="I380">
        <v>-0.42833377800479139</v>
      </c>
      <c r="J380">
        <v>-0.1769179089360729</v>
      </c>
      <c r="M380" s="13">
        <v>0</v>
      </c>
      <c r="O380" s="10">
        <f t="shared" si="15"/>
        <v>1</v>
      </c>
      <c r="P380" s="10">
        <f t="shared" si="16"/>
        <v>0</v>
      </c>
      <c r="R380" s="14">
        <v>-0.5183698167837536</v>
      </c>
      <c r="S380" s="14">
        <v>-1.1265275641548786</v>
      </c>
      <c r="T380" s="14">
        <v>-0.6707691894551262</v>
      </c>
      <c r="U380" s="14">
        <v>-0.30703812473478131</v>
      </c>
      <c r="V380" s="14">
        <v>-0.4765585368556482</v>
      </c>
      <c r="W380" s="14">
        <v>7.9460976722494914E-2</v>
      </c>
      <c r="X380" s="14">
        <v>1.0644456221409302</v>
      </c>
      <c r="Y380" s="14">
        <v>1.2068361452310381</v>
      </c>
      <c r="Z380" s="14">
        <v>-0.19349090860733398</v>
      </c>
      <c r="AA380" s="14">
        <v>-0.22032027892429384</v>
      </c>
      <c r="AB380" s="14">
        <v>-0.49054178736872944</v>
      </c>
      <c r="AC380" s="14">
        <v>-0.32636258092392612</v>
      </c>
      <c r="AD380" s="14">
        <v>1.1071776515032969</v>
      </c>
      <c r="AE380" s="14">
        <v>-0.66083504643584545</v>
      </c>
      <c r="AF380" s="14">
        <v>6.7167382156243516E-2</v>
      </c>
      <c r="AG380" s="14">
        <v>-1.3843742580421092E-3</v>
      </c>
      <c r="AH380" s="14">
        <v>-3.2621272806327317E-2</v>
      </c>
      <c r="AI380" s="14">
        <v>0.32705777430592786</v>
      </c>
      <c r="AJ380" s="14">
        <v>1.5262872253374353</v>
      </c>
      <c r="AK380" s="14">
        <v>-0.86594631796309107</v>
      </c>
      <c r="AM380" s="14">
        <v>-0.17893915952985309</v>
      </c>
      <c r="AN380" s="14">
        <v>-0.74136137602174101</v>
      </c>
      <c r="AO380" s="14">
        <v>-0.31803807360795511</v>
      </c>
      <c r="AP380" s="14">
        <v>-2.5626656301698591E-2</v>
      </c>
      <c r="AQ380" s="14">
        <v>-0.55904243413742494</v>
      </c>
      <c r="AR380" s="14">
        <v>-0.15560589063134211</v>
      </c>
      <c r="AS380" s="14">
        <v>0.73319357156790443</v>
      </c>
      <c r="AT380" s="14">
        <v>0.73889186516717009</v>
      </c>
      <c r="AU380" s="14">
        <v>-0.10147458155151647</v>
      </c>
      <c r="AV380" s="14">
        <v>-0.59590355562116581</v>
      </c>
      <c r="AW380" s="14">
        <v>-0.27345339212797071</v>
      </c>
      <c r="AX380" s="14">
        <v>-0.23279618350050327</v>
      </c>
      <c r="AY380" s="14">
        <v>0.61438070364301323</v>
      </c>
      <c r="AZ380" s="14">
        <v>-0.74424432837780197</v>
      </c>
      <c r="BA380" s="14">
        <v>9.4556410013947392E-2</v>
      </c>
      <c r="BB380" s="14">
        <v>-0.22641499098297291</v>
      </c>
      <c r="BC380" s="14">
        <v>0.49296291776903856</v>
      </c>
      <c r="BD380" s="14">
        <v>0.67690735460530771</v>
      </c>
      <c r="BE380" s="14">
        <v>0.67528747911891263</v>
      </c>
      <c r="BF380" s="14">
        <v>-0.33823636575295685</v>
      </c>
      <c r="BK380" s="16">
        <v>0.84146453225284579</v>
      </c>
      <c r="BL380" s="16">
        <v>-0.17965776891131957</v>
      </c>
      <c r="BN380" s="17">
        <f t="shared" si="17"/>
        <v>0</v>
      </c>
    </row>
    <row r="381" spans="1:66" x14ac:dyDescent="0.2">
      <c r="A381">
        <v>-0.90222869202977451</v>
      </c>
      <c r="B381">
        <v>-3.9108405924654012E-2</v>
      </c>
      <c r="C381">
        <v>-0.80528315824245034</v>
      </c>
      <c r="D381">
        <v>-0.87029677554367524</v>
      </c>
      <c r="E381">
        <v>2.051768550811508</v>
      </c>
      <c r="F381">
        <v>0.96108644254006859</v>
      </c>
      <c r="G381">
        <v>0.34043773112196951</v>
      </c>
      <c r="H381">
        <v>-0.6646179887036745</v>
      </c>
      <c r="I381">
        <v>-0.69206809782913115</v>
      </c>
      <c r="J381">
        <v>2.024459517945167</v>
      </c>
      <c r="M381" s="13">
        <v>1</v>
      </c>
      <c r="O381" s="10">
        <f t="shared" si="15"/>
        <v>0</v>
      </c>
      <c r="P381" s="10">
        <f t="shared" si="16"/>
        <v>1</v>
      </c>
      <c r="R381" s="14">
        <v>0.99748105022044598</v>
      </c>
      <c r="S381" s="14">
        <v>-0.98402040960546944</v>
      </c>
      <c r="T381" s="14">
        <v>0.40433869947764056</v>
      </c>
      <c r="U381" s="14">
        <v>-0.26598102953010999</v>
      </c>
      <c r="V381" s="14">
        <v>-0.11070007482673533</v>
      </c>
      <c r="W381" s="14">
        <v>-0.39444159575284782</v>
      </c>
      <c r="X381" s="14">
        <v>0.81942818074937174</v>
      </c>
      <c r="Y381" s="14">
        <v>1.0889494728553539</v>
      </c>
      <c r="Z381" s="14">
        <v>0.28577203007270668</v>
      </c>
      <c r="AA381" s="14">
        <v>0.51090647929309274</v>
      </c>
      <c r="AB381" s="14">
        <v>-0.79125798674002135</v>
      </c>
      <c r="AC381" s="14">
        <v>1.1614922087144932</v>
      </c>
      <c r="AD381" s="14">
        <v>0.95807891129263956</v>
      </c>
      <c r="AE381" s="14">
        <v>0.32704589895847164</v>
      </c>
      <c r="AF381" s="14">
        <v>1.3482617895711992</v>
      </c>
      <c r="AG381" s="14">
        <v>-0.11002209390199624</v>
      </c>
      <c r="AH381" s="14">
        <v>-0.27771154420282546</v>
      </c>
      <c r="AI381" s="14">
        <v>0.15684933466933226</v>
      </c>
      <c r="AJ381" s="14">
        <v>1.3128752966807622</v>
      </c>
      <c r="AK381" s="14">
        <v>-1.472061016082953</v>
      </c>
      <c r="AM381" s="14">
        <v>0.17467358926962459</v>
      </c>
      <c r="AN381" s="14">
        <v>0.91662557842146231</v>
      </c>
      <c r="AO381" s="14">
        <v>0.28072269982463144</v>
      </c>
      <c r="AP381" s="14">
        <v>-0.80676524836784957</v>
      </c>
      <c r="AQ381" s="14">
        <v>0.57241849988035343</v>
      </c>
      <c r="AR381" s="14">
        <v>0.61081554980361641</v>
      </c>
      <c r="AS381" s="14">
        <v>-0.86016849091456316</v>
      </c>
      <c r="AT381" s="14">
        <v>-0.95326169217879198</v>
      </c>
      <c r="AU381" s="14">
        <v>-0.24244293035884645</v>
      </c>
      <c r="AV381" s="14">
        <v>0.61789120294077982</v>
      </c>
      <c r="AW381" s="14">
        <v>0.84603695378686827</v>
      </c>
      <c r="AX381" s="14">
        <v>0.34588919306173799</v>
      </c>
      <c r="AY381" s="14">
        <v>-0.77367272697215261</v>
      </c>
      <c r="AZ381" s="14">
        <v>0.88825687564328171</v>
      </c>
      <c r="BA381" s="14">
        <v>-0.5864687506252968</v>
      </c>
      <c r="BB381" s="14">
        <v>-0.26128765855994779</v>
      </c>
      <c r="BC381" s="14">
        <v>-0.80450359919068382</v>
      </c>
      <c r="BD381" s="14">
        <v>-0.8626540943178006</v>
      </c>
      <c r="BE381" s="14">
        <v>-0.70962554434224889</v>
      </c>
      <c r="BF381" s="14">
        <v>0.6970114584104512</v>
      </c>
      <c r="BK381" s="16">
        <v>0.10530185367603963</v>
      </c>
      <c r="BL381" s="16">
        <v>5.7415125935955158E-2</v>
      </c>
      <c r="BN381" s="17">
        <f t="shared" si="17"/>
        <v>0</v>
      </c>
    </row>
    <row r="382" spans="1:66" x14ac:dyDescent="0.2">
      <c r="A382">
        <v>-0.84790077254756724</v>
      </c>
      <c r="B382">
        <v>-1.4784454041864521</v>
      </c>
      <c r="C382">
        <v>-0.81109339391608604</v>
      </c>
      <c r="D382">
        <v>-0.79919826367386615</v>
      </c>
      <c r="E382">
        <v>0.1133996746883366</v>
      </c>
      <c r="F382">
        <v>-0.15348511528763989</v>
      </c>
      <c r="G382">
        <v>0.1316125715384209</v>
      </c>
      <c r="H382">
        <v>-0.74743529560719091</v>
      </c>
      <c r="I382">
        <v>-0.74874706515202483</v>
      </c>
      <c r="J382">
        <v>0.2184315065038234</v>
      </c>
      <c r="M382" s="13">
        <v>0</v>
      </c>
      <c r="O382" s="10">
        <f t="shared" si="15"/>
        <v>1</v>
      </c>
      <c r="P382" s="10">
        <f t="shared" si="16"/>
        <v>0</v>
      </c>
      <c r="R382" s="14">
        <v>-2.4620099582581406E-2</v>
      </c>
      <c r="S382" s="14">
        <v>-1.1171150186676542</v>
      </c>
      <c r="T382" s="14">
        <v>-0.71753547403149243</v>
      </c>
      <c r="U382" s="14">
        <v>-0.78961732931159911</v>
      </c>
      <c r="V382" s="14">
        <v>-0.59733797989156234</v>
      </c>
      <c r="W382" s="14">
        <v>-1.0362808232610987E-2</v>
      </c>
      <c r="X382" s="14">
        <v>1.0643863199741819</v>
      </c>
      <c r="Y382" s="14">
        <v>1.0958737285381486</v>
      </c>
      <c r="Z382" s="14">
        <v>-0.20965074076425083</v>
      </c>
      <c r="AA382" s="14">
        <v>-0.25710593637393919</v>
      </c>
      <c r="AB382" s="14">
        <v>0.55445514461066114</v>
      </c>
      <c r="AC382" s="14">
        <v>-0.15706932558638653</v>
      </c>
      <c r="AD382" s="14">
        <v>1.1146100357621078</v>
      </c>
      <c r="AE382" s="14">
        <v>-0.65597103817370428</v>
      </c>
      <c r="AF382" s="14">
        <v>-3.9556747241633272E-2</v>
      </c>
      <c r="AG382" s="14">
        <v>-0.52104112732034114</v>
      </c>
      <c r="AH382" s="14">
        <v>-3.9500379524595286E-2</v>
      </c>
      <c r="AI382" s="14">
        <v>0.32596702312478876</v>
      </c>
      <c r="AJ382" s="14">
        <v>1.562088479850428</v>
      </c>
      <c r="AK382" s="14">
        <v>-1.1539623985014327</v>
      </c>
      <c r="AM382" s="14">
        <v>0.74199099495552434</v>
      </c>
      <c r="AN382" s="14">
        <v>0.9715933404712318</v>
      </c>
      <c r="AO382" s="14">
        <v>0.7019973531421162</v>
      </c>
      <c r="AP382" s="14">
        <v>-0.61063631714478539</v>
      </c>
      <c r="AQ382" s="14">
        <v>0.95448029511144672</v>
      </c>
      <c r="AR382" s="14">
        <v>-0.75471447807053182</v>
      </c>
      <c r="AS382" s="14">
        <v>-0.98384972033309548</v>
      </c>
      <c r="AT382" s="14">
        <v>-0.73418593993859349</v>
      </c>
      <c r="AU382" s="14">
        <v>0.98050343498749548</v>
      </c>
      <c r="AV382" s="14">
        <v>0.80696469005280502</v>
      </c>
      <c r="AW382" s="14">
        <v>0.34721698237530257</v>
      </c>
      <c r="AX382" s="14">
        <v>0.94734540838633707</v>
      </c>
      <c r="AY382" s="14">
        <v>-0.9260639543857403</v>
      </c>
      <c r="AZ382" s="14">
        <v>0.98761546072177431</v>
      </c>
      <c r="BA382" s="14">
        <v>0.31710226845595796</v>
      </c>
      <c r="BB382" s="14">
        <v>4.1884602396449228E-2</v>
      </c>
      <c r="BC382" s="14">
        <v>-0.75563563030749969</v>
      </c>
      <c r="BD382" s="14">
        <v>-0.94946398660280196</v>
      </c>
      <c r="BE382" s="14">
        <v>-0.92668432283522062</v>
      </c>
      <c r="BF382" s="14">
        <v>0.37936537373396284</v>
      </c>
      <c r="BK382" s="16">
        <v>0.78297699806538679</v>
      </c>
      <c r="BL382" s="16">
        <v>-0.18298338838299702</v>
      </c>
      <c r="BN382" s="17">
        <f t="shared" si="17"/>
        <v>0</v>
      </c>
    </row>
    <row r="383" spans="1:66" x14ac:dyDescent="0.2">
      <c r="A383">
        <v>-0.91366614876287111</v>
      </c>
      <c r="B383">
        <v>-0.99539704190779099</v>
      </c>
      <c r="C383">
        <v>-0.9144325855400357</v>
      </c>
      <c r="D383">
        <v>-0.83834562243619026</v>
      </c>
      <c r="E383">
        <v>-0.6357436560549522</v>
      </c>
      <c r="F383">
        <v>-0.69328984974613206</v>
      </c>
      <c r="G383">
        <v>-0.75685285650615008</v>
      </c>
      <c r="H383">
        <v>-0.90271774605128385</v>
      </c>
      <c r="I383">
        <v>-0.80011237928839718</v>
      </c>
      <c r="J383">
        <v>-0.74388491153283298</v>
      </c>
      <c r="M383" s="13">
        <v>0</v>
      </c>
      <c r="O383" s="10">
        <f t="shared" si="15"/>
        <v>1</v>
      </c>
      <c r="P383" s="10">
        <f t="shared" si="16"/>
        <v>0</v>
      </c>
      <c r="R383" s="14">
        <v>0.39023888812011898</v>
      </c>
      <c r="S383" s="14">
        <v>-1.0528413800567549</v>
      </c>
      <c r="T383" s="14">
        <v>-0.82694680576822022</v>
      </c>
      <c r="U383" s="14">
        <v>-0.94713868649935162</v>
      </c>
      <c r="V383" s="14">
        <v>-0.37933912057208952</v>
      </c>
      <c r="W383" s="14">
        <v>-0.37715642962447188</v>
      </c>
      <c r="X383" s="14">
        <v>1.0647728423765568</v>
      </c>
      <c r="Y383" s="14">
        <v>0.74549140681027248</v>
      </c>
      <c r="Z383" s="14">
        <v>-0.10597001665821359</v>
      </c>
      <c r="AA383" s="14">
        <v>-1.6332688633015624E-2</v>
      </c>
      <c r="AB383" s="14">
        <v>0.73542714952347088</v>
      </c>
      <c r="AC383" s="14">
        <v>-0.32133542330038434</v>
      </c>
      <c r="AD383" s="14">
        <v>1.1326464174046735</v>
      </c>
      <c r="AE383" s="14">
        <v>-0.57481793411161752</v>
      </c>
      <c r="AF383" s="14">
        <v>0.2373165269820946</v>
      </c>
      <c r="AG383" s="14">
        <v>-1.5881363934236448E-2</v>
      </c>
      <c r="AH383" s="14">
        <v>-0.23404481428525648</v>
      </c>
      <c r="AI383" s="14">
        <v>0.30961056354987093</v>
      </c>
      <c r="AJ383" s="14">
        <v>1.5354350112522122</v>
      </c>
      <c r="AK383" s="14">
        <v>-0.98932802856986268</v>
      </c>
      <c r="AM383" s="14">
        <v>-0.67245663801915168</v>
      </c>
      <c r="AN383" s="14">
        <v>0.5267893098517421</v>
      </c>
      <c r="AO383" s="14">
        <v>0.3848932123953161</v>
      </c>
      <c r="AP383" s="14">
        <v>0.50337608712088444</v>
      </c>
      <c r="AQ383" s="14">
        <v>0.48358311253958197</v>
      </c>
      <c r="AR383" s="14">
        <v>0.56360177383111443</v>
      </c>
      <c r="AS383" s="14">
        <v>-0.75047055422921927</v>
      </c>
      <c r="AT383" s="14">
        <v>-0.51850479189244136</v>
      </c>
      <c r="AU383" s="14">
        <v>0.173253931753724</v>
      </c>
      <c r="AV383" s="14">
        <v>0.2698934947057437</v>
      </c>
      <c r="AW383" s="14">
        <v>-0.23185558202992235</v>
      </c>
      <c r="AX383" s="14">
        <v>-0.10989362127278679</v>
      </c>
      <c r="AY383" s="14">
        <v>-0.70775961062293069</v>
      </c>
      <c r="AZ383" s="14">
        <v>0.41256232855752872</v>
      </c>
      <c r="BA383" s="14">
        <v>-0.46062647730508072</v>
      </c>
      <c r="BB383" s="14">
        <v>0.13702904006859376</v>
      </c>
      <c r="BC383" s="14">
        <v>-0.27342045011791732</v>
      </c>
      <c r="BD383" s="14">
        <v>-0.55615523417478374</v>
      </c>
      <c r="BE383" s="14">
        <v>-0.69128993127874239</v>
      </c>
      <c r="BF383" s="14">
        <v>0.5757336089172671</v>
      </c>
      <c r="BK383" s="16">
        <v>-0.64778032382710116</v>
      </c>
      <c r="BL383" s="16">
        <v>0.54872564215252151</v>
      </c>
      <c r="BN383" s="17">
        <f t="shared" si="17"/>
        <v>1</v>
      </c>
    </row>
    <row r="384" spans="1:66" x14ac:dyDescent="0.2">
      <c r="A384">
        <v>-0.62487036625218895</v>
      </c>
      <c r="B384">
        <v>0.91472820791493692</v>
      </c>
      <c r="C384">
        <v>-0.57909898380448777</v>
      </c>
      <c r="D384">
        <v>-0.62217160456482734</v>
      </c>
      <c r="E384">
        <v>4.2778373353072538E-2</v>
      </c>
      <c r="F384">
        <v>-0.14815401662394789</v>
      </c>
      <c r="G384">
        <v>-0.52579050122643434</v>
      </c>
      <c r="H384">
        <v>-0.80333697776706425</v>
      </c>
      <c r="I384">
        <v>-0.72696108708728757</v>
      </c>
      <c r="J384">
        <v>-0.1200115536833604</v>
      </c>
      <c r="M384" s="13">
        <v>0</v>
      </c>
      <c r="O384" s="10">
        <f t="shared" si="15"/>
        <v>1</v>
      </c>
      <c r="P384" s="10">
        <f t="shared" si="16"/>
        <v>0</v>
      </c>
      <c r="R384" s="14">
        <v>-0.42005134249420495</v>
      </c>
      <c r="S384" s="14">
        <v>-1.1309647776200404</v>
      </c>
      <c r="T384" s="14">
        <v>-0.69114738202510895</v>
      </c>
      <c r="U384" s="14">
        <v>-0.61488471420841651</v>
      </c>
      <c r="V384" s="14">
        <v>-0.57590011339898795</v>
      </c>
      <c r="W384" s="14">
        <v>-8.1056194688732763E-2</v>
      </c>
      <c r="X384" s="14">
        <v>1.0649343850661801</v>
      </c>
      <c r="Y384" s="14">
        <v>1.2996463216780003</v>
      </c>
      <c r="Z384" s="14">
        <v>0.15751567798418403</v>
      </c>
      <c r="AA384" s="14">
        <v>-0.28321477361035641</v>
      </c>
      <c r="AB384" s="14">
        <v>-0.19948693368375114</v>
      </c>
      <c r="AC384" s="14">
        <v>-0.20321288217926947</v>
      </c>
      <c r="AD384" s="14">
        <v>1.1203231638948374</v>
      </c>
      <c r="AE384" s="14">
        <v>-0.66147215995180675</v>
      </c>
      <c r="AF384" s="14">
        <v>-8.4021151979802866E-3</v>
      </c>
      <c r="AG384" s="14">
        <v>-0.47363758526658639</v>
      </c>
      <c r="AH384" s="14">
        <v>4.6371358886251546E-2</v>
      </c>
      <c r="AI384" s="14">
        <v>0.3364805942100344</v>
      </c>
      <c r="AJ384" s="14">
        <v>1.5624791791196206</v>
      </c>
      <c r="AK384" s="14">
        <v>-1.1000792188714437</v>
      </c>
      <c r="AM384" s="14">
        <v>4.3336631741972956E-2</v>
      </c>
      <c r="AN384" s="14">
        <v>-0.74529635423981944</v>
      </c>
      <c r="AO384" s="14">
        <v>-0.42430361672264555</v>
      </c>
      <c r="AP384" s="14">
        <v>-0.53250296550841736</v>
      </c>
      <c r="AQ384" s="14">
        <v>-0.68965700684627573</v>
      </c>
      <c r="AR384" s="14">
        <v>-0.22954860423988532</v>
      </c>
      <c r="AS384" s="14">
        <v>0.83515402764894786</v>
      </c>
      <c r="AT384" s="14">
        <v>0.72097346272200724</v>
      </c>
      <c r="AU384" s="14">
        <v>-0.31938293674663726</v>
      </c>
      <c r="AV384" s="14">
        <v>-0.66629304720678217</v>
      </c>
      <c r="AW384" s="14">
        <v>6.5581342132453938E-2</v>
      </c>
      <c r="AX384" s="14">
        <v>-0.19398214363677138</v>
      </c>
      <c r="AY384" s="14">
        <v>0.726411217240718</v>
      </c>
      <c r="AZ384" s="14">
        <v>-0.75910065616728017</v>
      </c>
      <c r="BA384" s="14">
        <v>0.11381349002295031</v>
      </c>
      <c r="BB384" s="14">
        <v>-0.38022517481553131</v>
      </c>
      <c r="BC384" s="14">
        <v>0.44707651043803653</v>
      </c>
      <c r="BD384" s="14">
        <v>0.69237851953052809</v>
      </c>
      <c r="BE384" s="14">
        <v>0.79775671931354164</v>
      </c>
      <c r="BF384" s="14">
        <v>-0.38370239316196342</v>
      </c>
      <c r="BK384" s="16">
        <v>-0.37490993205737599</v>
      </c>
      <c r="BL384" s="16">
        <v>0.56438461116248928</v>
      </c>
      <c r="BN384" s="17">
        <f t="shared" si="17"/>
        <v>1</v>
      </c>
    </row>
    <row r="385" spans="1:66" x14ac:dyDescent="0.2">
      <c r="A385">
        <v>-0.52765198402087043</v>
      </c>
      <c r="B385">
        <v>-0.37013139530343181</v>
      </c>
      <c r="C385">
        <v>-0.50066080221040532</v>
      </c>
      <c r="D385">
        <v>-0.57870652240959997</v>
      </c>
      <c r="E385">
        <v>0.45907236017147179</v>
      </c>
      <c r="F385">
        <v>-0.40243502497818928</v>
      </c>
      <c r="G385">
        <v>-0.55083929637843898</v>
      </c>
      <c r="H385">
        <v>-0.46999731748041129</v>
      </c>
      <c r="I385">
        <v>-0.52840757968427565</v>
      </c>
      <c r="J385">
        <v>-0.28713653384658933</v>
      </c>
      <c r="M385" s="13">
        <v>0</v>
      </c>
      <c r="O385" s="10">
        <f t="shared" si="15"/>
        <v>1</v>
      </c>
      <c r="P385" s="10">
        <f t="shared" si="16"/>
        <v>0</v>
      </c>
      <c r="R385" s="14">
        <v>0.12073565278306397</v>
      </c>
      <c r="S385" s="14">
        <v>1.0359177556431485</v>
      </c>
      <c r="T385" s="14">
        <v>5.8705241663391527E-2</v>
      </c>
      <c r="U385" s="14">
        <v>-1.4883940783788998</v>
      </c>
      <c r="V385" s="14">
        <v>1.2833351344662147</v>
      </c>
      <c r="W385" s="14">
        <v>0.64729052200182724</v>
      </c>
      <c r="X385" s="14">
        <v>-1.4658443806786075</v>
      </c>
      <c r="Y385" s="14">
        <v>-1.1215039276588887</v>
      </c>
      <c r="Z385" s="14">
        <v>-0.14571360581353487</v>
      </c>
      <c r="AA385" s="14">
        <v>1.1930734163627204</v>
      </c>
      <c r="AB385" s="14">
        <v>1.7111426533391554</v>
      </c>
      <c r="AC385" s="14">
        <v>0.82885750760777965</v>
      </c>
      <c r="AD385" s="14">
        <v>-0.80851862621436521</v>
      </c>
      <c r="AE385" s="14">
        <v>1.6893816283064522</v>
      </c>
      <c r="AF385" s="14">
        <v>-1.4552962229244715</v>
      </c>
      <c r="AG385" s="14">
        <v>-1.0366241057637489</v>
      </c>
      <c r="AH385" s="14">
        <v>-1.3946958337885074</v>
      </c>
      <c r="AI385" s="14">
        <v>-1.6034390723066849</v>
      </c>
      <c r="AJ385" s="14">
        <v>-0.54244861482231443</v>
      </c>
      <c r="AK385" s="14">
        <v>0.27470350899232721</v>
      </c>
      <c r="AM385" s="14">
        <v>-0.21757912134384355</v>
      </c>
      <c r="AN385" s="14">
        <v>-0.22090577082071908</v>
      </c>
      <c r="AO385" s="14">
        <v>-0.18926590923275027</v>
      </c>
      <c r="AP385" s="14">
        <v>-0.3571902711956616</v>
      </c>
      <c r="AQ385" s="14">
        <v>-0.2956362893817201</v>
      </c>
      <c r="AR385" s="14">
        <v>0.42077220900860668</v>
      </c>
      <c r="AS385" s="14">
        <v>0.42025311330578641</v>
      </c>
      <c r="AT385" s="14">
        <v>-2.6271799759906622E-2</v>
      </c>
      <c r="AU385" s="14">
        <v>-0.48206171551837373</v>
      </c>
      <c r="AV385" s="14">
        <v>-0.23141224231927215</v>
      </c>
      <c r="AW385" s="14">
        <v>0.1605101631070564</v>
      </c>
      <c r="AX385" s="14">
        <v>-0.23481029635409523</v>
      </c>
      <c r="AY385" s="14">
        <v>0.25511252199647061</v>
      </c>
      <c r="AZ385" s="14">
        <v>-0.37285648216448042</v>
      </c>
      <c r="BA385" s="14">
        <v>-0.3127544097939231</v>
      </c>
      <c r="BB385" s="14">
        <v>-9.8593408834564161E-2</v>
      </c>
      <c r="BC385" s="14">
        <v>8.6424277170158072E-3</v>
      </c>
      <c r="BD385" s="14">
        <v>0.22753187822260676</v>
      </c>
      <c r="BE385" s="14">
        <v>0.35985810282195257</v>
      </c>
      <c r="BF385" s="14">
        <v>0.17986939708727179</v>
      </c>
      <c r="BK385" s="16">
        <v>0.65415353316432701</v>
      </c>
      <c r="BL385" s="16">
        <v>1.3829668492600471E-3</v>
      </c>
      <c r="BN385" s="17">
        <f t="shared" si="17"/>
        <v>0</v>
      </c>
    </row>
    <row r="386" spans="1:66" x14ac:dyDescent="0.2">
      <c r="A386">
        <v>-0.27316857170947789</v>
      </c>
      <c r="B386">
        <v>-1.2920917212769181</v>
      </c>
      <c r="C386">
        <v>-0.28692713278737642</v>
      </c>
      <c r="D386">
        <v>-0.35159427194288179</v>
      </c>
      <c r="E386">
        <v>-0.35771874342980697</v>
      </c>
      <c r="F386">
        <v>-0.50347794151095715</v>
      </c>
      <c r="G386">
        <v>-0.55492889558692948</v>
      </c>
      <c r="H386">
        <v>-0.45757472144488381</v>
      </c>
      <c r="I386">
        <v>-0.4873153283751776</v>
      </c>
      <c r="J386">
        <v>-0.38163103427938261</v>
      </c>
      <c r="M386" s="13">
        <v>0</v>
      </c>
      <c r="O386" s="10">
        <f t="shared" si="15"/>
        <v>1</v>
      </c>
      <c r="P386" s="10">
        <f t="shared" si="16"/>
        <v>0</v>
      </c>
      <c r="R386" s="14">
        <v>0.52730959268218325</v>
      </c>
      <c r="S386" s="14">
        <v>1.035933321781709</v>
      </c>
      <c r="T386" s="14">
        <v>0.45011348846097698</v>
      </c>
      <c r="U386" s="14">
        <v>-1.3564936974019131</v>
      </c>
      <c r="V386" s="14">
        <v>1.505209099781931</v>
      </c>
      <c r="W386" s="14">
        <v>-0.89266186379066959</v>
      </c>
      <c r="X386" s="14">
        <v>-1.4659127711484048</v>
      </c>
      <c r="Y386" s="14">
        <v>-0.88051227502494678</v>
      </c>
      <c r="Z386" s="14">
        <v>1.7433205158535012</v>
      </c>
      <c r="AA386" s="14">
        <v>1.2163371415016844</v>
      </c>
      <c r="AB386" s="14">
        <v>-0.28710740570551796</v>
      </c>
      <c r="AC386" s="14">
        <v>1.0652146173174688</v>
      </c>
      <c r="AD386" s="14">
        <v>-0.81583625184948161</v>
      </c>
      <c r="AE386" s="14">
        <v>1.6894094608618597</v>
      </c>
      <c r="AF386" s="14">
        <v>0.24936071285441253</v>
      </c>
      <c r="AG386" s="14">
        <v>0.28479271007912443</v>
      </c>
      <c r="AH386" s="14">
        <v>-1.4116691513413564</v>
      </c>
      <c r="AI386" s="14">
        <v>-1.6036295661239828</v>
      </c>
      <c r="AJ386" s="14">
        <v>-0.55690813324720589</v>
      </c>
      <c r="AK386" s="14">
        <v>-9.6952462594261712E-2</v>
      </c>
      <c r="AM386" s="14">
        <v>0.16585862972787307</v>
      </c>
      <c r="AN386" s="14">
        <v>0.14281084334148458</v>
      </c>
      <c r="AO386" s="14">
        <v>-0.17223979286269017</v>
      </c>
      <c r="AP386" s="14">
        <v>-0.20154906757334551</v>
      </c>
      <c r="AQ386" s="14">
        <v>-0.13958361820516707</v>
      </c>
      <c r="AR386" s="14">
        <v>0.29043233028563969</v>
      </c>
      <c r="AS386" s="14">
        <v>8.0460518601335129E-2</v>
      </c>
      <c r="AT386" s="14">
        <v>-0.41199737781575718</v>
      </c>
      <c r="AU386" s="14">
        <v>-0.40983898552058523</v>
      </c>
      <c r="AV386" s="14">
        <v>0.12797541291657097</v>
      </c>
      <c r="AW386" s="14">
        <v>0.41204163771707186</v>
      </c>
      <c r="AX386" s="14">
        <v>-0.13696384536562781</v>
      </c>
      <c r="AY386" s="14">
        <v>6.3633580147758065E-2</v>
      </c>
      <c r="AZ386" s="14">
        <v>5.8495630736499146E-2</v>
      </c>
      <c r="BA386" s="14">
        <v>-0.14352167119365614</v>
      </c>
      <c r="BB386" s="14">
        <v>-4.6078945333750128E-2</v>
      </c>
      <c r="BC386" s="14">
        <v>-0.17269753501323404</v>
      </c>
      <c r="BD386" s="14">
        <v>-4.1558189841070403E-2</v>
      </c>
      <c r="BE386" s="14">
        <v>8.538536191794803E-2</v>
      </c>
      <c r="BF386" s="14">
        <v>9.1747982826040089E-2</v>
      </c>
      <c r="BK386" s="16">
        <v>-0.9379688977182119</v>
      </c>
      <c r="BL386" s="16">
        <v>0.19091841551215236</v>
      </c>
      <c r="BN386" s="17">
        <f t="shared" si="17"/>
        <v>1</v>
      </c>
    </row>
    <row r="387" spans="1:66" x14ac:dyDescent="0.2">
      <c r="A387">
        <v>0.1042675004827002</v>
      </c>
      <c r="B387">
        <v>1.054493470097088</v>
      </c>
      <c r="C387">
        <v>5.2556637286482459E-2</v>
      </c>
      <c r="D387">
        <v>2.1711980490026011E-3</v>
      </c>
      <c r="E387">
        <v>-0.71807322576948396</v>
      </c>
      <c r="F387">
        <v>-9.2735386329288738E-2</v>
      </c>
      <c r="G387">
        <v>6.0300185340366998E-2</v>
      </c>
      <c r="H387">
        <v>-0.13665765719375839</v>
      </c>
      <c r="I387">
        <v>-0.2490865438461401</v>
      </c>
      <c r="J387">
        <v>0.27983046875017081</v>
      </c>
      <c r="M387" s="13">
        <v>1</v>
      </c>
      <c r="O387" s="10">
        <f t="shared" ref="O387:O450" si="18">IF(M387=0,1,0)</f>
        <v>0</v>
      </c>
      <c r="P387" s="10">
        <f t="shared" ref="P387:P450" si="19">IF(M387=1,1,0)</f>
        <v>1</v>
      </c>
      <c r="R387" s="14">
        <v>-1.2356860943676142</v>
      </c>
      <c r="S387" s="14">
        <v>0.66535988442212568</v>
      </c>
      <c r="T387" s="14">
        <v>0.29239287690576143</v>
      </c>
      <c r="U387" s="14">
        <v>1.5146314703542663E-2</v>
      </c>
      <c r="V387" s="14">
        <v>0.99239264235166935</v>
      </c>
      <c r="W387" s="14">
        <v>0.66815185449132453</v>
      </c>
      <c r="X387" s="14">
        <v>-1.4271487968759355</v>
      </c>
      <c r="Y387" s="14">
        <v>-0.60248304538940367</v>
      </c>
      <c r="Z387" s="14">
        <v>0.20512175157139934</v>
      </c>
      <c r="AA387" s="14">
        <v>0.85439190722394354</v>
      </c>
      <c r="AB387" s="14">
        <v>-0.18360555898534581</v>
      </c>
      <c r="AC387" s="14">
        <v>-0.11435305695230998</v>
      </c>
      <c r="AD387" s="14">
        <v>-0.78021733814738092</v>
      </c>
      <c r="AE387" s="14">
        <v>0.24405331895667476</v>
      </c>
      <c r="AF387" s="14">
        <v>-0.84164092623488285</v>
      </c>
      <c r="AG387" s="14">
        <v>1.61372961127908E-2</v>
      </c>
      <c r="AH387" s="14">
        <v>-0.84756961953376775</v>
      </c>
      <c r="AI387" s="14">
        <v>-1.470594722405806</v>
      </c>
      <c r="AJ387" s="14">
        <v>-0.49901120774389723</v>
      </c>
      <c r="AK387" s="14">
        <v>0.12782578950352441</v>
      </c>
      <c r="AM387" s="14">
        <v>0.31181977534255101</v>
      </c>
      <c r="AN387" s="14">
        <v>-0.6242893209656758</v>
      </c>
      <c r="AO387" s="14">
        <v>-0.17796922080637578</v>
      </c>
      <c r="AP387" s="14">
        <v>2.9534334275434664E-2</v>
      </c>
      <c r="AQ387" s="14">
        <v>-0.15140845377945711</v>
      </c>
      <c r="AR387" s="14">
        <v>-0.44683528240095044</v>
      </c>
      <c r="AS387" s="14">
        <v>0.59392359302669728</v>
      </c>
      <c r="AT387" s="14">
        <v>0.72484239523231797</v>
      </c>
      <c r="AU387" s="14">
        <v>0.30085772079976481</v>
      </c>
      <c r="AV387" s="14">
        <v>-0.28449365435659008</v>
      </c>
      <c r="AW387" s="14">
        <v>-0.51486581367640716</v>
      </c>
      <c r="AX387" s="14">
        <v>0.14422236892321944</v>
      </c>
      <c r="AY387" s="14">
        <v>0.5786270796342966</v>
      </c>
      <c r="AZ387" s="14">
        <v>-0.49072070538877421</v>
      </c>
      <c r="BA387" s="14">
        <v>0.31529097382156207</v>
      </c>
      <c r="BB387" s="14">
        <v>-1.8698248471667882E-2</v>
      </c>
      <c r="BC387" s="14">
        <v>0.35059249558987499</v>
      </c>
      <c r="BD387" s="14">
        <v>0.62875922122495764</v>
      </c>
      <c r="BE387" s="14">
        <v>0.55504244205271125</v>
      </c>
      <c r="BF387" s="14">
        <v>-0.52015080574295058</v>
      </c>
      <c r="BK387" s="16">
        <v>0.13333642429966711</v>
      </c>
      <c r="BL387" s="16">
        <v>0.98052742324508557</v>
      </c>
      <c r="BN387" s="17">
        <f t="shared" si="17"/>
        <v>1</v>
      </c>
    </row>
    <row r="388" spans="1:66" x14ac:dyDescent="0.2">
      <c r="A388">
        <v>-0.57912053931980367</v>
      </c>
      <c r="B388">
        <v>-1.201366901965697</v>
      </c>
      <c r="C388">
        <v>-0.57785393330299439</v>
      </c>
      <c r="D388">
        <v>-0.58129715644534197</v>
      </c>
      <c r="E388">
        <v>-0.49747458186169841</v>
      </c>
      <c r="F388">
        <v>-0.28502687533827381</v>
      </c>
      <c r="G388">
        <v>-0.6392768792620469</v>
      </c>
      <c r="H388">
        <v>-0.68739274810214135</v>
      </c>
      <c r="I388">
        <v>-0.65345555134040989</v>
      </c>
      <c r="J388">
        <v>-0.38657290197238142</v>
      </c>
      <c r="M388" s="13">
        <v>0</v>
      </c>
      <c r="O388" s="10">
        <f t="shared" si="18"/>
        <v>1</v>
      </c>
      <c r="P388" s="10">
        <f t="shared" si="19"/>
        <v>0</v>
      </c>
      <c r="R388" s="14">
        <v>-0.24188659090815304</v>
      </c>
      <c r="S388" s="14">
        <v>-1.1222710552367281</v>
      </c>
      <c r="T388" s="14">
        <v>-0.7825482200753423</v>
      </c>
      <c r="U388" s="14">
        <v>-1.3548476991470928</v>
      </c>
      <c r="V388" s="14">
        <v>-0.61682031911866519</v>
      </c>
      <c r="W388" s="14">
        <v>-0.29345198357435359</v>
      </c>
      <c r="X388" s="14">
        <v>1.0650296507810304</v>
      </c>
      <c r="Y388" s="14">
        <v>1.221549949450488</v>
      </c>
      <c r="Z388" s="14">
        <v>3.0606634399405919E-2</v>
      </c>
      <c r="AA388" s="14">
        <v>-0.29264412409710194</v>
      </c>
      <c r="AB388" s="14">
        <v>0.73003238021598571</v>
      </c>
      <c r="AC388" s="14">
        <v>-0.16439419126649157</v>
      </c>
      <c r="AD388" s="14">
        <v>1.1309114590761788</v>
      </c>
      <c r="AE388" s="14">
        <v>-0.65511956282245087</v>
      </c>
      <c r="AF388" s="14">
        <v>-0.19318599936952097</v>
      </c>
      <c r="AG388" s="14">
        <v>-0.60615231770187239</v>
      </c>
      <c r="AH388" s="14">
        <v>-1.6440131497432176E-2</v>
      </c>
      <c r="AI388" s="14">
        <v>0.33011877607363871</v>
      </c>
      <c r="AJ388" s="14">
        <v>1.5658626646072553</v>
      </c>
      <c r="AK388" s="14">
        <v>-1.1209975928211757</v>
      </c>
      <c r="AM388" s="14">
        <v>-0.31998334498238024</v>
      </c>
      <c r="AN388" s="14">
        <v>-0.72487462512385459</v>
      </c>
      <c r="AO388" s="14">
        <v>-0.64963138878251458</v>
      </c>
      <c r="AP388" s="14">
        <v>-0.62710923213880532</v>
      </c>
      <c r="AQ388" s="14">
        <v>-0.87730901360685731</v>
      </c>
      <c r="AR388" s="14">
        <v>0.30031816708720116</v>
      </c>
      <c r="AS388" s="14">
        <v>0.87350303669167384</v>
      </c>
      <c r="AT388" s="14">
        <v>0.40478218795206439</v>
      </c>
      <c r="AU388" s="14">
        <v>-0.75663171439296983</v>
      </c>
      <c r="AV388" s="14">
        <v>-0.75958363325792422</v>
      </c>
      <c r="AW388" s="14">
        <v>0.68209912075723045</v>
      </c>
      <c r="AX388" s="14">
        <v>-0.61494323828118447</v>
      </c>
      <c r="AY388" s="14">
        <v>0.7162507911517253</v>
      </c>
      <c r="AZ388" s="14">
        <v>-0.84354454032559101</v>
      </c>
      <c r="BA388" s="14">
        <v>-0.2127843369016755</v>
      </c>
      <c r="BB388" s="14">
        <v>-0.49314788111211072</v>
      </c>
      <c r="BC388" s="14">
        <v>0.43519143528047061</v>
      </c>
      <c r="BD388" s="14">
        <v>0.63965808725418472</v>
      </c>
      <c r="BE388" s="14">
        <v>0.82750448399022813</v>
      </c>
      <c r="BF388" s="14">
        <v>4.6556506184233765E-2</v>
      </c>
      <c r="BK388" s="16">
        <v>-0.41884583538302955</v>
      </c>
      <c r="BL388" s="16">
        <v>0.54602321037741297</v>
      </c>
      <c r="BN388" s="17">
        <f t="shared" si="17"/>
        <v>1</v>
      </c>
    </row>
    <row r="389" spans="1:66" x14ac:dyDescent="0.2">
      <c r="A389">
        <v>-0.10160672071303289</v>
      </c>
      <c r="B389">
        <v>-0.69379831825157068</v>
      </c>
      <c r="C389">
        <v>-0.1798527896589466</v>
      </c>
      <c r="D389">
        <v>-0.19385344398881121</v>
      </c>
      <c r="E389">
        <v>-1.0535244071119889</v>
      </c>
      <c r="F389">
        <v>-0.87938238682059156</v>
      </c>
      <c r="G389">
        <v>-1.0695282759903051</v>
      </c>
      <c r="H389">
        <v>-0.1946297720262197</v>
      </c>
      <c r="I389">
        <v>-0.27193525254818168</v>
      </c>
      <c r="J389">
        <v>-1.075888568362473</v>
      </c>
      <c r="M389" s="13">
        <v>0</v>
      </c>
      <c r="O389" s="10">
        <f t="shared" si="18"/>
        <v>1</v>
      </c>
      <c r="P389" s="10">
        <f t="shared" si="19"/>
        <v>0</v>
      </c>
      <c r="R389" s="14">
        <v>-0.42351227076677955</v>
      </c>
      <c r="S389" s="14">
        <v>-0.38090484128285873</v>
      </c>
      <c r="T389" s="14">
        <v>-0.52435812857387865</v>
      </c>
      <c r="U389" s="14">
        <v>-1.2118806394097641</v>
      </c>
      <c r="V389" s="14">
        <v>-0.29991933226281242</v>
      </c>
      <c r="W389" s="14">
        <v>0.87254214499378469</v>
      </c>
      <c r="X389" s="14">
        <v>0.96731292076573172</v>
      </c>
      <c r="Y389" s="14">
        <v>8.3385072583982423E-3</v>
      </c>
      <c r="Z389" s="14">
        <v>-0.80615715381174746</v>
      </c>
      <c r="AA389" s="14">
        <v>1.4553364366106436E-2</v>
      </c>
      <c r="AB389" s="14">
        <v>0.70319037989636624</v>
      </c>
      <c r="AC389" s="14">
        <v>-0.17215253700664745</v>
      </c>
      <c r="AD389" s="14">
        <v>0.76992251270186507</v>
      </c>
      <c r="AE389" s="14">
        <v>-0.51016529233964603</v>
      </c>
      <c r="AF389" s="14">
        <v>-0.2554187588680622</v>
      </c>
      <c r="AG389" s="14">
        <v>-0.31490104212192738</v>
      </c>
      <c r="AH389" s="14">
        <v>-0.64894624624945862</v>
      </c>
      <c r="AI389" s="14">
        <v>-0.16938744431393921</v>
      </c>
      <c r="AJ389" s="14">
        <v>1.3944936861654824</v>
      </c>
      <c r="AK389" s="14">
        <v>-0.33403844184077097</v>
      </c>
      <c r="AM389" s="14">
        <v>-0.63517088688800127</v>
      </c>
      <c r="AN389" s="14">
        <v>-0.67521880349970576</v>
      </c>
      <c r="AO389" s="14">
        <v>-0.48634305533749489</v>
      </c>
      <c r="AP389" s="14">
        <v>-0.1961178346837924</v>
      </c>
      <c r="AQ389" s="14">
        <v>-0.78513648946500736</v>
      </c>
      <c r="AR389" s="14">
        <v>0.17019160333216177</v>
      </c>
      <c r="AS389" s="14">
        <v>0.68894582851347219</v>
      </c>
      <c r="AT389" s="14">
        <v>0.44935262691025135</v>
      </c>
      <c r="AU389" s="14">
        <v>-0.5358288567594065</v>
      </c>
      <c r="AV389" s="14">
        <v>-0.72484049176984322</v>
      </c>
      <c r="AW389" s="14">
        <v>0.43968096062499218</v>
      </c>
      <c r="AX389" s="14">
        <v>-0.64784775830039665</v>
      </c>
      <c r="AY389" s="14">
        <v>0.47478411557822475</v>
      </c>
      <c r="AZ389" s="14">
        <v>-0.79063887853920733</v>
      </c>
      <c r="BA389" s="14">
        <v>-0.15507891552729605</v>
      </c>
      <c r="BB389" s="14">
        <v>-0.37519859471757389</v>
      </c>
      <c r="BC389" s="14">
        <v>0.45522545118748714</v>
      </c>
      <c r="BD389" s="14">
        <v>0.49404390187563479</v>
      </c>
      <c r="BE389" s="14">
        <v>0.59277685969463123</v>
      </c>
      <c r="BF389" s="14">
        <v>0.18638528849841016</v>
      </c>
      <c r="BK389" s="16">
        <v>0.87463234971278492</v>
      </c>
      <c r="BL389" s="16">
        <v>-0.36508513284788524</v>
      </c>
      <c r="BN389" s="17">
        <f t="shared" si="17"/>
        <v>0</v>
      </c>
    </row>
    <row r="390" spans="1:66" x14ac:dyDescent="0.2">
      <c r="A390">
        <v>-0.84790077254756724</v>
      </c>
      <c r="B390">
        <v>-0.85563177972564008</v>
      </c>
      <c r="C390">
        <v>-0.80196302357180138</v>
      </c>
      <c r="D390">
        <v>-0.78279091478083329</v>
      </c>
      <c r="E390">
        <v>0.11897504058322581</v>
      </c>
      <c r="F390">
        <v>0.11554939867077239</v>
      </c>
      <c r="G390">
        <v>-0.58227809029370992</v>
      </c>
      <c r="H390">
        <v>-0.91306990941422361</v>
      </c>
      <c r="I390">
        <v>-0.79497584787476006</v>
      </c>
      <c r="J390">
        <v>-0.51655899765489266</v>
      </c>
      <c r="M390" s="13">
        <v>0</v>
      </c>
      <c r="O390" s="10">
        <f t="shared" si="18"/>
        <v>1</v>
      </c>
      <c r="P390" s="10">
        <f t="shared" si="19"/>
        <v>0</v>
      </c>
      <c r="R390" s="14">
        <v>0.34205514087958455</v>
      </c>
      <c r="S390" s="14">
        <v>0.34514380681645351</v>
      </c>
      <c r="T390" s="14">
        <v>-0.42239370436623891</v>
      </c>
      <c r="U390" s="14">
        <v>-0.93534184021059619</v>
      </c>
      <c r="V390" s="14">
        <v>-0.1866187796733586</v>
      </c>
      <c r="W390" s="14">
        <v>0.81894083392500105</v>
      </c>
      <c r="X390" s="14">
        <v>0.7555510104063512</v>
      </c>
      <c r="Y390" s="14">
        <v>-0.4047616012089349</v>
      </c>
      <c r="Z390" s="14">
        <v>-0.90393740678284129</v>
      </c>
      <c r="AA390" s="14">
        <v>0.88652888019847864</v>
      </c>
      <c r="AB390" s="14">
        <v>0.73132294895007477</v>
      </c>
      <c r="AC390" s="14">
        <v>-3.7953885423985478E-2</v>
      </c>
      <c r="AD390" s="14">
        <v>0.54614485538663704</v>
      </c>
      <c r="AE390" s="14">
        <v>0.2071296148344498</v>
      </c>
      <c r="AF390" s="14">
        <v>5.6732476484531169E-2</v>
      </c>
      <c r="AG390" s="14">
        <v>-7.390823647981215E-3</v>
      </c>
      <c r="AH390" s="14">
        <v>-0.86101514584905092</v>
      </c>
      <c r="AI390" s="14">
        <v>-0.71380110697539856</v>
      </c>
      <c r="AJ390" s="14">
        <v>1.0950267219138881</v>
      </c>
      <c r="AK390" s="14">
        <v>-0.50599140140326104</v>
      </c>
      <c r="AM390" s="14">
        <v>-0.27894910089236324</v>
      </c>
      <c r="AN390" s="14">
        <v>-0.81274360850148175</v>
      </c>
      <c r="AO390" s="14">
        <v>-0.307590558154545</v>
      </c>
      <c r="AP390" s="14">
        <v>-1.959951823683331E-2</v>
      </c>
      <c r="AQ390" s="14">
        <v>-0.38764546753475337</v>
      </c>
      <c r="AR390" s="14">
        <v>-0.15729039610333101</v>
      </c>
      <c r="AS390" s="14">
        <v>0.79126107881442143</v>
      </c>
      <c r="AT390" s="14">
        <v>0.84936041598854051</v>
      </c>
      <c r="AU390" s="14">
        <v>8.3492836921339186E-2</v>
      </c>
      <c r="AV390" s="14">
        <v>-0.5984092659055773</v>
      </c>
      <c r="AW390" s="14">
        <v>-0.62294195272893893</v>
      </c>
      <c r="AX390" s="14">
        <v>-0.16916545849952294</v>
      </c>
      <c r="AY390" s="14">
        <v>0.69242149340507175</v>
      </c>
      <c r="AZ390" s="14">
        <v>-0.79906394779857126</v>
      </c>
      <c r="BA390" s="14">
        <v>6.3688912752817531E-2</v>
      </c>
      <c r="BB390" s="14">
        <v>-2.3262283285109438E-2</v>
      </c>
      <c r="BC390" s="14">
        <v>0.51344543247514451</v>
      </c>
      <c r="BD390" s="14">
        <v>0.77320915397790024</v>
      </c>
      <c r="BE390" s="14">
        <v>0.71774987853206662</v>
      </c>
      <c r="BF390" s="14">
        <v>-0.29605165715314552</v>
      </c>
      <c r="BK390" s="16">
        <v>-0.46611813863649532</v>
      </c>
      <c r="BL390" s="16">
        <v>0.63069854283815319</v>
      </c>
      <c r="BN390" s="17">
        <f t="shared" si="17"/>
        <v>1</v>
      </c>
    </row>
    <row r="391" spans="1:66" x14ac:dyDescent="0.2">
      <c r="A391">
        <v>1.5196527712033681</v>
      </c>
      <c r="B391">
        <v>1.034877292948716</v>
      </c>
      <c r="C391">
        <v>1.5022104378585981</v>
      </c>
      <c r="D391">
        <v>1.4681822140527989</v>
      </c>
      <c r="E391">
        <v>0.49809992143569648</v>
      </c>
      <c r="F391">
        <v>1.168131437153225</v>
      </c>
      <c r="G391">
        <v>1.3227083410112921</v>
      </c>
      <c r="H391">
        <v>0.90476997711795903</v>
      </c>
      <c r="I391">
        <v>0.73358505211452929</v>
      </c>
      <c r="J391">
        <v>0.97768208842816939</v>
      </c>
      <c r="M391" s="13">
        <v>1</v>
      </c>
      <c r="O391" s="10">
        <f t="shared" si="18"/>
        <v>0</v>
      </c>
      <c r="P391" s="10">
        <f t="shared" si="19"/>
        <v>1</v>
      </c>
      <c r="R391" s="14">
        <v>0.39781319555054273</v>
      </c>
      <c r="S391" s="14">
        <v>-1.1178575348413022</v>
      </c>
      <c r="T391" s="14">
        <v>-0.52687975327317915</v>
      </c>
      <c r="U391" s="14">
        <v>-0.52776593178562414</v>
      </c>
      <c r="V391" s="14">
        <v>-6.156994815185779E-2</v>
      </c>
      <c r="W391" s="14">
        <v>-0.33628078905388409</v>
      </c>
      <c r="X391" s="14">
        <v>1.056738682239172</v>
      </c>
      <c r="Y391" s="14">
        <v>1.2921237736984055</v>
      </c>
      <c r="Z391" s="14">
        <v>0.48584979775295067</v>
      </c>
      <c r="AA391" s="14">
        <v>-0.12039006420154974</v>
      </c>
      <c r="AB391" s="14">
        <v>-0.86852469515688957</v>
      </c>
      <c r="AC391" s="14">
        <v>0.33850315024870842</v>
      </c>
      <c r="AD391" s="14">
        <v>1.1136316163699393</v>
      </c>
      <c r="AE391" s="14">
        <v>-0.62236200820707333</v>
      </c>
      <c r="AF391" s="14">
        <v>0.38566992467729888</v>
      </c>
      <c r="AG391" s="14">
        <v>-0.23768101871454694</v>
      </c>
      <c r="AH391" s="14">
        <v>-0.10539168671506594</v>
      </c>
      <c r="AI391" s="14">
        <v>0.33204424374002117</v>
      </c>
      <c r="AJ391" s="14">
        <v>1.5447445318224289</v>
      </c>
      <c r="AK391" s="14">
        <v>-1.3025313015855078</v>
      </c>
      <c r="AM391" s="14">
        <v>-0.3925127938682777</v>
      </c>
      <c r="AN391" s="14">
        <v>-0.54855672946810052</v>
      </c>
      <c r="AO391" s="14">
        <v>-0.20756498487871752</v>
      </c>
      <c r="AP391" s="14">
        <v>0.17670134236773591</v>
      </c>
      <c r="AQ391" s="14">
        <v>-9.9501299297733783E-2</v>
      </c>
      <c r="AR391" s="14">
        <v>0.3331591708727541</v>
      </c>
      <c r="AS391" s="14">
        <v>0.55728521407731602</v>
      </c>
      <c r="AT391" s="14">
        <v>0.48718257426035461</v>
      </c>
      <c r="AU391" s="14">
        <v>-0.19822529598140934</v>
      </c>
      <c r="AV391" s="14">
        <v>-0.23732004092872064</v>
      </c>
      <c r="AW391" s="14">
        <v>-0.52590055738637276</v>
      </c>
      <c r="AX391" s="14">
        <v>-0.28867586254836625</v>
      </c>
      <c r="AY391" s="14">
        <v>0.42337261739528415</v>
      </c>
      <c r="AZ391" s="14">
        <v>-0.60291658242177626</v>
      </c>
      <c r="BA391" s="14">
        <v>-0.20381992544930538</v>
      </c>
      <c r="BB391" s="14">
        <v>0.25725504722721737</v>
      </c>
      <c r="BC391" s="14">
        <v>0.22938375280908907</v>
      </c>
      <c r="BD391" s="14">
        <v>0.5412828134772526</v>
      </c>
      <c r="BE391" s="14">
        <v>0.40594593641531229</v>
      </c>
      <c r="BF391" s="14">
        <v>0.10820415378869588</v>
      </c>
      <c r="BK391" s="16">
        <v>-0.51146347422378347</v>
      </c>
      <c r="BL391" s="16">
        <v>0.59860916743124803</v>
      </c>
      <c r="BN391" s="17">
        <f t="shared" si="17"/>
        <v>1</v>
      </c>
    </row>
    <row r="392" spans="1:66" x14ac:dyDescent="0.2">
      <c r="A392">
        <v>-1.1366965550582491</v>
      </c>
      <c r="B392">
        <v>-1.6598950428088941</v>
      </c>
      <c r="C392">
        <v>-1.118620867784949</v>
      </c>
      <c r="D392">
        <v>-0.9854360660210989</v>
      </c>
      <c r="E392">
        <v>-0.54969717574382781</v>
      </c>
      <c r="F392">
        <v>-0.89450782954083408</v>
      </c>
      <c r="G392">
        <v>-0.78394645126240003</v>
      </c>
      <c r="H392">
        <v>-1.0497184658050249</v>
      </c>
      <c r="I392">
        <v>-0.89327843182540378</v>
      </c>
      <c r="J392">
        <v>-0.7525706183871943</v>
      </c>
      <c r="M392" s="13">
        <v>0</v>
      </c>
      <c r="O392" s="10">
        <f t="shared" si="18"/>
        <v>1</v>
      </c>
      <c r="P392" s="10">
        <f t="shared" si="19"/>
        <v>0</v>
      </c>
      <c r="R392" s="14">
        <v>-0.60403112419892691</v>
      </c>
      <c r="S392" s="14">
        <v>-1.1080015542648713</v>
      </c>
      <c r="T392" s="14">
        <v>-0.8285530079524408</v>
      </c>
      <c r="U392" s="14">
        <v>-1.4038622906686973</v>
      </c>
      <c r="V392" s="14">
        <v>-0.66562991447245956</v>
      </c>
      <c r="W392" s="14">
        <v>0.35627725079006917</v>
      </c>
      <c r="X392" s="14">
        <v>1.0653802001315957</v>
      </c>
      <c r="Y392" s="14">
        <v>0.68552693490454442</v>
      </c>
      <c r="Z392" s="14">
        <v>-0.77765783344282724</v>
      </c>
      <c r="AA392" s="14">
        <v>-0.29667131051629303</v>
      </c>
      <c r="AB392" s="14">
        <v>0.78580782375325142</v>
      </c>
      <c r="AC392" s="14">
        <v>-0.35107215655966828</v>
      </c>
      <c r="AD392" s="14">
        <v>1.1199225135744408</v>
      </c>
      <c r="AE392" s="14">
        <v>-0.66096456101050105</v>
      </c>
      <c r="AF392" s="14">
        <v>-0.30569145626240168</v>
      </c>
      <c r="AG392" s="14">
        <v>-0.61317090646888439</v>
      </c>
      <c r="AH392" s="14">
        <v>-4.372472406941974E-2</v>
      </c>
      <c r="AI392" s="14">
        <v>0.30650248968340221</v>
      </c>
      <c r="AJ392" s="14">
        <v>1.5663247705825012</v>
      </c>
      <c r="AK392" s="14">
        <v>-0.58828975379641502</v>
      </c>
      <c r="AM392" s="14">
        <v>2.4668492404841088E-2</v>
      </c>
      <c r="AN392" s="14">
        <v>-0.51775300519944012</v>
      </c>
      <c r="AO392" s="14">
        <v>-0.20694111638411414</v>
      </c>
      <c r="AP392" s="14">
        <v>0.26371873086329461</v>
      </c>
      <c r="AQ392" s="14">
        <v>-0.35065366583600061</v>
      </c>
      <c r="AR392" s="14">
        <v>2.6796903943526892E-2</v>
      </c>
      <c r="AS392" s="14">
        <v>0.62730490468334255</v>
      </c>
      <c r="AT392" s="14">
        <v>0.39151282577431884</v>
      </c>
      <c r="AU392" s="14">
        <v>-0.44160819433737503</v>
      </c>
      <c r="AV392" s="14">
        <v>-0.15417848323135733</v>
      </c>
      <c r="AW392" s="14">
        <v>-0.28444011944907505</v>
      </c>
      <c r="AX392" s="14">
        <v>-0.31577253007227341</v>
      </c>
      <c r="AY392" s="14">
        <v>0.49738659313905437</v>
      </c>
      <c r="AZ392" s="14">
        <v>-0.54175221288864095</v>
      </c>
      <c r="BA392" s="14">
        <v>0.13285132302292091</v>
      </c>
      <c r="BB392" s="14">
        <v>0.20996097910300218</v>
      </c>
      <c r="BC392" s="14">
        <v>0.29659317658226447</v>
      </c>
      <c r="BD392" s="14">
        <v>0.48968123038796818</v>
      </c>
      <c r="BE392" s="14">
        <v>0.42740978224548132</v>
      </c>
      <c r="BF392" s="14">
        <v>-0.25694541507394497</v>
      </c>
      <c r="BK392" s="16">
        <v>0.75042593267265778</v>
      </c>
      <c r="BL392" s="16">
        <v>-0.24023741438869128</v>
      </c>
      <c r="BN392" s="17">
        <f t="shared" si="17"/>
        <v>0</v>
      </c>
    </row>
    <row r="393" spans="1:66" x14ac:dyDescent="0.2">
      <c r="A393">
        <v>-1.5730355294258731</v>
      </c>
      <c r="B393">
        <v>-0.52706081249040826</v>
      </c>
      <c r="C393">
        <v>-1.553558509639966</v>
      </c>
      <c r="D393">
        <v>-1.236727567488076</v>
      </c>
      <c r="E393">
        <v>-0.57088356614440716</v>
      </c>
      <c r="F393">
        <v>-1.1329195209426901</v>
      </c>
      <c r="G393">
        <v>-1.2869671539067371</v>
      </c>
      <c r="H393">
        <v>-1.300240819188162</v>
      </c>
      <c r="I393">
        <v>-1.0305478058105371</v>
      </c>
      <c r="J393">
        <v>-1.755320499366567</v>
      </c>
      <c r="M393" s="13">
        <v>0</v>
      </c>
      <c r="O393" s="10">
        <f t="shared" si="18"/>
        <v>1</v>
      </c>
      <c r="P393" s="10">
        <f t="shared" si="19"/>
        <v>0</v>
      </c>
      <c r="R393" s="14">
        <v>-0.74567318803694427</v>
      </c>
      <c r="S393" s="14">
        <v>-1.1265587979317897</v>
      </c>
      <c r="T393" s="14">
        <v>-0.77262737142198956</v>
      </c>
      <c r="U393" s="14">
        <v>-0.89171501491890004</v>
      </c>
      <c r="V393" s="14">
        <v>-0.65930400013989288</v>
      </c>
      <c r="W393" s="14">
        <v>0.56606816351964251</v>
      </c>
      <c r="X393" s="14">
        <v>1.065260247740049</v>
      </c>
      <c r="Y393" s="14">
        <v>1.0399311431745177</v>
      </c>
      <c r="Z393" s="14">
        <v>-0.68429316199713974</v>
      </c>
      <c r="AA393" s="14">
        <v>-0.29508162078633315</v>
      </c>
      <c r="AB393" s="14">
        <v>0.72037157695722775</v>
      </c>
      <c r="AC393" s="14">
        <v>-0.36848751968773519</v>
      </c>
      <c r="AD393" s="14">
        <v>1.0870701409604968</v>
      </c>
      <c r="AE393" s="14">
        <v>-0.66225438153374938</v>
      </c>
      <c r="AF393" s="14">
        <v>-0.15411619787592556</v>
      </c>
      <c r="AG393" s="14">
        <v>-0.49232911699725135</v>
      </c>
      <c r="AH393" s="14">
        <v>-2.2739881521325778E-2</v>
      </c>
      <c r="AI393" s="14">
        <v>0.30093163698756531</v>
      </c>
      <c r="AJ393" s="14">
        <v>1.5560860643242409</v>
      </c>
      <c r="AK393" s="14">
        <v>-0.42060575146347767</v>
      </c>
      <c r="AM393" s="14">
        <v>0.38577288244127328</v>
      </c>
      <c r="AN393" s="14">
        <v>-0.13560368984007209</v>
      </c>
      <c r="AO393" s="14">
        <v>8.607359629230843E-2</v>
      </c>
      <c r="AP393" s="14">
        <v>0.12878886862099825</v>
      </c>
      <c r="AQ393" s="14">
        <v>0.46366897557402059</v>
      </c>
      <c r="AR393" s="14">
        <v>-0.4084196100631734</v>
      </c>
      <c r="AS393" s="14">
        <v>-4.9308006673959653E-2</v>
      </c>
      <c r="AT393" s="14">
        <v>0.44254233749224964</v>
      </c>
      <c r="AU393" s="14">
        <v>0.63489209046197903</v>
      </c>
      <c r="AV393" s="14">
        <v>0.18623934710330717</v>
      </c>
      <c r="AW393" s="14">
        <v>-0.6078245580934597</v>
      </c>
      <c r="AX393" s="14">
        <v>0.41727118250058554</v>
      </c>
      <c r="AY393" s="14">
        <v>0.14797081578244933</v>
      </c>
      <c r="AZ393" s="14">
        <v>0.13086825357823278</v>
      </c>
      <c r="BA393" s="14">
        <v>0.23982252456277783</v>
      </c>
      <c r="BB393" s="14">
        <v>0.19020573223398632</v>
      </c>
      <c r="BC393" s="14">
        <v>3.331006901721909E-4</v>
      </c>
      <c r="BD393" s="14">
        <v>0.25749859486159732</v>
      </c>
      <c r="BE393" s="14">
        <v>3.6954315172527931E-2</v>
      </c>
      <c r="BF393" s="14">
        <v>-0.32470600225719648</v>
      </c>
      <c r="BK393" s="16">
        <v>0.60526756529741299</v>
      </c>
      <c r="BL393" s="16">
        <v>-0.25577780186253346</v>
      </c>
      <c r="BN393" s="17">
        <f t="shared" si="17"/>
        <v>0</v>
      </c>
    </row>
    <row r="394" spans="1:66" x14ac:dyDescent="0.2">
      <c r="A394">
        <v>0.35875091279409321</v>
      </c>
      <c r="B394">
        <v>0.24042211843964781</v>
      </c>
      <c r="C394">
        <v>0.40241582820611999</v>
      </c>
      <c r="D394">
        <v>0.23244977900384989</v>
      </c>
      <c r="E394">
        <v>0.95156301422002432</v>
      </c>
      <c r="F394">
        <v>1.211524100694904</v>
      </c>
      <c r="G394">
        <v>1.0423151952791589</v>
      </c>
      <c r="H394">
        <v>0.98344641867629923</v>
      </c>
      <c r="I394">
        <v>0.81506106764118891</v>
      </c>
      <c r="J394">
        <v>1.4209526451335079</v>
      </c>
      <c r="M394" s="13">
        <v>1</v>
      </c>
      <c r="O394" s="10">
        <f t="shared" si="18"/>
        <v>0</v>
      </c>
      <c r="P394" s="10">
        <f t="shared" si="19"/>
        <v>1</v>
      </c>
      <c r="R394" s="14">
        <v>-0.58905354321611936</v>
      </c>
      <c r="S394" s="14">
        <v>-1.1323663456534614</v>
      </c>
      <c r="T394" s="14">
        <v>-0.7027823972492544</v>
      </c>
      <c r="U394" s="14">
        <v>-0.61023000523190318</v>
      </c>
      <c r="V394" s="14">
        <v>-0.36876457817694985</v>
      </c>
      <c r="W394" s="14">
        <v>-0.14633567926809016</v>
      </c>
      <c r="X394" s="14">
        <v>1.0648707813311418</v>
      </c>
      <c r="Y394" s="14">
        <v>1.3394986684398795</v>
      </c>
      <c r="Z394" s="14">
        <v>0.44869654174851004</v>
      </c>
      <c r="AA394" s="14">
        <v>-0.28198062109173472</v>
      </c>
      <c r="AB394" s="14">
        <v>-0.9382854721889925</v>
      </c>
      <c r="AC394" s="14">
        <v>-0.20792258157415078</v>
      </c>
      <c r="AD394" s="14">
        <v>1.1270421719731569</v>
      </c>
      <c r="AE394" s="14">
        <v>-0.6618415073119901</v>
      </c>
      <c r="AF394" s="14">
        <v>-0.14294599230088845</v>
      </c>
      <c r="AG394" s="14">
        <v>-0.36279939154769958</v>
      </c>
      <c r="AH394" s="14">
        <v>5.2794848421004348E-2</v>
      </c>
      <c r="AI394" s="14">
        <v>0.34036166468710927</v>
      </c>
      <c r="AJ394" s="14">
        <v>1.562079984908376</v>
      </c>
      <c r="AK394" s="14">
        <v>-1.017788102036397</v>
      </c>
      <c r="AM394" s="14">
        <v>0.18196691035786158</v>
      </c>
      <c r="AN394" s="14">
        <v>-0.59258093244394239</v>
      </c>
      <c r="AO394" s="14">
        <v>-0.10958973112815715</v>
      </c>
      <c r="AP394" s="14">
        <v>0.19396661780542418</v>
      </c>
      <c r="AQ394" s="14">
        <v>-0.26618383778877003</v>
      </c>
      <c r="AR394" s="14">
        <v>-0.34598158943443241</v>
      </c>
      <c r="AS394" s="14">
        <v>0.59257862597739897</v>
      </c>
      <c r="AT394" s="14">
        <v>0.65807123955188407</v>
      </c>
      <c r="AU394" s="14">
        <v>1.5312675037893636E-2</v>
      </c>
      <c r="AV394" s="14">
        <v>-0.27062685278787829</v>
      </c>
      <c r="AW394" s="14">
        <v>-0.49140924285355647</v>
      </c>
      <c r="AX394" s="14">
        <v>-3.4009714459411942E-2</v>
      </c>
      <c r="AY394" s="14">
        <v>0.51903520019426419</v>
      </c>
      <c r="AZ394" s="14">
        <v>-0.51445159761317727</v>
      </c>
      <c r="BA394" s="14">
        <v>0.29575133010935523</v>
      </c>
      <c r="BB394" s="14">
        <v>3.5945234130445543E-2</v>
      </c>
      <c r="BC394" s="14">
        <v>0.37330494486395566</v>
      </c>
      <c r="BD394" s="14">
        <v>0.55595679624255989</v>
      </c>
      <c r="BE394" s="14">
        <v>0.48374281983306194</v>
      </c>
      <c r="BF394" s="14">
        <v>-0.48990786674422138</v>
      </c>
      <c r="BK394" s="16">
        <v>0.86395973222089639</v>
      </c>
      <c r="BL394" s="16">
        <v>-6.1166332081070002E-2</v>
      </c>
      <c r="BN394" s="17">
        <f t="shared" si="17"/>
        <v>0</v>
      </c>
    </row>
    <row r="395" spans="1:66" x14ac:dyDescent="0.2">
      <c r="A395">
        <v>2.1086817929578281</v>
      </c>
      <c r="B395">
        <v>0.8068392335988912</v>
      </c>
      <c r="C395">
        <v>2.1454865302968402</v>
      </c>
      <c r="D395">
        <v>2.1388685810837922</v>
      </c>
      <c r="E395">
        <v>1.927252045825647</v>
      </c>
      <c r="F395">
        <v>2.3508914662607161</v>
      </c>
      <c r="G395">
        <v>2.705504073382158</v>
      </c>
      <c r="H395">
        <v>2.0248740529880171</v>
      </c>
      <c r="I395">
        <v>2.0938802678639781</v>
      </c>
      <c r="J395">
        <v>1.8717108801615709</v>
      </c>
      <c r="M395" s="13">
        <v>1</v>
      </c>
      <c r="O395" s="10">
        <f t="shared" si="18"/>
        <v>0</v>
      </c>
      <c r="P395" s="10">
        <f t="shared" si="19"/>
        <v>1</v>
      </c>
      <c r="R395" s="14">
        <v>-0.63362866033530041</v>
      </c>
      <c r="S395" s="14">
        <v>-1.0887874685103465</v>
      </c>
      <c r="T395" s="14">
        <v>-0.52375504478720791</v>
      </c>
      <c r="U395" s="14">
        <v>-0.34543657891473656</v>
      </c>
      <c r="V395" s="14">
        <v>9.9273720773398633E-2</v>
      </c>
      <c r="W395" s="14">
        <v>0.73449005359477804</v>
      </c>
      <c r="X395" s="14">
        <v>1.0490237858256151</v>
      </c>
      <c r="Y395" s="14">
        <v>1.0685112696969694</v>
      </c>
      <c r="Z395" s="14">
        <v>-0.18156420904210957</v>
      </c>
      <c r="AA395" s="14">
        <v>1.1667719598670412E-2</v>
      </c>
      <c r="AB395" s="14">
        <v>-0.93328869981057982</v>
      </c>
      <c r="AC395" s="14">
        <v>-0.27656929536396557</v>
      </c>
      <c r="AD395" s="14">
        <v>0.99043620639397556</v>
      </c>
      <c r="AE395" s="14">
        <v>-0.65678744299164804</v>
      </c>
      <c r="AF395" s="14">
        <v>-0.18016811751676032</v>
      </c>
      <c r="AG395" s="14">
        <v>0.36884400474191165</v>
      </c>
      <c r="AH395" s="14">
        <v>-0.28221218173633017</v>
      </c>
      <c r="AI395" s="14">
        <v>0.30445851622617737</v>
      </c>
      <c r="AJ395" s="14">
        <v>1.4304952166425415</v>
      </c>
      <c r="AK395" s="14">
        <v>-0.45859446646606139</v>
      </c>
      <c r="AM395" s="14">
        <v>0.41904878866300632</v>
      </c>
      <c r="AN395" s="14">
        <v>0.56021073360052565</v>
      </c>
      <c r="AO395" s="14">
        <v>0.56228717375038562</v>
      </c>
      <c r="AP395" s="14">
        <v>0.73087316986014628</v>
      </c>
      <c r="AQ395" s="14">
        <v>0.82344838760353023</v>
      </c>
      <c r="AR395" s="14">
        <v>-0.58726224893776169</v>
      </c>
      <c r="AS395" s="14">
        <v>-0.81879413535290591</v>
      </c>
      <c r="AT395" s="14">
        <v>-6.84883002338737E-2</v>
      </c>
      <c r="AU395" s="14">
        <v>0.8511572667172117</v>
      </c>
      <c r="AV395" s="14">
        <v>0.67385790527183753</v>
      </c>
      <c r="AW395" s="14">
        <v>-0.72951603475966631</v>
      </c>
      <c r="AX395" s="14">
        <v>0.58112953007863333</v>
      </c>
      <c r="AY395" s="14">
        <v>-0.61484107341588701</v>
      </c>
      <c r="AZ395" s="14">
        <v>0.76146520403934947</v>
      </c>
      <c r="BA395" s="14">
        <v>0.42690866645859193</v>
      </c>
      <c r="BB395" s="14">
        <v>0.52771950768026976</v>
      </c>
      <c r="BC395" s="14">
        <v>-0.20003808715386595</v>
      </c>
      <c r="BD395" s="14">
        <v>-0.49669771766812565</v>
      </c>
      <c r="BE395" s="14">
        <v>-0.78038567946749504</v>
      </c>
      <c r="BF395" s="14">
        <v>-0.21619471739983043</v>
      </c>
      <c r="BK395" s="16">
        <v>0.76021166800776308</v>
      </c>
      <c r="BL395" s="16">
        <v>0.10721157604622612</v>
      </c>
      <c r="BN395" s="17">
        <f t="shared" si="17"/>
        <v>0</v>
      </c>
    </row>
    <row r="396" spans="1:66" x14ac:dyDescent="0.2">
      <c r="A396">
        <v>-0.61057354533581887</v>
      </c>
      <c r="B396">
        <v>-0.31128286385831611</v>
      </c>
      <c r="C396">
        <v>-0.6073201285050045</v>
      </c>
      <c r="D396">
        <v>-0.62677717618392426</v>
      </c>
      <c r="E396">
        <v>-0.1378634816413401</v>
      </c>
      <c r="F396">
        <v>-0.53992777888596788</v>
      </c>
      <c r="G396">
        <v>-0.436841718441765</v>
      </c>
      <c r="H396">
        <v>-0.5983641431808614</v>
      </c>
      <c r="I396">
        <v>-0.60102750656673321</v>
      </c>
      <c r="J396">
        <v>-0.81696465196263202</v>
      </c>
      <c r="M396" s="13">
        <v>0</v>
      </c>
      <c r="O396" s="10">
        <f t="shared" si="18"/>
        <v>1</v>
      </c>
      <c r="P396" s="10">
        <f t="shared" si="19"/>
        <v>0</v>
      </c>
      <c r="R396" s="14">
        <v>-0.15859228263354411</v>
      </c>
      <c r="S396" s="14">
        <v>-1.0836336083087124</v>
      </c>
      <c r="T396" s="14">
        <v>-0.53587374029871826</v>
      </c>
      <c r="U396" s="14">
        <v>-0.19581229191652383</v>
      </c>
      <c r="V396" s="14">
        <v>-0.35532532330178335</v>
      </c>
      <c r="W396" s="14">
        <v>0.16825335442094957</v>
      </c>
      <c r="X396" s="14">
        <v>1.0592921418150931</v>
      </c>
      <c r="Y396" s="14">
        <v>0.8153803311123955</v>
      </c>
      <c r="Z396" s="14">
        <v>-0.58605954492604062</v>
      </c>
      <c r="AA396" s="14">
        <v>0.1248976447907495</v>
      </c>
      <c r="AB396" s="14">
        <v>-0.3549910576930142</v>
      </c>
      <c r="AC396" s="14">
        <v>-0.28552070519606831</v>
      </c>
      <c r="AD396" s="14">
        <v>1.0698442218904072</v>
      </c>
      <c r="AE396" s="14">
        <v>-0.64416525874435404</v>
      </c>
      <c r="AF396" s="14">
        <v>0.18856580177807714</v>
      </c>
      <c r="AG396" s="14">
        <v>0.25651095259170109</v>
      </c>
      <c r="AH396" s="14">
        <v>-0.14921403246348031</v>
      </c>
      <c r="AI396" s="14">
        <v>0.28567473461491255</v>
      </c>
      <c r="AJ396" s="14">
        <v>1.4188867925888857</v>
      </c>
      <c r="AK396" s="14">
        <v>-0.97280973734014764</v>
      </c>
      <c r="AM396" s="14">
        <v>-4.9659805602229386E-2</v>
      </c>
      <c r="AN396" s="14">
        <v>0.90666031143815695</v>
      </c>
      <c r="AO396" s="14">
        <v>0.54992223233521442</v>
      </c>
      <c r="AP396" s="14">
        <v>0.55620975798797789</v>
      </c>
      <c r="AQ396" s="14">
        <v>0.92149274939107229</v>
      </c>
      <c r="AR396" s="14">
        <v>0.31597672217262396</v>
      </c>
      <c r="AS396" s="14">
        <v>-0.97045258754942121</v>
      </c>
      <c r="AT396" s="14">
        <v>-0.87355483837421266</v>
      </c>
      <c r="AU396" s="14">
        <v>0.81370664187449993</v>
      </c>
      <c r="AV396" s="14">
        <v>0.83244935543981546</v>
      </c>
      <c r="AW396" s="14">
        <v>-0.13496415690017385</v>
      </c>
      <c r="AX396" s="14">
        <v>0.5157904828260641</v>
      </c>
      <c r="AY396" s="14">
        <v>-0.90263604009412746</v>
      </c>
      <c r="AZ396" s="14">
        <v>0.92872201178004021</v>
      </c>
      <c r="BA396" s="14">
        <v>-0.33270463244876686</v>
      </c>
      <c r="BB396" s="14">
        <v>0.44718583590886773</v>
      </c>
      <c r="BC396" s="14">
        <v>-0.6993043940703273</v>
      </c>
      <c r="BD396" s="14">
        <v>-0.84725872535392843</v>
      </c>
      <c r="BE396" s="14">
        <v>-0.93430797453155345</v>
      </c>
      <c r="BF396" s="14">
        <v>0.65603231963497743</v>
      </c>
      <c r="BK396" s="16">
        <v>1.0506833916163123</v>
      </c>
      <c r="BL396" s="16">
        <v>-0.10904914005505748</v>
      </c>
      <c r="BN396" s="17">
        <f t="shared" si="17"/>
        <v>0</v>
      </c>
    </row>
    <row r="397" spans="1:66" x14ac:dyDescent="0.2">
      <c r="A397">
        <v>-5.0138165414099663E-2</v>
      </c>
      <c r="B397">
        <v>-0.44369205960982722</v>
      </c>
      <c r="C397">
        <v>-0.12258046659025169</v>
      </c>
      <c r="D397">
        <v>-0.15787241571461641</v>
      </c>
      <c r="E397">
        <v>-0.95502627630227821</v>
      </c>
      <c r="F397">
        <v>-0.80053171821342539</v>
      </c>
      <c r="G397">
        <v>-0.45601171473156438</v>
      </c>
      <c r="H397">
        <v>-0.31678529970890618</v>
      </c>
      <c r="I397">
        <v>-0.3796252904616797</v>
      </c>
      <c r="J397">
        <v>-0.5706200351449694</v>
      </c>
      <c r="M397" s="13">
        <v>0</v>
      </c>
      <c r="O397" s="10">
        <f t="shared" si="18"/>
        <v>1</v>
      </c>
      <c r="P397" s="10">
        <f t="shared" si="19"/>
        <v>0</v>
      </c>
      <c r="R397" s="14">
        <v>0.72790394276729498</v>
      </c>
      <c r="S397" s="14">
        <v>-0.61039131214899034</v>
      </c>
      <c r="T397" s="14">
        <v>0.31444865146931977</v>
      </c>
      <c r="U397" s="14">
        <v>-0.46192760850333447</v>
      </c>
      <c r="V397" s="14">
        <v>1.1156037086463535</v>
      </c>
      <c r="W397" s="14">
        <v>-0.14527472976479811</v>
      </c>
      <c r="X397" s="14">
        <v>-0.24574387779901646</v>
      </c>
      <c r="Y397" s="14">
        <v>1.1436567743498793</v>
      </c>
      <c r="Z397" s="14">
        <v>0.57882781780549764</v>
      </c>
      <c r="AA397" s="14">
        <v>1.148784029044954</v>
      </c>
      <c r="AB397" s="14">
        <v>-1.1619283535528462</v>
      </c>
      <c r="AC397" s="14">
        <v>1.2666251628790177</v>
      </c>
      <c r="AD397" s="14">
        <v>0.66001178624566303</v>
      </c>
      <c r="AE397" s="14">
        <v>0.76201884415069443</v>
      </c>
      <c r="AF397" s="14">
        <v>0.84976801896449305</v>
      </c>
      <c r="AG397" s="14">
        <v>0.60529238762583581</v>
      </c>
      <c r="AH397" s="14">
        <v>-0.6414199677086897</v>
      </c>
      <c r="AI397" s="14">
        <v>0.14271938254353844</v>
      </c>
      <c r="AJ397" s="14">
        <v>0.89570859914038081</v>
      </c>
      <c r="AK397" s="14">
        <v>-1.0811945438689654</v>
      </c>
      <c r="AM397" s="14">
        <v>-0.14744516579384229</v>
      </c>
      <c r="AN397" s="14">
        <v>-0.45191031368963697</v>
      </c>
      <c r="AO397" s="14">
        <v>-0.12096277582336601</v>
      </c>
      <c r="AP397" s="14">
        <v>0.14650179995867776</v>
      </c>
      <c r="AQ397" s="14">
        <v>-0.42254925488971062</v>
      </c>
      <c r="AR397" s="14">
        <v>-0.10265556440082292</v>
      </c>
      <c r="AS397" s="14">
        <v>0.4489799068712344</v>
      </c>
      <c r="AT397" s="14">
        <v>0.38429049795159703</v>
      </c>
      <c r="AU397" s="14">
        <v>-0.27120389755827606</v>
      </c>
      <c r="AV397" s="14">
        <v>-0.33342794603168807</v>
      </c>
      <c r="AW397" s="14">
        <v>-8.0423218156836132E-2</v>
      </c>
      <c r="AX397" s="14">
        <v>-0.26613198027223761</v>
      </c>
      <c r="AY397" s="14">
        <v>0.31891716559290251</v>
      </c>
      <c r="AZ397" s="14">
        <v>-0.47512713430349857</v>
      </c>
      <c r="BA397" s="14">
        <v>0.11871895884855048</v>
      </c>
      <c r="BB397" s="14">
        <v>-0.10025580098249998</v>
      </c>
      <c r="BC397" s="14">
        <v>0.31201514203558428</v>
      </c>
      <c r="BD397" s="14">
        <v>0.33967295671448205</v>
      </c>
      <c r="BE397" s="14">
        <v>0.32837497504955432</v>
      </c>
      <c r="BF397" s="14">
        <v>-0.2241101261523068</v>
      </c>
      <c r="BK397" s="16">
        <v>0.2359171980626113</v>
      </c>
      <c r="BL397" s="16">
        <v>0.81385252100755023</v>
      </c>
      <c r="BN397" s="17">
        <f t="shared" si="17"/>
        <v>1</v>
      </c>
    </row>
    <row r="398" spans="1:66" x14ac:dyDescent="0.2">
      <c r="A398">
        <v>-0.2074031954941741</v>
      </c>
      <c r="B398">
        <v>-2.439627306337442E-2</v>
      </c>
      <c r="C398">
        <v>-0.19105824417238729</v>
      </c>
      <c r="D398">
        <v>-0.3046750110733315</v>
      </c>
      <c r="E398">
        <v>0.1803040654270078</v>
      </c>
      <c r="F398">
        <v>-6.9179368978091349E-2</v>
      </c>
      <c r="G398">
        <v>8.8416179898739414E-2</v>
      </c>
      <c r="H398">
        <v>-0.34163049177996091</v>
      </c>
      <c r="I398">
        <v>-0.39609761533989563</v>
      </c>
      <c r="J398">
        <v>0.42059882121740688</v>
      </c>
      <c r="M398" s="13">
        <v>0</v>
      </c>
      <c r="O398" s="10">
        <f t="shared" si="18"/>
        <v>1</v>
      </c>
      <c r="P398" s="10">
        <f t="shared" si="19"/>
        <v>0</v>
      </c>
      <c r="R398" s="14">
        <v>0.14066625399939806</v>
      </c>
      <c r="S398" s="14">
        <v>-1.1180542985740756</v>
      </c>
      <c r="T398" s="14">
        <v>-0.41798952455744631</v>
      </c>
      <c r="U398" s="14">
        <v>-0.3388113183014303</v>
      </c>
      <c r="V398" s="14">
        <v>-0.30332838944094376</v>
      </c>
      <c r="W398" s="14">
        <v>-0.2480100902068027</v>
      </c>
      <c r="X398" s="14">
        <v>1.0589267892898728</v>
      </c>
      <c r="Y398" s="14">
        <v>1.2370886644356802</v>
      </c>
      <c r="Z398" s="14">
        <v>0.12751751372255049</v>
      </c>
      <c r="AA398" s="14">
        <v>-0.11828974062177111</v>
      </c>
      <c r="AB398" s="14">
        <v>-0.80811030340041667</v>
      </c>
      <c r="AC398" s="14">
        <v>8.7172021968425772E-3</v>
      </c>
      <c r="AD398" s="14">
        <v>1.1027228780157396</v>
      </c>
      <c r="AE398" s="14">
        <v>-0.64040741208028495</v>
      </c>
      <c r="AF398" s="14">
        <v>0.39484184181253196</v>
      </c>
      <c r="AG398" s="14">
        <v>-0.14584418210772776</v>
      </c>
      <c r="AH398" s="14">
        <v>-6.051942347493966E-2</v>
      </c>
      <c r="AI398" s="14">
        <v>0.32273659872995475</v>
      </c>
      <c r="AJ398" s="14">
        <v>1.5178490759575429</v>
      </c>
      <c r="AK398" s="14">
        <v>-1.2636786492415077</v>
      </c>
      <c r="AM398" s="14">
        <v>0.52699303871139103</v>
      </c>
      <c r="AN398" s="14">
        <v>0.48334806266379565</v>
      </c>
      <c r="AO398" s="14">
        <v>0.53887080000286824</v>
      </c>
      <c r="AP398" s="14">
        <v>0.58086991700272017</v>
      </c>
      <c r="AQ398" s="14">
        <v>0.76352450650614256</v>
      </c>
      <c r="AR398" s="14">
        <v>-0.89364599782064191</v>
      </c>
      <c r="AS398" s="14">
        <v>-0.61178446769844075</v>
      </c>
      <c r="AT398" s="14">
        <v>0.84819518282490547</v>
      </c>
      <c r="AU398" s="14">
        <v>0.96422942920034005</v>
      </c>
      <c r="AV398" s="14">
        <v>0.3664292107558903</v>
      </c>
      <c r="AW398" s="14">
        <v>-0.7761932000444125</v>
      </c>
      <c r="AX398" s="14">
        <v>0.86991149613057184</v>
      </c>
      <c r="AY398" s="14">
        <v>-0.41533604584119282</v>
      </c>
      <c r="AZ398" s="14">
        <v>0.74577645255941416</v>
      </c>
      <c r="BA398" s="14">
        <v>0.80797325504718798</v>
      </c>
      <c r="BB398" s="14">
        <v>0.34901750582622043</v>
      </c>
      <c r="BC398" s="14">
        <v>0.2536608905711904</v>
      </c>
      <c r="BD398" s="14">
        <v>-0.45654178548573682</v>
      </c>
      <c r="BE398" s="14">
        <v>-0.42782900286271058</v>
      </c>
      <c r="BF398" s="14">
        <v>-0.54814342511014591</v>
      </c>
      <c r="BK398" s="16">
        <v>0.27295417230826335</v>
      </c>
      <c r="BL398" s="16">
        <v>-0.47209727661253725</v>
      </c>
      <c r="BN398" s="17">
        <f t="shared" si="17"/>
        <v>0</v>
      </c>
    </row>
    <row r="399" spans="1:66" x14ac:dyDescent="0.2">
      <c r="A399">
        <v>-0.41041805250663321</v>
      </c>
      <c r="B399">
        <v>-0.37503543959052471</v>
      </c>
      <c r="C399">
        <v>-0.40064174525710472</v>
      </c>
      <c r="D399">
        <v>-0.44802342771772402</v>
      </c>
      <c r="E399">
        <v>-0.29824817388432162</v>
      </c>
      <c r="F399">
        <v>-0.21671442501980151</v>
      </c>
      <c r="G399">
        <v>-0.24335255589005611</v>
      </c>
      <c r="H399">
        <v>-0.56109635507427913</v>
      </c>
      <c r="I399">
        <v>-0.54523414810825965</v>
      </c>
      <c r="J399">
        <v>-0.5129649120599844</v>
      </c>
      <c r="M399" s="13">
        <v>0</v>
      </c>
      <c r="O399" s="10">
        <f t="shared" si="18"/>
        <v>1</v>
      </c>
      <c r="P399" s="10">
        <f t="shared" si="19"/>
        <v>0</v>
      </c>
      <c r="R399" s="14">
        <v>0.40309904662909624</v>
      </c>
      <c r="S399" s="14">
        <v>0.97487557013047488</v>
      </c>
      <c r="T399" s="14">
        <v>0.43636751887755298</v>
      </c>
      <c r="U399" s="14">
        <v>0.35367558310818026</v>
      </c>
      <c r="V399" s="14">
        <v>1.5010537375941966</v>
      </c>
      <c r="W399" s="14">
        <v>-0.67038308542236369</v>
      </c>
      <c r="X399" s="14">
        <v>-1.4658597346269582</v>
      </c>
      <c r="Y399" s="14">
        <v>0.33157468948672436</v>
      </c>
      <c r="Z399" s="14">
        <v>1.6535167037110554</v>
      </c>
      <c r="AA399" s="14">
        <v>1.2124390417295767</v>
      </c>
      <c r="AB399" s="14">
        <v>-0.2882971517631675</v>
      </c>
      <c r="AC399" s="14">
        <v>1.0574250180341416</v>
      </c>
      <c r="AD399" s="14">
        <v>-0.79955245233570249</v>
      </c>
      <c r="AE399" s="14">
        <v>1.6887048749030618</v>
      </c>
      <c r="AF399" s="14">
        <v>0.23038273142935295</v>
      </c>
      <c r="AG399" s="14">
        <v>0.27604507827075664</v>
      </c>
      <c r="AH399" s="14">
        <v>-0.83954845821721191</v>
      </c>
      <c r="AI399" s="14">
        <v>-1.5213103865210984</v>
      </c>
      <c r="AJ399" s="14">
        <v>-0.55563710278717604</v>
      </c>
      <c r="AK399" s="14">
        <v>-0.94416866680877565</v>
      </c>
      <c r="AM399" s="14">
        <v>0.36118495518149624</v>
      </c>
      <c r="AN399" s="14">
        <v>0.95062155617131605</v>
      </c>
      <c r="AO399" s="14">
        <v>0.66072709170475696</v>
      </c>
      <c r="AP399" s="14">
        <v>-1.4449219485354057E-2</v>
      </c>
      <c r="AQ399" s="14">
        <v>0.93497065380846767</v>
      </c>
      <c r="AR399" s="14">
        <v>-0.32196729632711568</v>
      </c>
      <c r="AS399" s="14">
        <v>-0.98260202041498279</v>
      </c>
      <c r="AT399" s="14">
        <v>-0.83927039089435018</v>
      </c>
      <c r="AU399" s="14">
        <v>0.93421207309653842</v>
      </c>
      <c r="AV399" s="14">
        <v>0.80869981846670869</v>
      </c>
      <c r="AW399" s="14">
        <v>0.16885199697904418</v>
      </c>
      <c r="AX399" s="14">
        <v>0.8134738764142615</v>
      </c>
      <c r="AY399" s="14">
        <v>-0.92811007765294196</v>
      </c>
      <c r="AZ399" s="14">
        <v>0.97192161875038885</v>
      </c>
      <c r="BA399" s="14">
        <v>-2.8652951801452956E-2</v>
      </c>
      <c r="BB399" s="14">
        <v>0.12815714958296293</v>
      </c>
      <c r="BC399" s="14">
        <v>-0.74011949118994502</v>
      </c>
      <c r="BD399" s="14">
        <v>-0.92080944057997582</v>
      </c>
      <c r="BE399" s="14">
        <v>-0.93957756078424615</v>
      </c>
      <c r="BF399" s="14">
        <v>0.51139873515292733</v>
      </c>
      <c r="BK399" s="16">
        <v>0.72816652972609375</v>
      </c>
      <c r="BL399" s="16">
        <v>-0.31222289989216162</v>
      </c>
      <c r="BN399" s="17">
        <f t="shared" si="17"/>
        <v>0</v>
      </c>
    </row>
    <row r="400" spans="1:66" x14ac:dyDescent="0.2">
      <c r="A400">
        <v>-0.90794742039632259</v>
      </c>
      <c r="B400">
        <v>-1.0199172633432561</v>
      </c>
      <c r="C400">
        <v>-0.92937319155795606</v>
      </c>
      <c r="D400">
        <v>-0.82251396999554449</v>
      </c>
      <c r="E400">
        <v>-1.065232675491256</v>
      </c>
      <c r="F400">
        <v>-0.79668836801401965</v>
      </c>
      <c r="G400">
        <v>-1.101759429752222</v>
      </c>
      <c r="H400">
        <v>-0.7805622183685974</v>
      </c>
      <c r="I400">
        <v>-0.71225997993791201</v>
      </c>
      <c r="J400">
        <v>-0.9232896841453313</v>
      </c>
      <c r="M400" s="13">
        <v>0</v>
      </c>
      <c r="O400" s="10">
        <f t="shared" si="18"/>
        <v>1</v>
      </c>
      <c r="P400" s="10">
        <f t="shared" si="19"/>
        <v>0</v>
      </c>
      <c r="R400" s="14">
        <v>0.24649723142750679</v>
      </c>
      <c r="S400" s="14">
        <v>1.0356248001790394</v>
      </c>
      <c r="T400" s="14">
        <v>0.43785943931500226</v>
      </c>
      <c r="U400" s="14">
        <v>0.15928481022615304</v>
      </c>
      <c r="V400" s="14">
        <v>1.5035202070785907</v>
      </c>
      <c r="W400" s="14">
        <v>0.6706019459396626</v>
      </c>
      <c r="X400" s="14">
        <v>-1.4659120663420366</v>
      </c>
      <c r="Y400" s="14">
        <v>-1.0471102747815144</v>
      </c>
      <c r="Z400" s="14">
        <v>1.2610671073917401</v>
      </c>
      <c r="AA400" s="14">
        <v>1.2160304150112848</v>
      </c>
      <c r="AB400" s="14">
        <v>-0.28521521599296296</v>
      </c>
      <c r="AC400" s="14">
        <v>1.0519221251266806</v>
      </c>
      <c r="AD400" s="14">
        <v>-0.81550306859193777</v>
      </c>
      <c r="AE400" s="14">
        <v>1.6893087861730691</v>
      </c>
      <c r="AF400" s="14">
        <v>0.13756582968678976</v>
      </c>
      <c r="AG400" s="14">
        <v>0.28211881333815014</v>
      </c>
      <c r="AH400" s="14">
        <v>-1.3492269721465688</v>
      </c>
      <c r="AI400" s="14">
        <v>-1.60225390940957</v>
      </c>
      <c r="AJ400" s="14">
        <v>-0.55675702393640014</v>
      </c>
      <c r="AK400" s="14">
        <v>0.1773757369029777</v>
      </c>
      <c r="AM400" s="14">
        <v>-0.11169027284739362</v>
      </c>
      <c r="AN400" s="14">
        <v>0.7685730753179405</v>
      </c>
      <c r="AO400" s="14">
        <v>0.57425683854593446</v>
      </c>
      <c r="AP400" s="14">
        <v>0.46208757659593686</v>
      </c>
      <c r="AQ400" s="14">
        <v>0.50568733128099042</v>
      </c>
      <c r="AR400" s="14">
        <v>0.42962595363206535</v>
      </c>
      <c r="AS400" s="14">
        <v>-0.83993405531500054</v>
      </c>
      <c r="AT400" s="14">
        <v>-0.83569427629583715</v>
      </c>
      <c r="AU400" s="14">
        <v>-0.14081609512812193</v>
      </c>
      <c r="AV400" s="14">
        <v>0.58477667509392084</v>
      </c>
      <c r="AW400" s="14">
        <v>0.20786193770873335</v>
      </c>
      <c r="AX400" s="14">
        <v>0.12839710536100812</v>
      </c>
      <c r="AY400" s="14">
        <v>-0.78734806600790008</v>
      </c>
      <c r="AZ400" s="14">
        <v>0.73790321761925393</v>
      </c>
      <c r="BA400" s="14">
        <v>-0.28085338291423023</v>
      </c>
      <c r="BB400" s="14">
        <v>0.11180756204449975</v>
      </c>
      <c r="BC400" s="14">
        <v>-0.41727251737038529</v>
      </c>
      <c r="BD400" s="14">
        <v>-0.76314020826652718</v>
      </c>
      <c r="BE400" s="14">
        <v>-0.80877934707902543</v>
      </c>
      <c r="BF400" s="14">
        <v>0.31332092204912559</v>
      </c>
      <c r="BK400" s="16">
        <v>0.83594832856444579</v>
      </c>
      <c r="BL400" s="16">
        <v>-0.13613650936904975</v>
      </c>
      <c r="BN400" s="17">
        <f t="shared" si="17"/>
        <v>0</v>
      </c>
    </row>
    <row r="401" spans="1:66" x14ac:dyDescent="0.2">
      <c r="A401">
        <v>-0.6963544708340409</v>
      </c>
      <c r="B401">
        <v>-0.42407588246145461</v>
      </c>
      <c r="C401">
        <v>-0.72393985881154976</v>
      </c>
      <c r="D401">
        <v>-0.66793947252960328</v>
      </c>
      <c r="E401">
        <v>-0.7931548198206595</v>
      </c>
      <c r="F401">
        <v>-0.77920732355865729</v>
      </c>
      <c r="G401">
        <v>-0.86829443493751757</v>
      </c>
      <c r="H401">
        <v>-0.62113890257932869</v>
      </c>
      <c r="I401">
        <v>-0.59659946224463212</v>
      </c>
      <c r="J401">
        <v>-0.95324039743623235</v>
      </c>
      <c r="M401" s="13">
        <v>0</v>
      </c>
      <c r="O401" s="10">
        <f t="shared" si="18"/>
        <v>1</v>
      </c>
      <c r="P401" s="10">
        <f t="shared" si="19"/>
        <v>0</v>
      </c>
      <c r="R401" s="14">
        <v>-0.26247977830014158</v>
      </c>
      <c r="S401" s="14">
        <v>-1.0932000945801605</v>
      </c>
      <c r="T401" s="14">
        <v>-0.40844588335042598</v>
      </c>
      <c r="U401" s="14">
        <v>-0.45491864160849343</v>
      </c>
      <c r="V401" s="14">
        <v>-0.52997712149165876</v>
      </c>
      <c r="W401" s="14">
        <v>0.16166225938402828</v>
      </c>
      <c r="X401" s="14">
        <v>1.0569045244435249</v>
      </c>
      <c r="Y401" s="14">
        <v>0.94717835397182204</v>
      </c>
      <c r="Z401" s="14">
        <v>-0.522005455827664</v>
      </c>
      <c r="AA401" s="14">
        <v>-0.16696827233288503</v>
      </c>
      <c r="AB401" s="14">
        <v>0.10207199676099271</v>
      </c>
      <c r="AC401" s="14">
        <v>-0.20564718615432731</v>
      </c>
      <c r="AD401" s="14">
        <v>1.0209361867115725</v>
      </c>
      <c r="AE401" s="14">
        <v>-0.64790424012633663</v>
      </c>
      <c r="AF401" s="14">
        <v>0.31864633869118364</v>
      </c>
      <c r="AG401" s="14">
        <v>-0.18142330310579258</v>
      </c>
      <c r="AH401" s="14">
        <v>-0.15645592078903259</v>
      </c>
      <c r="AI401" s="14">
        <v>0.23577638997759787</v>
      </c>
      <c r="AJ401" s="14">
        <v>1.4566895713467185</v>
      </c>
      <c r="AK401" s="14">
        <v>-0.940939270888423</v>
      </c>
      <c r="AM401" s="14">
        <v>0.73272809169453612</v>
      </c>
      <c r="AN401" s="14">
        <v>-0.51974356160217083</v>
      </c>
      <c r="AO401" s="14">
        <v>-1.8836286668356319E-2</v>
      </c>
      <c r="AP401" s="14">
        <v>-1.7004632387049815E-2</v>
      </c>
      <c r="AQ401" s="14">
        <v>-4.5291127747927658E-2</v>
      </c>
      <c r="AR401" s="14">
        <v>-0.72131052491256398</v>
      </c>
      <c r="AS401" s="14">
        <v>0.5379506896213464</v>
      </c>
      <c r="AT401" s="14">
        <v>0.7206693991046127</v>
      </c>
      <c r="AU401" s="14">
        <v>0.44182201149473421</v>
      </c>
      <c r="AV401" s="14">
        <v>-8.6590732707417656E-2</v>
      </c>
      <c r="AW401" s="14">
        <v>-0.53815907348811554</v>
      </c>
      <c r="AX401" s="14">
        <v>0.44618625037995091</v>
      </c>
      <c r="AY401" s="14">
        <v>0.58451356329916082</v>
      </c>
      <c r="AZ401" s="14">
        <v>-0.21966193574401055</v>
      </c>
      <c r="BA401" s="14">
        <v>0.57187365276686952</v>
      </c>
      <c r="BB401" s="14">
        <v>-4.6299017042235102E-2</v>
      </c>
      <c r="BC401" s="14">
        <v>0.3136675870986001</v>
      </c>
      <c r="BD401" s="14">
        <v>0.56473839274857573</v>
      </c>
      <c r="BE401" s="14">
        <v>0.52400046315325233</v>
      </c>
      <c r="BF401" s="14">
        <v>-0.76632322488603988</v>
      </c>
      <c r="BK401" s="16">
        <v>0.59160644192857348</v>
      </c>
      <c r="BL401" s="16">
        <v>-0.24300660031294927</v>
      </c>
      <c r="BN401" s="17">
        <f t="shared" si="17"/>
        <v>0</v>
      </c>
    </row>
    <row r="402" spans="1:66" x14ac:dyDescent="0.2">
      <c r="A402">
        <v>1.0507170451464201</v>
      </c>
      <c r="B402">
        <v>0.49788444351203109</v>
      </c>
      <c r="C402">
        <v>1.315452862634592</v>
      </c>
      <c r="D402">
        <v>0.95005540690439272</v>
      </c>
      <c r="E402">
        <v>2.8360366866925988</v>
      </c>
      <c r="F402">
        <v>2.8207720228977582</v>
      </c>
      <c r="G402">
        <v>1.775120253450559</v>
      </c>
      <c r="H402">
        <v>0.90062911177278326</v>
      </c>
      <c r="I402">
        <v>0.71764409255496542</v>
      </c>
      <c r="J402">
        <v>1.1858395457999329</v>
      </c>
      <c r="M402" s="13">
        <v>1</v>
      </c>
      <c r="O402" s="10">
        <f t="shared" si="18"/>
        <v>0</v>
      </c>
      <c r="P402" s="10">
        <f t="shared" si="19"/>
        <v>1</v>
      </c>
      <c r="R402" s="14">
        <v>0.31627023260428022</v>
      </c>
      <c r="S402" s="14">
        <v>0.82163775396656369</v>
      </c>
      <c r="T402" s="14">
        <v>0.44851717317371886</v>
      </c>
      <c r="U402" s="14">
        <v>0.31695477067712585</v>
      </c>
      <c r="V402" s="14">
        <v>1.5044549002848169</v>
      </c>
      <c r="W402" s="14">
        <v>-1.2389092123946948</v>
      </c>
      <c r="X402" s="14">
        <v>-1.4659125629406724</v>
      </c>
      <c r="Y402" s="14">
        <v>0.8745959607243754</v>
      </c>
      <c r="Z402" s="14">
        <v>1.7449091121859877</v>
      </c>
      <c r="AA402" s="14">
        <v>1.1602185869332522</v>
      </c>
      <c r="AB402" s="14">
        <v>-0.2883916624388787</v>
      </c>
      <c r="AC402" s="14">
        <v>1.0651813128093381</v>
      </c>
      <c r="AD402" s="14">
        <v>-0.81563686664762769</v>
      </c>
      <c r="AE402" s="14">
        <v>1.6894054205982525</v>
      </c>
      <c r="AF402" s="14">
        <v>0.24961080909438871</v>
      </c>
      <c r="AG402" s="14">
        <v>0.28534484133068561</v>
      </c>
      <c r="AH402" s="14">
        <v>-6.8213750695317266E-2</v>
      </c>
      <c r="AI402" s="14">
        <v>-1.5996989498907681</v>
      </c>
      <c r="AJ402" s="14">
        <v>-0.55685828806339077</v>
      </c>
      <c r="AK402" s="14">
        <v>-1.3095861304734346</v>
      </c>
      <c r="AM402" s="14">
        <v>0.89598605272561882</v>
      </c>
      <c r="AN402" s="14">
        <v>0.78943641682869958</v>
      </c>
      <c r="AO402" s="14">
        <v>0.52115776545572567</v>
      </c>
      <c r="AP402" s="14">
        <v>-0.33377324613206882</v>
      </c>
      <c r="AQ402" s="14">
        <v>0.82126795987772883</v>
      </c>
      <c r="AR402" s="14">
        <v>-0.64498370240871405</v>
      </c>
      <c r="AS402" s="14">
        <v>-0.86914691533623845</v>
      </c>
      <c r="AT402" s="14">
        <v>-0.53801995303356132</v>
      </c>
      <c r="AU402" s="14">
        <v>0.90400053066284614</v>
      </c>
      <c r="AV402" s="14">
        <v>0.6992208004756143</v>
      </c>
      <c r="AW402" s="14">
        <v>-0.18157552203753233</v>
      </c>
      <c r="AX402" s="14">
        <v>0.86714577013531746</v>
      </c>
      <c r="AY402" s="14">
        <v>-0.6143345487838574</v>
      </c>
      <c r="AZ402" s="14">
        <v>0.91092744759263233</v>
      </c>
      <c r="BA402" s="14">
        <v>0.25624260667053361</v>
      </c>
      <c r="BB402" s="14">
        <v>-0.13236451199048083</v>
      </c>
      <c r="BC402" s="14">
        <v>-0.57277150729072168</v>
      </c>
      <c r="BD402" s="14">
        <v>-0.61260772506462657</v>
      </c>
      <c r="BE402" s="14">
        <v>-0.64048574338278064</v>
      </c>
      <c r="BF402" s="14">
        <v>-0.45761690835705698</v>
      </c>
      <c r="BK402" s="16">
        <v>0.99997738406525405</v>
      </c>
      <c r="BL402" s="16">
        <v>-0.21893489228437474</v>
      </c>
      <c r="BN402" s="17">
        <f t="shared" si="17"/>
        <v>0</v>
      </c>
    </row>
    <row r="403" spans="1:66" x14ac:dyDescent="0.2">
      <c r="A403">
        <v>-0.65918273645147818</v>
      </c>
      <c r="B403">
        <v>-1.981109943613486</v>
      </c>
      <c r="C403">
        <v>-0.68741837743441103</v>
      </c>
      <c r="D403">
        <v>-0.63685186410069883</v>
      </c>
      <c r="E403">
        <v>-0.9771418943520056</v>
      </c>
      <c r="F403">
        <v>-0.80983014611521387</v>
      </c>
      <c r="G403">
        <v>-0.82790964275367329</v>
      </c>
      <c r="H403">
        <v>-0.5486737590387516</v>
      </c>
      <c r="I403">
        <v>-0.54789097470152037</v>
      </c>
      <c r="J403">
        <v>-0.7256149764253832</v>
      </c>
      <c r="M403" s="13">
        <v>0</v>
      </c>
      <c r="O403" s="10">
        <f t="shared" si="18"/>
        <v>1</v>
      </c>
      <c r="P403" s="10">
        <f t="shared" si="19"/>
        <v>0</v>
      </c>
      <c r="R403" s="14">
        <v>0.47369978830004322</v>
      </c>
      <c r="S403" s="14">
        <v>1.0359225589925363</v>
      </c>
      <c r="T403" s="14">
        <v>0.44791509075911329</v>
      </c>
      <c r="U403" s="14">
        <v>-0.75946473691424032</v>
      </c>
      <c r="V403" s="14">
        <v>1.5048654500232019</v>
      </c>
      <c r="W403" s="14">
        <v>0.24117279487765364</v>
      </c>
      <c r="X403" s="14">
        <v>-1.4659127695287795</v>
      </c>
      <c r="Y403" s="14">
        <v>-1.0062598591680181</v>
      </c>
      <c r="Z403" s="14">
        <v>1.6567066546399376</v>
      </c>
      <c r="AA403" s="14">
        <v>1.2160516122935165</v>
      </c>
      <c r="AB403" s="14">
        <v>-0.27992945558260829</v>
      </c>
      <c r="AC403" s="14">
        <v>1.0650683273798096</v>
      </c>
      <c r="AD403" s="14">
        <v>-0.81580785759926111</v>
      </c>
      <c r="AE403" s="14">
        <v>1.6894094059428064</v>
      </c>
      <c r="AF403" s="14">
        <v>0.23863389090146336</v>
      </c>
      <c r="AG403" s="14">
        <v>0.27310901087491801</v>
      </c>
      <c r="AH403" s="14">
        <v>-1.3859821339804088</v>
      </c>
      <c r="AI403" s="14">
        <v>-1.6035954102121641</v>
      </c>
      <c r="AJ403" s="14">
        <v>-0.55689229472401802</v>
      </c>
      <c r="AK403" s="14">
        <v>3.6897504907455692E-2</v>
      </c>
      <c r="AM403" s="14">
        <v>0.67070886022404386</v>
      </c>
      <c r="AN403" s="14">
        <v>0.73772481479371954</v>
      </c>
      <c r="AO403" s="14">
        <v>0.70751244857645168</v>
      </c>
      <c r="AP403" s="14">
        <v>0.53533331808683104</v>
      </c>
      <c r="AQ403" s="14">
        <v>0.7696948435024864</v>
      </c>
      <c r="AR403" s="14">
        <v>-0.79237346883312521</v>
      </c>
      <c r="AS403" s="14">
        <v>-0.89780948953932116</v>
      </c>
      <c r="AT403" s="14">
        <v>-7.5096676113801594E-2</v>
      </c>
      <c r="AU403" s="14">
        <v>0.9133034449943882</v>
      </c>
      <c r="AV403" s="14">
        <v>0.60019583104319563</v>
      </c>
      <c r="AW403" s="14">
        <v>-0.57021702310384759</v>
      </c>
      <c r="AX403" s="14">
        <v>0.78558833015946916</v>
      </c>
      <c r="AY403" s="14">
        <v>-0.75208377658889392</v>
      </c>
      <c r="AZ403" s="14">
        <v>0.88005701418965643</v>
      </c>
      <c r="BA403" s="14">
        <v>0.56450641387781353</v>
      </c>
      <c r="BB403" s="14">
        <v>3.1481392722874653E-2</v>
      </c>
      <c r="BC403" s="14">
        <v>-0.22988796453442292</v>
      </c>
      <c r="BD403" s="14">
        <v>-0.71464387499643678</v>
      </c>
      <c r="BE403" s="14">
        <v>-0.79539005039185073</v>
      </c>
      <c r="BF403" s="14">
        <v>-0.5355313079476357</v>
      </c>
      <c r="BK403" s="16">
        <v>-0.14073244943695082</v>
      </c>
      <c r="BL403" s="16">
        <v>0.40437727804345647</v>
      </c>
      <c r="BN403" s="17">
        <f t="shared" ref="BN403:BN466" si="20">IF(BK403&gt;BL403,0,1)</f>
        <v>1</v>
      </c>
    </row>
    <row r="404" spans="1:66" x14ac:dyDescent="0.2">
      <c r="A404">
        <v>-0.36466822557424788</v>
      </c>
      <c r="B404">
        <v>-0.17151760167616509</v>
      </c>
      <c r="C404">
        <v>-0.3537448430341873</v>
      </c>
      <c r="D404">
        <v>-0.39937707749101242</v>
      </c>
      <c r="E404">
        <v>-0.48335032159464542</v>
      </c>
      <c r="F404">
        <v>-0.62993656097528006</v>
      </c>
      <c r="G404">
        <v>-0.80567244705750607</v>
      </c>
      <c r="H404">
        <v>-0.48034948084335072</v>
      </c>
      <c r="I404">
        <v>-0.49050352028709049</v>
      </c>
      <c r="J404">
        <v>-0.76574893223519092</v>
      </c>
      <c r="M404" s="13">
        <v>0</v>
      </c>
      <c r="O404" s="10">
        <f t="shared" si="18"/>
        <v>1</v>
      </c>
      <c r="P404" s="10">
        <f t="shared" si="19"/>
        <v>0</v>
      </c>
      <c r="R404" s="14">
        <v>-0.19129475524470529</v>
      </c>
      <c r="S404" s="14">
        <v>1.0306770809911296</v>
      </c>
      <c r="T404" s="14">
        <v>0.41134363786350014</v>
      </c>
      <c r="U404" s="14">
        <v>-7.1717840425566504E-2</v>
      </c>
      <c r="V404" s="14">
        <v>1.2191858533447255</v>
      </c>
      <c r="W404" s="14">
        <v>0.62239940667833626</v>
      </c>
      <c r="X404" s="14">
        <v>-1.4654039579867475</v>
      </c>
      <c r="Y404" s="14">
        <v>-1.0883361773234135</v>
      </c>
      <c r="Z404" s="14">
        <v>-8.4119128372510676E-2</v>
      </c>
      <c r="AA404" s="14">
        <v>1.19797566299109</v>
      </c>
      <c r="AB404" s="14">
        <v>0.24066303190167981</v>
      </c>
      <c r="AC404" s="14">
        <v>0.73367023382520768</v>
      </c>
      <c r="AD404" s="14">
        <v>-0.80889979576005455</v>
      </c>
      <c r="AE404" s="14">
        <v>1.6812748976115315</v>
      </c>
      <c r="AF404" s="14">
        <v>-0.21241133475342067</v>
      </c>
      <c r="AG404" s="14">
        <v>9.0233037269289884E-2</v>
      </c>
      <c r="AH404" s="14">
        <v>-1.1096541325726192</v>
      </c>
      <c r="AI404" s="14">
        <v>-1.5992317662630402</v>
      </c>
      <c r="AJ404" s="14">
        <v>-0.55308403791843852</v>
      </c>
      <c r="AK404" s="14">
        <v>-0.13708892854867799</v>
      </c>
      <c r="AM404" s="14">
        <v>0.34111975727760996</v>
      </c>
      <c r="AN404" s="14">
        <v>-0.5940075525809696</v>
      </c>
      <c r="AO404" s="14">
        <v>-0.13396627899357183</v>
      </c>
      <c r="AP404" s="14">
        <v>6.6333631756040318E-2</v>
      </c>
      <c r="AQ404" s="14">
        <v>-0.23407523713760756</v>
      </c>
      <c r="AR404" s="14">
        <v>-0.41955533199898404</v>
      </c>
      <c r="AS404" s="14">
        <v>0.60116155784236913</v>
      </c>
      <c r="AT404" s="14">
        <v>0.65176134237795014</v>
      </c>
      <c r="AU404" s="14">
        <v>9.3980395787965937E-2</v>
      </c>
      <c r="AV404" s="14">
        <v>-0.25181083428741741</v>
      </c>
      <c r="AW404" s="14">
        <v>-0.434039933183754</v>
      </c>
      <c r="AX404" s="14">
        <v>7.785318050589804E-2</v>
      </c>
      <c r="AY404" s="14">
        <v>0.5591620156584387</v>
      </c>
      <c r="AZ404" s="14">
        <v>-0.47753473482482373</v>
      </c>
      <c r="BA404" s="14">
        <v>0.32851829332972515</v>
      </c>
      <c r="BB404" s="14">
        <v>-7.9843894462569825E-3</v>
      </c>
      <c r="BC404" s="14">
        <v>0.35222169822346899</v>
      </c>
      <c r="BD404" s="14">
        <v>0.581891841707317</v>
      </c>
      <c r="BE404" s="14">
        <v>0.52142307419638734</v>
      </c>
      <c r="BF404" s="14">
        <v>-0.54104549265860591</v>
      </c>
      <c r="BK404" s="16">
        <v>0.90743083442038075</v>
      </c>
      <c r="BL404" s="16">
        <v>-0.2436512285273405</v>
      </c>
      <c r="BN404" s="17">
        <f t="shared" si="20"/>
        <v>0</v>
      </c>
    </row>
    <row r="405" spans="1:66" x14ac:dyDescent="0.2">
      <c r="A405">
        <v>-0.37038695394079652</v>
      </c>
      <c r="B405">
        <v>-0.69134629610802378</v>
      </c>
      <c r="C405">
        <v>-0.39524652641729968</v>
      </c>
      <c r="D405">
        <v>-0.45003836530107888</v>
      </c>
      <c r="E405">
        <v>-0.30921306014427058</v>
      </c>
      <c r="F405">
        <v>-0.72428460941876005</v>
      </c>
      <c r="G405">
        <v>-0.67608327213846187</v>
      </c>
      <c r="H405">
        <v>-0.5362511630032244</v>
      </c>
      <c r="I405">
        <v>-0.56312344716954799</v>
      </c>
      <c r="J405">
        <v>-0.49918758394617002</v>
      </c>
      <c r="M405" s="13">
        <v>0</v>
      </c>
      <c r="O405" s="10">
        <f t="shared" si="18"/>
        <v>1</v>
      </c>
      <c r="P405" s="10">
        <f t="shared" si="19"/>
        <v>0</v>
      </c>
      <c r="R405" s="14">
        <v>0.99924974476195805</v>
      </c>
      <c r="S405" s="14">
        <v>-1.0717051603943641</v>
      </c>
      <c r="T405" s="14">
        <v>-0.21265855608002612</v>
      </c>
      <c r="U405" s="14">
        <v>-0.62165086648091705</v>
      </c>
      <c r="V405" s="14">
        <v>0.26331993474557486</v>
      </c>
      <c r="W405" s="14">
        <v>-0.48996632580317795</v>
      </c>
      <c r="X405" s="14">
        <v>1.0035996583799396</v>
      </c>
      <c r="Y405" s="14">
        <v>1.2735859558454941</v>
      </c>
      <c r="Z405" s="14">
        <v>0.57417819338600573</v>
      </c>
      <c r="AA405" s="14">
        <v>0.21556956073205435</v>
      </c>
      <c r="AB405" s="14">
        <v>-0.88184672399758579</v>
      </c>
      <c r="AC405" s="14">
        <v>1.1858490427210593</v>
      </c>
      <c r="AD405" s="14">
        <v>1.1133551460014077</v>
      </c>
      <c r="AE405" s="14">
        <v>0.27463852656104237</v>
      </c>
      <c r="AF405" s="14">
        <v>0.97780924223671661</v>
      </c>
      <c r="AG405" s="14">
        <v>-0.29386963814236666</v>
      </c>
      <c r="AH405" s="14">
        <v>-0.14529778837255414</v>
      </c>
      <c r="AI405" s="14">
        <v>0.31889907818882102</v>
      </c>
      <c r="AJ405" s="14">
        <v>1.5216720274244231</v>
      </c>
      <c r="AK405" s="14">
        <v>-1.5182575967254668</v>
      </c>
      <c r="AM405" s="14">
        <v>0.76659981549971379</v>
      </c>
      <c r="AN405" s="14">
        <v>2.8712355076136474E-2</v>
      </c>
      <c r="AO405" s="14">
        <v>-5.0025099084706974E-2</v>
      </c>
      <c r="AP405" s="14">
        <v>1.2608145987972802E-2</v>
      </c>
      <c r="AQ405" s="14">
        <v>0.33816975058180837</v>
      </c>
      <c r="AR405" s="14">
        <v>-0.49491083357089383</v>
      </c>
      <c r="AS405" s="14">
        <v>0.10933186514486405</v>
      </c>
      <c r="AT405" s="14">
        <v>-4.9212821396025515E-2</v>
      </c>
      <c r="AU405" s="14">
        <v>0.18365479724175329</v>
      </c>
      <c r="AV405" s="14">
        <v>0.47361753500693937</v>
      </c>
      <c r="AW405" s="14">
        <v>-0.12366482789846685</v>
      </c>
      <c r="AX405" s="14">
        <v>0.34526429438618877</v>
      </c>
      <c r="AY405" s="14">
        <v>0.31909838968055537</v>
      </c>
      <c r="AZ405" s="14">
        <v>0.31706434870428257</v>
      </c>
      <c r="BA405" s="14">
        <v>0.44613492648527675</v>
      </c>
      <c r="BB405" s="14">
        <v>0.32403031117010417</v>
      </c>
      <c r="BC405" s="14">
        <v>-0.12649067008959153</v>
      </c>
      <c r="BD405" s="14">
        <v>0.17995602979924399</v>
      </c>
      <c r="BE405" s="14">
        <v>4.1282080571409002E-2</v>
      </c>
      <c r="BF405" s="14">
        <v>-0.47489078760875952</v>
      </c>
      <c r="BK405" s="16">
        <v>0.56063897194347523</v>
      </c>
      <c r="BL405" s="16">
        <v>-0.41735030832720049</v>
      </c>
      <c r="BN405" s="17">
        <f t="shared" si="20"/>
        <v>0</v>
      </c>
    </row>
    <row r="406" spans="1:66" x14ac:dyDescent="0.2">
      <c r="A406">
        <v>-0.54194880493724096</v>
      </c>
      <c r="B406">
        <v>-0.99049299762069809</v>
      </c>
      <c r="C406">
        <v>-0.59818975816071918</v>
      </c>
      <c r="D406">
        <v>-0.56085993238559917</v>
      </c>
      <c r="E406">
        <v>-1.1018442448676959</v>
      </c>
      <c r="F406">
        <v>-0.87144772834439865</v>
      </c>
      <c r="G406">
        <v>-0.7619648555167633</v>
      </c>
      <c r="H406">
        <v>-0.67704058473920203</v>
      </c>
      <c r="I406">
        <v>-0.64778765460812038</v>
      </c>
      <c r="J406">
        <v>-1.037551655350119</v>
      </c>
      <c r="M406" s="13">
        <v>0</v>
      </c>
      <c r="O406" s="10">
        <f t="shared" si="18"/>
        <v>1</v>
      </c>
      <c r="P406" s="10">
        <f t="shared" si="19"/>
        <v>0</v>
      </c>
      <c r="R406" s="14">
        <v>0.53189470569835284</v>
      </c>
      <c r="S406" s="14">
        <v>1.0355719636604162</v>
      </c>
      <c r="T406" s="14">
        <v>0.42634271988852512</v>
      </c>
      <c r="U406" s="14">
        <v>-1.1110684283073669</v>
      </c>
      <c r="V406" s="14">
        <v>1.5023407850947375</v>
      </c>
      <c r="W406" s="14">
        <v>-0.87260804143475035</v>
      </c>
      <c r="X406" s="14">
        <v>-1.4659110198808418</v>
      </c>
      <c r="Y406" s="14">
        <v>-0.75111902093054184</v>
      </c>
      <c r="Z406" s="14">
        <v>1.7017817533572877</v>
      </c>
      <c r="AA406" s="14">
        <v>1.2137532594124458</v>
      </c>
      <c r="AB406" s="14">
        <v>-0.23305418942440137</v>
      </c>
      <c r="AC406" s="14">
        <v>1.0650471289375683</v>
      </c>
      <c r="AD406" s="14">
        <v>-0.78958269405370163</v>
      </c>
      <c r="AE406" s="14">
        <v>1.689408834664428</v>
      </c>
      <c r="AF406" s="14">
        <v>6.0511185109137E-2</v>
      </c>
      <c r="AG406" s="14">
        <v>-0.41466651300359497</v>
      </c>
      <c r="AH406" s="14">
        <v>-1.2724695839317188</v>
      </c>
      <c r="AI406" s="14">
        <v>-1.5797298634468468</v>
      </c>
      <c r="AJ406" s="14">
        <v>-0.52392369798671079</v>
      </c>
      <c r="AK406" s="14">
        <v>-1.2266386821633584</v>
      </c>
      <c r="AM406" s="14">
        <v>-0.63966197282675863</v>
      </c>
      <c r="AN406" s="14">
        <v>0.47190988089035746</v>
      </c>
      <c r="AO406" s="14">
        <v>-0.16256447606478816</v>
      </c>
      <c r="AP406" s="14">
        <v>-0.73388558357512446</v>
      </c>
      <c r="AQ406" s="14">
        <v>-0.60542561631710268</v>
      </c>
      <c r="AR406" s="14">
        <v>0.87108013883392343</v>
      </c>
      <c r="AS406" s="14">
        <v>0.20799051628769399</v>
      </c>
      <c r="AT406" s="14">
        <v>-0.80718167893414605</v>
      </c>
      <c r="AU406" s="14">
        <v>-0.93243043054618502</v>
      </c>
      <c r="AV406" s="14">
        <v>-0.19415228103759163</v>
      </c>
      <c r="AW406" s="14">
        <v>0.79088458119983007</v>
      </c>
      <c r="AX406" s="14">
        <v>-0.65726055579949472</v>
      </c>
      <c r="AY406" s="14">
        <v>-0.24025202656271083</v>
      </c>
      <c r="AZ406" s="14">
        <v>-0.13209595593870288</v>
      </c>
      <c r="BA406" s="14">
        <v>-0.7214534647245453</v>
      </c>
      <c r="BB406" s="14">
        <v>-0.25196562694502311</v>
      </c>
      <c r="BC406" s="14">
        <v>-0.40871504068857051</v>
      </c>
      <c r="BD406" s="14">
        <v>-0.50952448207289047</v>
      </c>
      <c r="BE406" s="14">
        <v>8.9058467264386501E-2</v>
      </c>
      <c r="BF406" s="14">
        <v>0.73570660839600488</v>
      </c>
      <c r="BK406" s="16">
        <v>0.72791096260752697</v>
      </c>
      <c r="BL406" s="16">
        <v>-0.45660063951404878</v>
      </c>
      <c r="BN406" s="17">
        <f t="shared" si="20"/>
        <v>0</v>
      </c>
    </row>
    <row r="407" spans="1:66" x14ac:dyDescent="0.2">
      <c r="A407">
        <v>-0.94225979059561182</v>
      </c>
      <c r="B407">
        <v>-9.7956937369769778E-2</v>
      </c>
      <c r="C407">
        <v>-0.92605305688730721</v>
      </c>
      <c r="D407">
        <v>-0.84611752454341638</v>
      </c>
      <c r="E407">
        <v>-0.5649365091898586</v>
      </c>
      <c r="F407">
        <v>-0.51996715365679536</v>
      </c>
      <c r="G407">
        <v>-0.53754809895084465</v>
      </c>
      <c r="H407">
        <v>-0.83853433320105863</v>
      </c>
      <c r="I407">
        <v>-0.75530057074873447</v>
      </c>
      <c r="J407">
        <v>-0.57421412073987765</v>
      </c>
      <c r="M407" s="13">
        <v>0</v>
      </c>
      <c r="O407" s="10">
        <f t="shared" si="18"/>
        <v>1</v>
      </c>
      <c r="P407" s="10">
        <f t="shared" si="19"/>
        <v>0</v>
      </c>
      <c r="R407" s="14">
        <v>0.50167729106870995</v>
      </c>
      <c r="S407" s="14">
        <v>1.0130264429738924</v>
      </c>
      <c r="T407" s="14">
        <v>0.44706031822853665</v>
      </c>
      <c r="U407" s="14">
        <v>5.9386961833845953E-2</v>
      </c>
      <c r="V407" s="14">
        <v>1.4939797874234193</v>
      </c>
      <c r="W407" s="14">
        <v>-1.0325232575387893</v>
      </c>
      <c r="X407" s="14">
        <v>-1.4659072591726385</v>
      </c>
      <c r="Y407" s="14">
        <v>0.44210985261598218</v>
      </c>
      <c r="Z407" s="14">
        <v>1.6811261117137017</v>
      </c>
      <c r="AA407" s="14">
        <v>1.2019151769257959</v>
      </c>
      <c r="AB407" s="14">
        <v>-0.28780546744940638</v>
      </c>
      <c r="AC407" s="14">
        <v>1.0647051076492609</v>
      </c>
      <c r="AD407" s="14">
        <v>-0.80953146250600327</v>
      </c>
      <c r="AE407" s="14">
        <v>1.6893792741395588</v>
      </c>
      <c r="AF407" s="14">
        <v>0.24290940535162697</v>
      </c>
      <c r="AG407" s="14">
        <v>0.15408152544727771</v>
      </c>
      <c r="AH407" s="14">
        <v>-0.83524631637066893</v>
      </c>
      <c r="AI407" s="14">
        <v>-1.587803538947286</v>
      </c>
      <c r="AJ407" s="14">
        <v>-0.55483653244084419</v>
      </c>
      <c r="AK407" s="14">
        <v>-1.3116112229004147</v>
      </c>
      <c r="AM407" s="14">
        <v>-0.8369776034490205</v>
      </c>
      <c r="AN407" s="14">
        <v>-0.56131839116365945</v>
      </c>
      <c r="AO407" s="14">
        <v>-6.415616191718844E-2</v>
      </c>
      <c r="AP407" s="14">
        <v>0.73048550575822757</v>
      </c>
      <c r="AQ407" s="14">
        <v>8.3160981254236099E-2</v>
      </c>
      <c r="AR407" s="14">
        <v>0.72492439254931151</v>
      </c>
      <c r="AS407" s="14">
        <v>0.45918973912516403</v>
      </c>
      <c r="AT407" s="14">
        <v>0.41016631651203261</v>
      </c>
      <c r="AU407" s="14">
        <v>-0.46525317524679677</v>
      </c>
      <c r="AV407" s="14">
        <v>-0.11554667950061866</v>
      </c>
      <c r="AW407" s="14">
        <v>-0.80194657927989998</v>
      </c>
      <c r="AX407" s="14">
        <v>-0.63942018386089616</v>
      </c>
      <c r="AY407" s="14">
        <v>0.19002888915643998</v>
      </c>
      <c r="AZ407" s="14">
        <v>-0.7159645104813035</v>
      </c>
      <c r="BA407" s="14">
        <v>-0.45973500406414197</v>
      </c>
      <c r="BB407" s="14">
        <v>0.6499900727588912</v>
      </c>
      <c r="BC407" s="14">
        <v>0.27735130028686633</v>
      </c>
      <c r="BD407" s="14">
        <v>0.4818743260180457</v>
      </c>
      <c r="BE407" s="14">
        <v>4.7964415531387791E-2</v>
      </c>
      <c r="BF407" s="14">
        <v>0.52818371421114596</v>
      </c>
      <c r="BK407" s="16">
        <v>-0.77016840631282912</v>
      </c>
      <c r="BL407" s="16">
        <v>0.29308200289856201</v>
      </c>
      <c r="BN407" s="17">
        <f t="shared" si="20"/>
        <v>1</v>
      </c>
    </row>
    <row r="408" spans="1:66" x14ac:dyDescent="0.2">
      <c r="A408">
        <v>0.54460958470690823</v>
      </c>
      <c r="B408">
        <v>-1.012561196912616</v>
      </c>
      <c r="C408">
        <v>0.48126902663403309</v>
      </c>
      <c r="D408">
        <v>0.39162984808888801</v>
      </c>
      <c r="E408">
        <v>-0.37147131263720068</v>
      </c>
      <c r="F408">
        <v>-0.45103480814487029</v>
      </c>
      <c r="G408">
        <v>-0.1296105779039127</v>
      </c>
      <c r="H408">
        <v>0.26086541594312002</v>
      </c>
      <c r="I408">
        <v>8.6913459314888988E-2</v>
      </c>
      <c r="J408">
        <v>-6.4602734095193182E-2</v>
      </c>
      <c r="M408" s="13">
        <v>0</v>
      </c>
      <c r="O408" s="10">
        <f t="shared" si="18"/>
        <v>1</v>
      </c>
      <c r="P408" s="10">
        <f t="shared" si="19"/>
        <v>0</v>
      </c>
      <c r="R408" s="14">
        <v>0.44115715494288044</v>
      </c>
      <c r="S408" s="14">
        <v>-1.1060183319899255</v>
      </c>
      <c r="T408" s="14">
        <v>-0.46896610716559717</v>
      </c>
      <c r="U408" s="14">
        <v>-0.49514065924144685</v>
      </c>
      <c r="V408" s="14">
        <v>-0.19044315689825952</v>
      </c>
      <c r="W408" s="14">
        <v>-0.31861144664023872</v>
      </c>
      <c r="X408" s="14">
        <v>1.0548779400176054</v>
      </c>
      <c r="Y408" s="14">
        <v>1.2208978671890138</v>
      </c>
      <c r="Z408" s="14">
        <v>0.28186946348316733</v>
      </c>
      <c r="AA408" s="14">
        <v>-5.985530586724086E-2</v>
      </c>
      <c r="AB408" s="14">
        <v>-0.65365631379571831</v>
      </c>
      <c r="AC408" s="14">
        <v>0.235285847576926</v>
      </c>
      <c r="AD408" s="14">
        <v>1.107760858220717</v>
      </c>
      <c r="AE408" s="14">
        <v>-0.59831968582148032</v>
      </c>
      <c r="AF408" s="14">
        <v>0.42138439203906508</v>
      </c>
      <c r="AG408" s="14">
        <v>-0.21894022679235492</v>
      </c>
      <c r="AH408" s="14">
        <v>-0.11367255172688362</v>
      </c>
      <c r="AI408" s="14">
        <v>0.32212634910463522</v>
      </c>
      <c r="AJ408" s="14">
        <v>1.5279666309432196</v>
      </c>
      <c r="AK408" s="14">
        <v>-1.3155770373037425</v>
      </c>
      <c r="AM408" s="14">
        <v>0.54824552226969903</v>
      </c>
      <c r="AN408" s="14">
        <v>-0.49646229733558578</v>
      </c>
      <c r="AO408" s="14">
        <v>-2.3989711853871571E-2</v>
      </c>
      <c r="AP408" s="14">
        <v>0.16501242942317881</v>
      </c>
      <c r="AQ408" s="14">
        <v>-0.36944707012791772</v>
      </c>
      <c r="AR408" s="14">
        <v>-0.41237080231146428</v>
      </c>
      <c r="AS408" s="14">
        <v>0.585749565224432</v>
      </c>
      <c r="AT408" s="14">
        <v>0.46657222073299087</v>
      </c>
      <c r="AU408" s="14">
        <v>-0.21694806541765091</v>
      </c>
      <c r="AV408" s="14">
        <v>-0.1398066698607941</v>
      </c>
      <c r="AW408" s="14">
        <v>-0.25807531297467806</v>
      </c>
      <c r="AX408" s="14">
        <v>7.5122331746650464E-2</v>
      </c>
      <c r="AY408" s="14">
        <v>0.5116591625895216</v>
      </c>
      <c r="AZ408" s="14">
        <v>-0.38245926933217761</v>
      </c>
      <c r="BA408" s="14">
        <v>0.39363366645279202</v>
      </c>
      <c r="BB408" s="14">
        <v>-5.4933367935953867E-2</v>
      </c>
      <c r="BC408" s="14">
        <v>0.35329940084703704</v>
      </c>
      <c r="BD408" s="14">
        <v>0.47773598662659444</v>
      </c>
      <c r="BE408" s="14">
        <v>0.46824863598251687</v>
      </c>
      <c r="BF408" s="14">
        <v>-0.66699165022738138</v>
      </c>
      <c r="BK408" s="16">
        <v>0.59199692407916693</v>
      </c>
      <c r="BL408" s="16">
        <v>-0.41689225710891331</v>
      </c>
      <c r="BN408" s="17">
        <f t="shared" si="20"/>
        <v>0</v>
      </c>
    </row>
    <row r="409" spans="1:66" x14ac:dyDescent="0.2">
      <c r="A409">
        <v>-0.39612123159026308</v>
      </c>
      <c r="B409">
        <v>0.5837052185361592</v>
      </c>
      <c r="C409">
        <v>-0.41807245227801199</v>
      </c>
      <c r="D409">
        <v>-0.43017683769372339</v>
      </c>
      <c r="E409">
        <v>-0.40585273565568458</v>
      </c>
      <c r="F409">
        <v>-0.37342392992460938</v>
      </c>
      <c r="G409">
        <v>-0.80976204626599657</v>
      </c>
      <c r="H409">
        <v>-0.42444779868347732</v>
      </c>
      <c r="I409">
        <v>-0.44817141656780429</v>
      </c>
      <c r="J409">
        <v>-0.91655077365487858</v>
      </c>
      <c r="M409" s="13">
        <v>0</v>
      </c>
      <c r="O409" s="10">
        <f t="shared" si="18"/>
        <v>1</v>
      </c>
      <c r="P409" s="10">
        <f t="shared" si="19"/>
        <v>0</v>
      </c>
      <c r="R409" s="14">
        <v>1.0680591055867652</v>
      </c>
      <c r="S409" s="14">
        <v>0.52538068007123662</v>
      </c>
      <c r="T409" s="14">
        <v>-0.13845404081196491</v>
      </c>
      <c r="U409" s="14">
        <v>-0.4982500564175314</v>
      </c>
      <c r="V409" s="14">
        <v>1.0498984870630856</v>
      </c>
      <c r="W409" s="14">
        <v>-0.30994223055198894</v>
      </c>
      <c r="X409" s="14">
        <v>-0.19035463347880666</v>
      </c>
      <c r="Y409" s="14">
        <v>-2.5546323049813413E-2</v>
      </c>
      <c r="Z409" s="14">
        <v>0.16726081632927886</v>
      </c>
      <c r="AA409" s="14">
        <v>1.6270221703474328</v>
      </c>
      <c r="AB409" s="14">
        <v>-0.3062776849483394</v>
      </c>
      <c r="AC409" s="14">
        <v>1.0403940624002446</v>
      </c>
      <c r="AD409" s="14">
        <v>0.86980836009259788</v>
      </c>
      <c r="AE409" s="14">
        <v>1.3064965362440226</v>
      </c>
      <c r="AF409" s="14">
        <v>1.0986418404856171</v>
      </c>
      <c r="AG409" s="14">
        <v>0.83190972958409448</v>
      </c>
      <c r="AH409" s="14">
        <v>-0.86334947387790861</v>
      </c>
      <c r="AI409" s="14">
        <v>-0.31856118084435331</v>
      </c>
      <c r="AJ409" s="14">
        <v>0.41047133792151896</v>
      </c>
      <c r="AK409" s="14">
        <v>-1.2403221352182499</v>
      </c>
      <c r="AM409" s="14">
        <v>0.20398384322609439</v>
      </c>
      <c r="AN409" s="14">
        <v>0.8338680985066107</v>
      </c>
      <c r="AO409" s="14">
        <v>3.4899718423866369E-2</v>
      </c>
      <c r="AP409" s="14">
        <v>0.18189385604577379</v>
      </c>
      <c r="AQ409" s="14">
        <v>-0.56189440926649969</v>
      </c>
      <c r="AR409" s="14">
        <v>0.5379757456461306</v>
      </c>
      <c r="AS409" s="14">
        <v>-0.53093132333844473</v>
      </c>
      <c r="AT409" s="14">
        <v>-0.96388634610866508</v>
      </c>
      <c r="AU409" s="14">
        <v>-0.9408220849174217</v>
      </c>
      <c r="AV409" s="14">
        <v>0.57217936071171649</v>
      </c>
      <c r="AW409" s="14">
        <v>0.93205659097903426</v>
      </c>
      <c r="AX409" s="14">
        <v>-0.66977460058399463</v>
      </c>
      <c r="AY409" s="14">
        <v>-0.61482347872380505</v>
      </c>
      <c r="AZ409" s="14">
        <v>0.65878198948528888</v>
      </c>
      <c r="BA409" s="14">
        <v>-5.859229952450859E-2</v>
      </c>
      <c r="BB409" s="14">
        <v>-1.8640307351851241E-2</v>
      </c>
      <c r="BC409" s="14">
        <v>-0.48423543552363268</v>
      </c>
      <c r="BD409" s="14">
        <v>-0.84299474113791173</v>
      </c>
      <c r="BE409" s="14">
        <v>-0.6526887888052586</v>
      </c>
      <c r="BF409" s="14">
        <v>0.32383971529792349</v>
      </c>
      <c r="BK409" s="16">
        <v>0.52842224185125031</v>
      </c>
      <c r="BL409" s="16">
        <v>-0.3919376781624902</v>
      </c>
      <c r="BN409" s="17">
        <f t="shared" si="20"/>
        <v>0</v>
      </c>
    </row>
    <row r="410" spans="1:66" x14ac:dyDescent="0.2">
      <c r="A410">
        <v>1.0735919586126119</v>
      </c>
      <c r="B410">
        <v>0.40961164634435698</v>
      </c>
      <c r="C410">
        <v>1.04154175230605</v>
      </c>
      <c r="D410">
        <v>0.943434897701941</v>
      </c>
      <c r="E410">
        <v>0.47208154725954637</v>
      </c>
      <c r="F410">
        <v>0.35606873373036702</v>
      </c>
      <c r="G410">
        <v>0.96844680957579876</v>
      </c>
      <c r="H410">
        <v>0.95860122660524416</v>
      </c>
      <c r="I410">
        <v>0.79734889035278467</v>
      </c>
      <c r="J410">
        <v>1.200814902445384</v>
      </c>
      <c r="M410" s="13">
        <v>1</v>
      </c>
      <c r="O410" s="10">
        <f t="shared" si="18"/>
        <v>0</v>
      </c>
      <c r="P410" s="10">
        <f t="shared" si="19"/>
        <v>1</v>
      </c>
      <c r="R410" s="14">
        <v>-0.78730078495233791</v>
      </c>
      <c r="S410" s="14">
        <v>0.84310726548544956</v>
      </c>
      <c r="T410" s="14">
        <v>-0.44209878415815296</v>
      </c>
      <c r="U410" s="14">
        <v>-1.6257291335922823</v>
      </c>
      <c r="V410" s="14">
        <v>-0.61002942671020144</v>
      </c>
      <c r="W410" s="14">
        <v>1.4070736429807071</v>
      </c>
      <c r="X410" s="14">
        <v>0.41142185276545418</v>
      </c>
      <c r="Y410" s="14">
        <v>-0.63064399493764423</v>
      </c>
      <c r="Z410" s="14">
        <v>-1.2580623350032365</v>
      </c>
      <c r="AA410" s="14">
        <v>-2.9144786107375475E-2</v>
      </c>
      <c r="AB410" s="14">
        <v>0.78859916071807279</v>
      </c>
      <c r="AC410" s="14">
        <v>-0.37162072825166803</v>
      </c>
      <c r="AD410" s="14">
        <v>-0.44904710056330277</v>
      </c>
      <c r="AE410" s="14">
        <v>0.18182462133785257</v>
      </c>
      <c r="AF410" s="14">
        <v>-0.38130975166138414</v>
      </c>
      <c r="AG410" s="14">
        <v>-0.52839323704645091</v>
      </c>
      <c r="AH410" s="14">
        <v>-1.1884105330765842</v>
      </c>
      <c r="AI410" s="14">
        <v>-1.6345396894563038</v>
      </c>
      <c r="AJ410" s="14">
        <v>0.49124586204052395</v>
      </c>
      <c r="AK410" s="14">
        <v>0.25862181620883684</v>
      </c>
      <c r="AM410" s="14">
        <v>0.57901264930450347</v>
      </c>
      <c r="AN410" s="14">
        <v>-0.11117810912221085</v>
      </c>
      <c r="AO410" s="14">
        <v>-0.30479667082665907</v>
      </c>
      <c r="AP410" s="14">
        <v>-0.46131055638283491</v>
      </c>
      <c r="AQ410" s="14">
        <v>-0.66581532690185108</v>
      </c>
      <c r="AR410" s="14">
        <v>-0.17730960672091572</v>
      </c>
      <c r="AS410" s="14">
        <v>0.35054549806630303</v>
      </c>
      <c r="AT410" s="14">
        <v>-0.2460008778775552</v>
      </c>
      <c r="AU410" s="14">
        <v>-0.42266392743952724</v>
      </c>
      <c r="AV410" s="14">
        <v>-0.28006669384281302</v>
      </c>
      <c r="AW410" s="14">
        <v>0.78393026264515575</v>
      </c>
      <c r="AX410" s="14">
        <v>-1.330681490817159E-2</v>
      </c>
      <c r="AY410" s="14">
        <v>0.30902980941195862</v>
      </c>
      <c r="AZ410" s="14">
        <v>-0.12264027706660768</v>
      </c>
      <c r="BA410" s="14">
        <v>0.14737262679416671</v>
      </c>
      <c r="BB410" s="14">
        <v>-0.60658430886384451</v>
      </c>
      <c r="BC410" s="14">
        <v>0.10912956344854154</v>
      </c>
      <c r="BD410" s="14">
        <v>0.1307234294177399</v>
      </c>
      <c r="BE410" s="14">
        <v>0.47240973646127654</v>
      </c>
      <c r="BF410" s="14">
        <v>-0.4540769943994718</v>
      </c>
      <c r="BK410" s="16">
        <v>-4.5689315833305807E-2</v>
      </c>
      <c r="BL410" s="16">
        <v>0.74322139676757948</v>
      </c>
      <c r="BN410" s="17">
        <f t="shared" si="20"/>
        <v>1</v>
      </c>
    </row>
    <row r="411" spans="1:66" x14ac:dyDescent="0.2">
      <c r="A411">
        <v>-0.56196435422015956</v>
      </c>
      <c r="B411">
        <v>-0.26224242098738521</v>
      </c>
      <c r="C411">
        <v>-0.59320955615474613</v>
      </c>
      <c r="D411">
        <v>-0.56949537917140591</v>
      </c>
      <c r="E411">
        <v>-0.73851623405074462</v>
      </c>
      <c r="F411">
        <v>-0.73482282770745377</v>
      </c>
      <c r="G411">
        <v>-0.60886048514889846</v>
      </c>
      <c r="H411">
        <v>-0.4865607788611146</v>
      </c>
      <c r="I411">
        <v>-0.51122676771452336</v>
      </c>
      <c r="J411">
        <v>-0.32786950392221492</v>
      </c>
      <c r="M411" s="13">
        <v>0</v>
      </c>
      <c r="O411" s="10">
        <f t="shared" si="18"/>
        <v>1</v>
      </c>
      <c r="P411" s="10">
        <f t="shared" si="19"/>
        <v>0</v>
      </c>
      <c r="R411" s="14">
        <v>-0.84455041561673427</v>
      </c>
      <c r="S411" s="14">
        <v>-1.11646661213884</v>
      </c>
      <c r="T411" s="14">
        <v>-0.13328564748753871</v>
      </c>
      <c r="U411" s="14">
        <v>0.20662647093146358</v>
      </c>
      <c r="V411" s="14">
        <v>0.46131615835378958</v>
      </c>
      <c r="W411" s="14">
        <v>1.341643704218817</v>
      </c>
      <c r="X411" s="14">
        <v>1.0446756572751197</v>
      </c>
      <c r="Y411" s="14">
        <v>1.0426197909585602</v>
      </c>
      <c r="Z411" s="14">
        <v>-0.7829212836203332</v>
      </c>
      <c r="AA411" s="14">
        <v>0.39022774890051515</v>
      </c>
      <c r="AB411" s="14">
        <v>-1.2058263971564791</v>
      </c>
      <c r="AC411" s="14">
        <v>-0.3937182941700077</v>
      </c>
      <c r="AD411" s="14">
        <v>0.53666784561575243</v>
      </c>
      <c r="AE411" s="14">
        <v>-0.66234531949160869</v>
      </c>
      <c r="AF411" s="14">
        <v>-0.22956286932657</v>
      </c>
      <c r="AG411" s="14">
        <v>1.2368671721783828</v>
      </c>
      <c r="AH411" s="14">
        <v>-0.21122623880952152</v>
      </c>
      <c r="AI411" s="14">
        <v>0.29207455069616928</v>
      </c>
      <c r="AJ411" s="14">
        <v>0.44566188682014207</v>
      </c>
      <c r="AK411" s="14">
        <v>6.1692771454300632E-2</v>
      </c>
      <c r="AM411" s="14">
        <v>0.15850253691325908</v>
      </c>
      <c r="AN411" s="14">
        <v>-0.66066007933956017</v>
      </c>
      <c r="AO411" s="14">
        <v>-0.40720946517612389</v>
      </c>
      <c r="AP411" s="14">
        <v>-0.30635160564419622</v>
      </c>
      <c r="AQ411" s="14">
        <v>-0.70491154053996541</v>
      </c>
      <c r="AR411" s="14">
        <v>-0.11605102443158784</v>
      </c>
      <c r="AS411" s="14">
        <v>0.78687320092665314</v>
      </c>
      <c r="AT411" s="14">
        <v>0.52067370163963733</v>
      </c>
      <c r="AU411" s="14">
        <v>-0.4902674960082658</v>
      </c>
      <c r="AV411" s="14">
        <v>-0.54197441412439584</v>
      </c>
      <c r="AW411" s="14">
        <v>0.2475738405536366</v>
      </c>
      <c r="AX411" s="14">
        <v>-0.27620580272244549</v>
      </c>
      <c r="AY411" s="14">
        <v>0.66235326916072002</v>
      </c>
      <c r="AZ411" s="14">
        <v>-0.6936827254495741</v>
      </c>
      <c r="BA411" s="14">
        <v>0.13156970989135008</v>
      </c>
      <c r="BB411" s="14">
        <v>-0.3195403063488193</v>
      </c>
      <c r="BC411" s="14">
        <v>0.41519674463541628</v>
      </c>
      <c r="BD411" s="14">
        <v>0.61107427600170505</v>
      </c>
      <c r="BE411" s="14">
        <v>0.72597631022256348</v>
      </c>
      <c r="BF411" s="14">
        <v>-0.401280220810809</v>
      </c>
      <c r="BK411" s="16">
        <v>-0.21719683828372538</v>
      </c>
      <c r="BL411" s="16">
        <v>0.90857452806379002</v>
      </c>
      <c r="BN411" s="17">
        <f t="shared" si="20"/>
        <v>1</v>
      </c>
    </row>
    <row r="412" spans="1:66" x14ac:dyDescent="0.2">
      <c r="A412">
        <v>-0.82216649489810056</v>
      </c>
      <c r="B412">
        <v>-0.34806319601151331</v>
      </c>
      <c r="C412">
        <v>-0.83889952178277138</v>
      </c>
      <c r="D412">
        <v>-0.76033875313773569</v>
      </c>
      <c r="E412">
        <v>-0.96394686173410105</v>
      </c>
      <c r="F412">
        <v>-0.78788585626699303</v>
      </c>
      <c r="G412">
        <v>-0.75020725779235298</v>
      </c>
      <c r="H412">
        <v>-0.70395620948284465</v>
      </c>
      <c r="I412">
        <v>-0.66868802380843761</v>
      </c>
      <c r="J412">
        <v>-0.45276397834527299</v>
      </c>
      <c r="M412" s="13">
        <v>0</v>
      </c>
      <c r="O412" s="10">
        <f t="shared" si="18"/>
        <v>1</v>
      </c>
      <c r="P412" s="10">
        <f t="shared" si="19"/>
        <v>0</v>
      </c>
      <c r="R412" s="14">
        <v>0.77622880083328427</v>
      </c>
      <c r="S412" s="14">
        <v>-1.0479364842351169</v>
      </c>
      <c r="T412" s="14">
        <v>-0.22308109194011141</v>
      </c>
      <c r="U412" s="14">
        <v>-0.36874893000748427</v>
      </c>
      <c r="V412" s="14">
        <v>-0.3536007848460696</v>
      </c>
      <c r="W412" s="14">
        <v>-0.31958147183664393</v>
      </c>
      <c r="X412" s="14">
        <v>1.0410852040846199</v>
      </c>
      <c r="Y412" s="14">
        <v>0.93545076355973067</v>
      </c>
      <c r="Z412" s="14">
        <v>-0.18013043616399121</v>
      </c>
      <c r="AA412" s="14">
        <v>0.19871090900857791</v>
      </c>
      <c r="AB412" s="14">
        <v>-0.2638183189555644</v>
      </c>
      <c r="AC412" s="14">
        <v>0.39675649528832835</v>
      </c>
      <c r="AD412" s="14">
        <v>1.0879626997145633</v>
      </c>
      <c r="AE412" s="14">
        <v>-0.39054724189122508</v>
      </c>
      <c r="AF412" s="14">
        <v>0.65967644123599589</v>
      </c>
      <c r="AG412" s="14">
        <v>-0.25577195206397407</v>
      </c>
      <c r="AH412" s="14">
        <v>-0.11427312523180644</v>
      </c>
      <c r="AI412" s="14">
        <v>0.28171777686123789</v>
      </c>
      <c r="AJ412" s="14">
        <v>1.48789310314943</v>
      </c>
      <c r="AK412" s="14">
        <v>-1.4340242076831231</v>
      </c>
      <c r="AM412" s="14">
        <v>-0.48917122381487887</v>
      </c>
      <c r="AN412" s="14">
        <v>-0.29060702709165748</v>
      </c>
      <c r="AO412" s="14">
        <v>-0.17250732371869446</v>
      </c>
      <c r="AP412" s="14">
        <v>0.22996941864051734</v>
      </c>
      <c r="AQ412" s="14">
        <v>-0.4181869640035587</v>
      </c>
      <c r="AR412" s="14">
        <v>0.683766520412323</v>
      </c>
      <c r="AS412" s="14">
        <v>0.54899624093513844</v>
      </c>
      <c r="AT412" s="14">
        <v>-0.23889965034930905</v>
      </c>
      <c r="AU412" s="14">
        <v>-0.83104448180012447</v>
      </c>
      <c r="AV412" s="14">
        <v>-8.6459109261607325E-2</v>
      </c>
      <c r="AW412" s="14">
        <v>2.3818856290151933E-2</v>
      </c>
      <c r="AX412" s="14">
        <v>-0.6237825040512095</v>
      </c>
      <c r="AY412" s="14">
        <v>0.25066173363102962</v>
      </c>
      <c r="AZ412" s="14">
        <v>-0.55807880256022191</v>
      </c>
      <c r="BA412" s="14">
        <v>-0.37420036014568836</v>
      </c>
      <c r="BB412" s="14">
        <v>0.32332077774822365</v>
      </c>
      <c r="BC412" s="14">
        <v>0.11376083289688049</v>
      </c>
      <c r="BD412" s="14">
        <v>0.22599768546517293</v>
      </c>
      <c r="BE412" s="14">
        <v>0.21361823346302208</v>
      </c>
      <c r="BF412" s="14">
        <v>0.33489045694264019</v>
      </c>
      <c r="BK412" s="16">
        <v>0.60598522918002162</v>
      </c>
      <c r="BL412" s="16">
        <v>-0.26008466416704962</v>
      </c>
      <c r="BN412" s="17">
        <f t="shared" si="20"/>
        <v>0</v>
      </c>
    </row>
    <row r="413" spans="1:66" x14ac:dyDescent="0.2">
      <c r="A413">
        <v>-0.91366614876287111</v>
      </c>
      <c r="B413">
        <v>-0.52951283463395515</v>
      </c>
      <c r="C413">
        <v>-0.90405716469425756</v>
      </c>
      <c r="D413">
        <v>-0.83690638130522244</v>
      </c>
      <c r="E413">
        <v>-0.50100564692846161</v>
      </c>
      <c r="F413">
        <v>-0.75527936909138826</v>
      </c>
      <c r="G413">
        <v>-0.65307927659070253</v>
      </c>
      <c r="H413">
        <v>-0.83646390052847075</v>
      </c>
      <c r="I413">
        <v>-0.75707178847757484</v>
      </c>
      <c r="J413">
        <v>-0.64250174704313234</v>
      </c>
      <c r="M413" s="13">
        <v>0</v>
      </c>
      <c r="O413" s="10">
        <f t="shared" si="18"/>
        <v>1</v>
      </c>
      <c r="P413" s="10">
        <f t="shared" si="19"/>
        <v>0</v>
      </c>
      <c r="R413" s="14">
        <v>2.806343588607485E-2</v>
      </c>
      <c r="S413" s="14">
        <v>1.030997996845439</v>
      </c>
      <c r="T413" s="14">
        <v>-0.37514323784374126</v>
      </c>
      <c r="U413" s="14">
        <v>-0.34538858836833886</v>
      </c>
      <c r="V413" s="14">
        <v>-0.45987106955031654</v>
      </c>
      <c r="W413" s="14">
        <v>0.57444426398805026</v>
      </c>
      <c r="X413" s="14">
        <v>-0.70098253541535871</v>
      </c>
      <c r="Y413" s="14">
        <v>-1.1221283605964487</v>
      </c>
      <c r="Z413" s="14">
        <v>-0.25245911521596232</v>
      </c>
      <c r="AA413" s="14">
        <v>1.1350622410210951</v>
      </c>
      <c r="AB413" s="14">
        <v>1.7113777858622359</v>
      </c>
      <c r="AC413" s="14">
        <v>-0.87840336931644936</v>
      </c>
      <c r="AD413" s="14">
        <v>-0.64014330573587763</v>
      </c>
      <c r="AE413" s="14">
        <v>1.6197476991572697</v>
      </c>
      <c r="AF413" s="14">
        <v>-0.5266494680959688</v>
      </c>
      <c r="AG413" s="14">
        <v>-0.48865337829316285</v>
      </c>
      <c r="AH413" s="14">
        <v>-0.94975927570477436</v>
      </c>
      <c r="AI413" s="14">
        <v>-1.6017231714794928</v>
      </c>
      <c r="AJ413" s="14">
        <v>-0.52742804880108518</v>
      </c>
      <c r="AK413" s="14">
        <v>-0.18756828633532047</v>
      </c>
      <c r="AM413" s="14">
        <v>9.9474393307702857E-2</v>
      </c>
      <c r="AN413" s="14">
        <v>-0.21064702807141661</v>
      </c>
      <c r="AO413" s="14">
        <v>-0.2975802534793488</v>
      </c>
      <c r="AP413" s="14">
        <v>-0.10115320006556411</v>
      </c>
      <c r="AQ413" s="14">
        <v>-0.30597054562552439</v>
      </c>
      <c r="AR413" s="14">
        <v>-0.12186398496915436</v>
      </c>
      <c r="AS413" s="14">
        <v>0.41755374556236435</v>
      </c>
      <c r="AT413" s="14">
        <v>-7.6114862827610149E-3</v>
      </c>
      <c r="AU413" s="14">
        <v>-0.44582211104561797</v>
      </c>
      <c r="AV413" s="14">
        <v>-2.9507441363600576E-2</v>
      </c>
      <c r="AW413" s="14">
        <v>0.30183619589770788</v>
      </c>
      <c r="AX413" s="14">
        <v>-0.32907507727896301</v>
      </c>
      <c r="AY413" s="14">
        <v>0.36012837374982709</v>
      </c>
      <c r="AZ413" s="14">
        <v>-0.23119213466413921</v>
      </c>
      <c r="BA413" s="14">
        <v>0.19932189922410329</v>
      </c>
      <c r="BB413" s="14">
        <v>0.13573752833190372</v>
      </c>
      <c r="BC413" s="14">
        <v>5.2934718498707831E-2</v>
      </c>
      <c r="BD413" s="14">
        <v>0.1890385752350266</v>
      </c>
      <c r="BE413" s="14">
        <v>0.23370878031799527</v>
      </c>
      <c r="BF413" s="14">
        <v>-2.9382100053221612E-2</v>
      </c>
      <c r="BK413" s="16">
        <v>0.70899889782228587</v>
      </c>
      <c r="BL413" s="16">
        <v>-0.13102166452854941</v>
      </c>
      <c r="BN413" s="17">
        <f t="shared" si="20"/>
        <v>0</v>
      </c>
    </row>
    <row r="414" spans="1:66" x14ac:dyDescent="0.2">
      <c r="A414">
        <v>-1.383459684074801</v>
      </c>
      <c r="B414">
        <v>0.6597179049861005</v>
      </c>
      <c r="C414">
        <v>-1.3676309680836229</v>
      </c>
      <c r="D414">
        <v>-1.1374199294512981</v>
      </c>
      <c r="E414">
        <v>-0.82642116966016554</v>
      </c>
      <c r="F414">
        <v>-0.66985781143362511</v>
      </c>
      <c r="G414">
        <v>-1.1558954992746151</v>
      </c>
      <c r="H414">
        <v>-1.3426846889762141</v>
      </c>
      <c r="I414">
        <v>-1.0588872894719841</v>
      </c>
      <c r="J414">
        <v>-1.371352354977214</v>
      </c>
      <c r="M414" s="13">
        <v>0</v>
      </c>
      <c r="O414" s="10">
        <f t="shared" si="18"/>
        <v>1</v>
      </c>
      <c r="P414" s="10">
        <f t="shared" si="19"/>
        <v>0</v>
      </c>
      <c r="R414" s="14">
        <v>0.94234811791992279</v>
      </c>
      <c r="S414" s="14">
        <v>-0.42732698408142289</v>
      </c>
      <c r="T414" s="14">
        <v>-0.62812416095462931</v>
      </c>
      <c r="U414" s="14">
        <v>-1.2451183241453707</v>
      </c>
      <c r="V414" s="14">
        <v>-0.63830035305051125</v>
      </c>
      <c r="W414" s="14">
        <v>2.7158702254029832E-2</v>
      </c>
      <c r="X414" s="14">
        <v>1.0408476462581402</v>
      </c>
      <c r="Y414" s="14">
        <v>-0.19574912569178315</v>
      </c>
      <c r="Z414" s="14">
        <v>-0.73598602570596938</v>
      </c>
      <c r="AA414" s="14">
        <v>-8.6455923882306052E-2</v>
      </c>
      <c r="AB414" s="14">
        <v>0.78592791186988542</v>
      </c>
      <c r="AC414" s="14">
        <v>0.47059675129573436</v>
      </c>
      <c r="AD414" s="14">
        <v>1.014188841556664</v>
      </c>
      <c r="AE414" s="14">
        <v>2.9238269421222207E-2</v>
      </c>
      <c r="AF414" s="14">
        <v>0.3919046006623923</v>
      </c>
      <c r="AG414" s="14">
        <v>-0.60177301456087429</v>
      </c>
      <c r="AH414" s="14">
        <v>-0.45007813956674325</v>
      </c>
      <c r="AI414" s="14">
        <v>-0.10347787785937601</v>
      </c>
      <c r="AJ414" s="14">
        <v>1.5516855285604403</v>
      </c>
      <c r="AK414" s="14">
        <v>-1.2617507915235446</v>
      </c>
      <c r="AM414" s="14">
        <v>0.58826360281448786</v>
      </c>
      <c r="AN414" s="14">
        <v>-0.4803694599427798</v>
      </c>
      <c r="AO414" s="14">
        <v>-0.1603077175890511</v>
      </c>
      <c r="AP414" s="14">
        <v>-0.19306785339878468</v>
      </c>
      <c r="AQ414" s="14">
        <v>-0.3867157851069542</v>
      </c>
      <c r="AR414" s="14">
        <v>-0.47416112792909348</v>
      </c>
      <c r="AS414" s="14">
        <v>0.6110440813240855</v>
      </c>
      <c r="AT414" s="14">
        <v>0.48901754402837505</v>
      </c>
      <c r="AU414" s="14">
        <v>-0.1070644657479707</v>
      </c>
      <c r="AV414" s="14">
        <v>-0.21583538282138534</v>
      </c>
      <c r="AW414" s="14">
        <v>-4.8587954483905502E-2</v>
      </c>
      <c r="AX414" s="14">
        <v>0.14758974863244401</v>
      </c>
      <c r="AY414" s="14">
        <v>0.5677378013979173</v>
      </c>
      <c r="AZ414" s="14">
        <v>-0.34991035512906221</v>
      </c>
      <c r="BA414" s="14">
        <v>0.38947435308529166</v>
      </c>
      <c r="BB414" s="14">
        <v>-0.18930469747499273</v>
      </c>
      <c r="BC414" s="14">
        <v>0.28440344630177489</v>
      </c>
      <c r="BD414" s="14">
        <v>0.4912974613979208</v>
      </c>
      <c r="BE414" s="14">
        <v>0.56530393150104741</v>
      </c>
      <c r="BF414" s="14">
        <v>-0.62993593418121185</v>
      </c>
      <c r="BK414" s="16">
        <v>0.27366289539052918</v>
      </c>
      <c r="BL414" s="16">
        <v>-2.6705627214978683E-2</v>
      </c>
      <c r="BN414" s="17">
        <f t="shared" si="20"/>
        <v>0</v>
      </c>
    </row>
    <row r="415" spans="1:66" x14ac:dyDescent="0.2">
      <c r="A415">
        <v>0.2157827036303894</v>
      </c>
      <c r="B415">
        <v>0.76515485715860021</v>
      </c>
      <c r="C415">
        <v>0.20030263013036259</v>
      </c>
      <c r="D415">
        <v>8.5647183645134753E-2</v>
      </c>
      <c r="E415">
        <v>-4.6427480965156087E-2</v>
      </c>
      <c r="F415">
        <v>-0.28254729456446359</v>
      </c>
      <c r="G415">
        <v>-0.29626174564990237</v>
      </c>
      <c r="H415">
        <v>6.4174312047269019E-2</v>
      </c>
      <c r="I415">
        <v>-5.6200933175417508E-2</v>
      </c>
      <c r="J415">
        <v>0.20345614985837279</v>
      </c>
      <c r="M415" s="13">
        <v>0</v>
      </c>
      <c r="O415" s="10">
        <f t="shared" si="18"/>
        <v>1</v>
      </c>
      <c r="P415" s="10">
        <f t="shared" si="19"/>
        <v>0</v>
      </c>
      <c r="R415" s="14">
        <v>2.4814752776983015E-2</v>
      </c>
      <c r="S415" s="14">
        <v>-1.1102181606788886</v>
      </c>
      <c r="T415" s="14">
        <v>-0.75397955103973568</v>
      </c>
      <c r="U415" s="14">
        <v>-0.99591038092639939</v>
      </c>
      <c r="V415" s="14">
        <v>-0.62656403785900527</v>
      </c>
      <c r="W415" s="14">
        <v>-0.14155874227312987</v>
      </c>
      <c r="X415" s="14">
        <v>1.0647417410943196</v>
      </c>
      <c r="Y415" s="14">
        <v>0.98019034961072715</v>
      </c>
      <c r="Z415" s="14">
        <v>-0.39254774989399466</v>
      </c>
      <c r="AA415" s="14">
        <v>-0.26741718047711593</v>
      </c>
      <c r="AB415" s="14">
        <v>0.72396002178081886</v>
      </c>
      <c r="AC415" s="14">
        <v>-0.20470167680156104</v>
      </c>
      <c r="AD415" s="14">
        <v>1.1213197667798684</v>
      </c>
      <c r="AE415" s="14">
        <v>-0.65150911565724479</v>
      </c>
      <c r="AF415" s="14">
        <v>-3.3434887522734269E-2</v>
      </c>
      <c r="AG415" s="14">
        <v>-0.55323637642850654</v>
      </c>
      <c r="AH415" s="14">
        <v>-3.6967635758603512E-2</v>
      </c>
      <c r="AI415" s="14">
        <v>0.31703091999135891</v>
      </c>
      <c r="AJ415" s="14">
        <v>1.5619709998573503</v>
      </c>
      <c r="AK415" s="14">
        <v>-1.1654055642608174</v>
      </c>
      <c r="AM415" s="14">
        <v>-0.2880381573053401</v>
      </c>
      <c r="AN415" s="14">
        <v>8.2250493777890288E-2</v>
      </c>
      <c r="AO415" s="14">
        <v>0.2655799189199845</v>
      </c>
      <c r="AP415" s="14">
        <v>0.52764563365976191</v>
      </c>
      <c r="AQ415" s="14">
        <v>0.13625269343235891</v>
      </c>
      <c r="AR415" s="14">
        <v>0.54461006683445001</v>
      </c>
      <c r="AS415" s="14">
        <v>-0.23848597137715952</v>
      </c>
      <c r="AT415" s="14">
        <v>-0.21597855140887534</v>
      </c>
      <c r="AU415" s="14">
        <v>-0.16136006712017958</v>
      </c>
      <c r="AV415" s="14">
        <v>0.13717435643805068</v>
      </c>
      <c r="AW415" s="14">
        <v>-0.43364307051742251</v>
      </c>
      <c r="AX415" s="14">
        <v>-9.5686664723865097E-2</v>
      </c>
      <c r="AY415" s="14">
        <v>-0.30184329723736264</v>
      </c>
      <c r="AZ415" s="14">
        <v>-3.8951157969470816E-2</v>
      </c>
      <c r="BA415" s="14">
        <v>-0.36841145695784472</v>
      </c>
      <c r="BB415" s="14">
        <v>9.2376338254763074E-2</v>
      </c>
      <c r="BC415" s="14">
        <v>-7.7011678596112104E-3</v>
      </c>
      <c r="BD415" s="14">
        <v>-6.3005139901369162E-2</v>
      </c>
      <c r="BE415" s="14">
        <v>-0.23650608333695805</v>
      </c>
      <c r="BF415" s="14">
        <v>7.6513090228153224E-2</v>
      </c>
      <c r="BK415" s="16">
        <v>0.66906136928389071</v>
      </c>
      <c r="BL415" s="16">
        <v>-0.23768686627640861</v>
      </c>
      <c r="BN415" s="17">
        <f t="shared" si="20"/>
        <v>0</v>
      </c>
    </row>
    <row r="416" spans="1:66" x14ac:dyDescent="0.2">
      <c r="A416">
        <v>0.25581380219622663</v>
      </c>
      <c r="B416">
        <v>2.6532119076894101</v>
      </c>
      <c r="C416">
        <v>0.1662712497562101</v>
      </c>
      <c r="D416">
        <v>0.15991202600307289</v>
      </c>
      <c r="E416">
        <v>-1.095525496853488</v>
      </c>
      <c r="F416">
        <v>-0.55195374563894761</v>
      </c>
      <c r="G416">
        <v>-0.58687888940326183</v>
      </c>
      <c r="H416">
        <v>0.1676959456766644</v>
      </c>
      <c r="I416">
        <v>5.7688366789021922E-2</v>
      </c>
      <c r="J416">
        <v>-0.77069079992818956</v>
      </c>
      <c r="M416" s="13">
        <v>1</v>
      </c>
      <c r="O416" s="10">
        <f t="shared" si="18"/>
        <v>0</v>
      </c>
      <c r="P416" s="10">
        <f t="shared" si="19"/>
        <v>1</v>
      </c>
      <c r="R416" s="14">
        <v>-0.7100937902301423</v>
      </c>
      <c r="S416" s="14">
        <v>-0.56503385097730374</v>
      </c>
      <c r="T416" s="14">
        <v>-0.43594209118202654</v>
      </c>
      <c r="U416" s="14">
        <v>-0.30867141504679141</v>
      </c>
      <c r="V416" s="14">
        <v>-0.37477325699642028</v>
      </c>
      <c r="W416" s="14">
        <v>1.2408010027120233</v>
      </c>
      <c r="X416" s="14">
        <v>1.02725011477693</v>
      </c>
      <c r="Y416" s="14">
        <v>-0.37409237120894445</v>
      </c>
      <c r="Z416" s="14">
        <v>-1.1849265763892214</v>
      </c>
      <c r="AA416" s="14">
        <v>0.52595255089836346</v>
      </c>
      <c r="AB416" s="14">
        <v>0.41181792442498921</v>
      </c>
      <c r="AC416" s="14">
        <v>-0.38160170982717767</v>
      </c>
      <c r="AD416" s="14">
        <v>0.6049183026933761</v>
      </c>
      <c r="AE416" s="14">
        <v>-0.64202874414952538</v>
      </c>
      <c r="AF416" s="14">
        <v>-0.24645828756614641</v>
      </c>
      <c r="AG416" s="14">
        <v>0.6083363957957959</v>
      </c>
      <c r="AH416" s="14">
        <v>-0.47063017543841107</v>
      </c>
      <c r="AI416" s="14">
        <v>-0.28974568873514012</v>
      </c>
      <c r="AJ416" s="14">
        <v>0.70190608770550988</v>
      </c>
      <c r="AK416" s="14">
        <v>-0.13055433588352716</v>
      </c>
      <c r="AM416" s="14">
        <v>0.36207031532596307</v>
      </c>
      <c r="AN416" s="14">
        <v>-0.51260359454702409</v>
      </c>
      <c r="AO416" s="14">
        <v>-0.16727831998601647</v>
      </c>
      <c r="AP416" s="14">
        <v>-0.28944057168459913</v>
      </c>
      <c r="AQ416" s="14">
        <v>-0.58328166099803458</v>
      </c>
      <c r="AR416" s="14">
        <v>-0.26933115708494265</v>
      </c>
      <c r="AS416" s="14">
        <v>0.66652910752686934</v>
      </c>
      <c r="AT416" s="14">
        <v>0.44600152073778743</v>
      </c>
      <c r="AU416" s="14">
        <v>-0.38033244479728684</v>
      </c>
      <c r="AV416" s="14">
        <v>-0.40492789303828935</v>
      </c>
      <c r="AW416" s="14">
        <v>9.7205916389401681E-2</v>
      </c>
      <c r="AX416" s="14">
        <v>-4.8058754041545283E-2</v>
      </c>
      <c r="AY416" s="14">
        <v>0.53976233721403843</v>
      </c>
      <c r="AZ416" s="14">
        <v>-0.49993472151412627</v>
      </c>
      <c r="BA416" s="14">
        <v>0.21936162361044603</v>
      </c>
      <c r="BB416" s="14">
        <v>-0.32601775632458241</v>
      </c>
      <c r="BC416" s="14">
        <v>0.32834876386223355</v>
      </c>
      <c r="BD416" s="14">
        <v>0.46094263086454157</v>
      </c>
      <c r="BE416" s="14">
        <v>0.61037498386686739</v>
      </c>
      <c r="BF416" s="14">
        <v>-0.53558446262731685</v>
      </c>
      <c r="BK416" s="16">
        <v>0.8659249931469265</v>
      </c>
      <c r="BL416" s="16">
        <v>-0.20118315309929366</v>
      </c>
      <c r="BN416" s="17">
        <f t="shared" si="20"/>
        <v>0</v>
      </c>
    </row>
    <row r="417" spans="1:66" x14ac:dyDescent="0.2">
      <c r="A417">
        <v>-0.67062019318457422</v>
      </c>
      <c r="B417">
        <v>0.53466477566522919</v>
      </c>
      <c r="C417">
        <v>-0.67704295658863289</v>
      </c>
      <c r="D417">
        <v>-0.66247035623192552</v>
      </c>
      <c r="E417">
        <v>-0.44227845950229461</v>
      </c>
      <c r="F417">
        <v>-0.81615307708842999</v>
      </c>
      <c r="G417">
        <v>-0.73001486170043095</v>
      </c>
      <c r="H417">
        <v>-0.70395620948284465</v>
      </c>
      <c r="I417">
        <v>-0.6658540754422928</v>
      </c>
      <c r="J417">
        <v>-0.51790677975298327</v>
      </c>
      <c r="M417" s="13">
        <v>0</v>
      </c>
      <c r="O417" s="10">
        <f t="shared" si="18"/>
        <v>1</v>
      </c>
      <c r="P417" s="10">
        <f t="shared" si="19"/>
        <v>0</v>
      </c>
      <c r="R417" s="14">
        <v>0.12888949779058315</v>
      </c>
      <c r="S417" s="14">
        <v>-0.65644426763192576</v>
      </c>
      <c r="T417" s="14">
        <v>-0.6573957338412193</v>
      </c>
      <c r="U417" s="14">
        <v>-0.7258313233790763</v>
      </c>
      <c r="V417" s="14">
        <v>-0.37438626252117024</v>
      </c>
      <c r="W417" s="14">
        <v>7.1828547698922718E-2</v>
      </c>
      <c r="X417" s="14">
        <v>1.0445441709349057</v>
      </c>
      <c r="Y417" s="14">
        <v>-7.7304993222798157E-3</v>
      </c>
      <c r="Z417" s="14">
        <v>-0.8013178854083377</v>
      </c>
      <c r="AA417" s="14">
        <v>0.38812927207221615</v>
      </c>
      <c r="AB417" s="14">
        <v>0.7061735263281701</v>
      </c>
      <c r="AC417" s="14">
        <v>-0.29488123257887744</v>
      </c>
      <c r="AD417" s="14">
        <v>1.0103039456702214</v>
      </c>
      <c r="AE417" s="14">
        <v>-0.40873329623524252</v>
      </c>
      <c r="AF417" s="14">
        <v>0.42749705782887065</v>
      </c>
      <c r="AG417" s="14">
        <v>0.29395546652777926</v>
      </c>
      <c r="AH417" s="14">
        <v>-0.51017639803974735</v>
      </c>
      <c r="AI417" s="14">
        <v>-0.16091155582817579</v>
      </c>
      <c r="AJ417" s="14">
        <v>1.1061563578247009</v>
      </c>
      <c r="AK417" s="14">
        <v>-0.66163741490838224</v>
      </c>
      <c r="AM417" s="14">
        <v>0.14043715918876634</v>
      </c>
      <c r="AN417" s="14">
        <v>-0.66655653589567243</v>
      </c>
      <c r="AO417" s="14">
        <v>-0.10670821295540243</v>
      </c>
      <c r="AP417" s="14">
        <v>5.063996124081311E-2</v>
      </c>
      <c r="AQ417" s="14">
        <v>-0.14289703291396724</v>
      </c>
      <c r="AR417" s="14">
        <v>-0.54391981816453649</v>
      </c>
      <c r="AS417" s="14">
        <v>0.6187036766029298</v>
      </c>
      <c r="AT417" s="14">
        <v>0.81414250218282458</v>
      </c>
      <c r="AU417" s="14">
        <v>0.34592580826692437</v>
      </c>
      <c r="AV417" s="14">
        <v>-0.36638704606663719</v>
      </c>
      <c r="AW417" s="14">
        <v>-0.65292333460961005</v>
      </c>
      <c r="AX417" s="14">
        <v>0.10236959508091949</v>
      </c>
      <c r="AY417" s="14">
        <v>0.57790597124662124</v>
      </c>
      <c r="AZ417" s="14">
        <v>-0.54216071465062332</v>
      </c>
      <c r="BA417" s="14">
        <v>0.3785189132428794</v>
      </c>
      <c r="BB417" s="14">
        <v>3.4087114225102758E-2</v>
      </c>
      <c r="BC417" s="14">
        <v>0.40304000510857863</v>
      </c>
      <c r="BD417" s="14">
        <v>0.62465480963790043</v>
      </c>
      <c r="BE417" s="14">
        <v>0.5410131533131306</v>
      </c>
      <c r="BF417" s="14">
        <v>-0.5120350569729295</v>
      </c>
      <c r="BK417" s="16">
        <v>0.7468354579981521</v>
      </c>
      <c r="BL417" s="16">
        <v>-0.19107822822383017</v>
      </c>
      <c r="BN417" s="17">
        <f t="shared" si="20"/>
        <v>0</v>
      </c>
    </row>
    <row r="418" spans="1:66" x14ac:dyDescent="0.2">
      <c r="A418">
        <v>-1.381172192728183</v>
      </c>
      <c r="B418">
        <v>0.6646219492731934</v>
      </c>
      <c r="C418">
        <v>-1.37385622059109</v>
      </c>
      <c r="D418">
        <v>-1.1305115720226531</v>
      </c>
      <c r="E418">
        <v>-0.80672154349822345</v>
      </c>
      <c r="F418">
        <v>-0.87913442874321035</v>
      </c>
      <c r="G418">
        <v>-0.96567801608969872</v>
      </c>
      <c r="H418">
        <v>-1.1594513974521841</v>
      </c>
      <c r="I418">
        <v>-0.95544817410770277</v>
      </c>
      <c r="J418">
        <v>-1.190749553833079</v>
      </c>
      <c r="M418" s="13">
        <v>0</v>
      </c>
      <c r="O418" s="10">
        <f t="shared" si="18"/>
        <v>1</v>
      </c>
      <c r="P418" s="10">
        <f t="shared" si="19"/>
        <v>0</v>
      </c>
      <c r="R418" s="14">
        <v>0.82079371887252284</v>
      </c>
      <c r="S418" s="14">
        <v>-1.0197053578927662</v>
      </c>
      <c r="T418" s="14">
        <v>-0.52396910047693868</v>
      </c>
      <c r="U418" s="14">
        <v>-0.88324009165921069</v>
      </c>
      <c r="V418" s="14">
        <v>-0.40281607420405907</v>
      </c>
      <c r="W418" s="14">
        <v>-0.384378620926839</v>
      </c>
      <c r="X418" s="14">
        <v>1.0494485497021246</v>
      </c>
      <c r="Y418" s="14">
        <v>0.95088102721345025</v>
      </c>
      <c r="Z418" s="14">
        <v>2.3699008228856289E-2</v>
      </c>
      <c r="AA418" s="14">
        <v>-2.3887666188144085E-2</v>
      </c>
      <c r="AB418" s="14">
        <v>0.49304129775633965</v>
      </c>
      <c r="AC418" s="14">
        <v>0.45010616782793655</v>
      </c>
      <c r="AD418" s="14">
        <v>1.1076975880217799</v>
      </c>
      <c r="AE418" s="14">
        <v>-0.25258898867850782</v>
      </c>
      <c r="AF418" s="14">
        <v>0.5035020896872523</v>
      </c>
      <c r="AG418" s="14">
        <v>-0.45306963084363261</v>
      </c>
      <c r="AH418" s="14">
        <v>-0.19257129051907929</v>
      </c>
      <c r="AI418" s="14">
        <v>0.2809018546306925</v>
      </c>
      <c r="AJ418" s="14">
        <v>1.5360107950418693</v>
      </c>
      <c r="AK418" s="14">
        <v>-1.4007186762656567</v>
      </c>
      <c r="AM418" s="14">
        <v>-2.2011958511679249E-2</v>
      </c>
      <c r="AN418" s="14">
        <v>-0.41186167774696536</v>
      </c>
      <c r="AO418" s="14">
        <v>-0.34532434362154979</v>
      </c>
      <c r="AP418" s="14">
        <v>-0.56646424638681214</v>
      </c>
      <c r="AQ418" s="14">
        <v>-0.63590634568468363</v>
      </c>
      <c r="AR418" s="14">
        <v>0.11820125805081842</v>
      </c>
      <c r="AS418" s="14">
        <v>0.71073649844167019</v>
      </c>
      <c r="AT418" s="14">
        <v>0.18521591358430781</v>
      </c>
      <c r="AU418" s="14">
        <v>-0.67194411622376515</v>
      </c>
      <c r="AV418" s="14">
        <v>-0.432552682306235</v>
      </c>
      <c r="AW418" s="14">
        <v>0.40377626167853192</v>
      </c>
      <c r="AX418" s="14">
        <v>-0.36005960226819811</v>
      </c>
      <c r="AY418" s="14">
        <v>0.52716515416152232</v>
      </c>
      <c r="AZ418" s="14">
        <v>-0.54728040540159817</v>
      </c>
      <c r="BA418" s="14">
        <v>-5.2965460924899364E-2</v>
      </c>
      <c r="BB418" s="14">
        <v>-0.2226674057881694</v>
      </c>
      <c r="BC418" s="14">
        <v>0.15995050704693242</v>
      </c>
      <c r="BD418" s="14">
        <v>0.34879793046268603</v>
      </c>
      <c r="BE418" s="14">
        <v>0.60918183885549493</v>
      </c>
      <c r="BF418" s="14">
        <v>-5.9523684242347386E-2</v>
      </c>
      <c r="BK418" s="16">
        <v>-0.28591208722590966</v>
      </c>
      <c r="BL418" s="16">
        <v>0.75408935508256791</v>
      </c>
      <c r="BN418" s="17">
        <f t="shared" si="20"/>
        <v>1</v>
      </c>
    </row>
    <row r="419" spans="1:66" x14ac:dyDescent="0.2">
      <c r="A419">
        <v>0.3616102769773672</v>
      </c>
      <c r="B419">
        <v>0.5125965763733098</v>
      </c>
      <c r="C419">
        <v>0.42316666989767621</v>
      </c>
      <c r="D419">
        <v>0.40055314310088841</v>
      </c>
      <c r="E419">
        <v>0.9682891119046918</v>
      </c>
      <c r="F419">
        <v>0.75404144792691263</v>
      </c>
      <c r="G419">
        <v>0.88077602654378262</v>
      </c>
      <c r="H419">
        <v>1.3913216551761169</v>
      </c>
      <c r="I419">
        <v>1.504064764160115</v>
      </c>
      <c r="J419">
        <v>1.440420608772593</v>
      </c>
      <c r="M419" s="13">
        <v>1</v>
      </c>
      <c r="O419" s="10">
        <f t="shared" si="18"/>
        <v>0</v>
      </c>
      <c r="P419" s="10">
        <f t="shared" si="19"/>
        <v>1</v>
      </c>
      <c r="R419" s="14">
        <v>-0.90146188299900909</v>
      </c>
      <c r="S419" s="14">
        <v>-0.31444590858665433</v>
      </c>
      <c r="T419" s="14">
        <v>6.9435615608323231E-2</v>
      </c>
      <c r="U419" s="14">
        <v>0.131832447168026</v>
      </c>
      <c r="V419" s="14">
        <v>0.49305105801927684</v>
      </c>
      <c r="W419" s="14">
        <v>0.56398765684527508</v>
      </c>
      <c r="X419" s="14">
        <v>-0.61212835361874818</v>
      </c>
      <c r="Y419" s="14">
        <v>-0.26686334986118482</v>
      </c>
      <c r="Z419" s="14">
        <v>0.23887375646004161</v>
      </c>
      <c r="AA419" s="14">
        <v>0.56259558464607151</v>
      </c>
      <c r="AB419" s="14">
        <v>-0.1906853690792224</v>
      </c>
      <c r="AC419" s="14">
        <v>-0.22070907724890482</v>
      </c>
      <c r="AD419" s="14">
        <v>-0.27595762875167518</v>
      </c>
      <c r="AE419" s="14">
        <v>-0.19750979939935132</v>
      </c>
      <c r="AF419" s="14">
        <v>-1.330073550007316</v>
      </c>
      <c r="AG419" s="14">
        <v>-0.55037081407868671</v>
      </c>
      <c r="AH419" s="14">
        <v>-0.39373615925744421</v>
      </c>
      <c r="AI419" s="14">
        <v>-0.20373066051221234</v>
      </c>
      <c r="AJ419" s="14">
        <v>0.47602163933749969</v>
      </c>
      <c r="AK419" s="14">
        <v>-0.49864569224195116</v>
      </c>
      <c r="AM419" s="14">
        <v>0.16230746768516596</v>
      </c>
      <c r="AN419" s="14">
        <v>0.74483519142005239</v>
      </c>
      <c r="AO419" s="14">
        <v>0.56331058843633175</v>
      </c>
      <c r="AP419" s="14">
        <v>0.21869548323923801</v>
      </c>
      <c r="AQ419" s="14">
        <v>0.80853261322825609</v>
      </c>
      <c r="AR419" s="14">
        <v>0.30286914786649827</v>
      </c>
      <c r="AS419" s="14">
        <v>-0.84732343600838833</v>
      </c>
      <c r="AT419" s="14">
        <v>-0.65513706461147603</v>
      </c>
      <c r="AU419" s="14">
        <v>0.60016374038063436</v>
      </c>
      <c r="AV419" s="14">
        <v>0.65741972502467594</v>
      </c>
      <c r="AW419" s="14">
        <v>-0.50908759338032639</v>
      </c>
      <c r="AX419" s="14">
        <v>0.51064783733465946</v>
      </c>
      <c r="AY419" s="14">
        <v>-0.73262550665549442</v>
      </c>
      <c r="AZ419" s="14">
        <v>0.77960255226568365</v>
      </c>
      <c r="BA419" s="14">
        <v>-0.35588875222990207</v>
      </c>
      <c r="BB419" s="14">
        <v>0.29406102684335939</v>
      </c>
      <c r="BC419" s="14">
        <v>-0.5456185520099891</v>
      </c>
      <c r="BD419" s="14">
        <v>-0.63475086187416041</v>
      </c>
      <c r="BE419" s="14">
        <v>-0.7560171005119608</v>
      </c>
      <c r="BF419" s="14">
        <v>0.29747778698010768</v>
      </c>
      <c r="BK419" s="16">
        <v>0.64595290910701919</v>
      </c>
      <c r="BL419" s="16">
        <v>-0.3399511953302537</v>
      </c>
      <c r="BN419" s="17">
        <f t="shared" si="20"/>
        <v>0</v>
      </c>
    </row>
    <row r="420" spans="1:66" x14ac:dyDescent="0.2">
      <c r="A420">
        <v>-0.43901169433937443</v>
      </c>
      <c r="B420">
        <v>-1.672155153526627</v>
      </c>
      <c r="C420">
        <v>-0.49070039819845862</v>
      </c>
      <c r="D420">
        <v>-0.48630724180146739</v>
      </c>
      <c r="E420">
        <v>-0.87455516188604299</v>
      </c>
      <c r="F420">
        <v>-0.84032898963308</v>
      </c>
      <c r="G420">
        <v>-0.67301607273209396</v>
      </c>
      <c r="H420">
        <v>-0.57973024912757032</v>
      </c>
      <c r="I420">
        <v>-0.58792049537331403</v>
      </c>
      <c r="J420">
        <v>-0.52374716884470907</v>
      </c>
      <c r="M420" s="13">
        <v>0</v>
      </c>
      <c r="O420" s="10">
        <f t="shared" si="18"/>
        <v>1</v>
      </c>
      <c r="P420" s="10">
        <f t="shared" si="19"/>
        <v>0</v>
      </c>
      <c r="R420" s="14">
        <v>0.42126009735426073</v>
      </c>
      <c r="S420" s="14">
        <v>-1.0465767803362058</v>
      </c>
      <c r="T420" s="14">
        <v>-0.54853740982301824</v>
      </c>
      <c r="U420" s="14">
        <v>-1.0930295671166363</v>
      </c>
      <c r="V420" s="14">
        <v>-0.58250277945696971</v>
      </c>
      <c r="W420" s="14">
        <v>-0.24744890960562232</v>
      </c>
      <c r="X420" s="14">
        <v>1.0582128920961904</v>
      </c>
      <c r="Y420" s="14">
        <v>0.8393420453257654</v>
      </c>
      <c r="Z420" s="14">
        <v>-0.42403132218479989</v>
      </c>
      <c r="AA420" s="14">
        <v>-0.21827054544385771</v>
      </c>
      <c r="AB420" s="14">
        <v>0.69577133939400548</v>
      </c>
      <c r="AC420" s="14">
        <v>0.12015797612918627</v>
      </c>
      <c r="AD420" s="14">
        <v>1.1019384548211482</v>
      </c>
      <c r="AE420" s="14">
        <v>-0.54339273086354134</v>
      </c>
      <c r="AF420" s="14">
        <v>9.3301003064883203E-2</v>
      </c>
      <c r="AG420" s="14">
        <v>-0.56227249369512577</v>
      </c>
      <c r="AH420" s="14">
        <v>-0.14043627825694538</v>
      </c>
      <c r="AI420" s="14">
        <v>0.26293559938563149</v>
      </c>
      <c r="AJ420" s="14">
        <v>1.5488505869910978</v>
      </c>
      <c r="AK420" s="14">
        <v>-1.2985838675357169</v>
      </c>
      <c r="AM420" s="14">
        <v>0.4407763959219449</v>
      </c>
      <c r="AN420" s="14">
        <v>-0.73616909442415479</v>
      </c>
      <c r="AO420" s="14">
        <v>-0.534395060508983</v>
      </c>
      <c r="AP420" s="14">
        <v>-0.43987271502235564</v>
      </c>
      <c r="AQ420" s="14">
        <v>-0.82694475903020359</v>
      </c>
      <c r="AR420" s="14">
        <v>-0.3595944337101602</v>
      </c>
      <c r="AS420" s="14">
        <v>0.86189802596493759</v>
      </c>
      <c r="AT420" s="14">
        <v>0.56465184055698792</v>
      </c>
      <c r="AU420" s="14">
        <v>-0.55077693497563784</v>
      </c>
      <c r="AV420" s="14">
        <v>-0.62419506218886578</v>
      </c>
      <c r="AW420" s="14">
        <v>0.53584327846306923</v>
      </c>
      <c r="AX420" s="14">
        <v>-0.27130645359612288</v>
      </c>
      <c r="AY420" s="14">
        <v>0.77306204035285575</v>
      </c>
      <c r="AZ420" s="14">
        <v>-0.74274330688913026</v>
      </c>
      <c r="BA420" s="14">
        <v>0.32292069997755218</v>
      </c>
      <c r="BB420" s="14">
        <v>-0.46967277457840506</v>
      </c>
      <c r="BC420" s="14">
        <v>0.50708318946204212</v>
      </c>
      <c r="BD420" s="14">
        <v>0.68940886863481243</v>
      </c>
      <c r="BE420" s="14">
        <v>0.82032010536480648</v>
      </c>
      <c r="BF420" s="14">
        <v>-0.58755349096777798</v>
      </c>
      <c r="BK420" s="16">
        <v>0.74848163674909718</v>
      </c>
      <c r="BL420" s="16">
        <v>-0.25686251138237354</v>
      </c>
      <c r="BN420" s="17">
        <f t="shared" si="20"/>
        <v>0</v>
      </c>
    </row>
    <row r="421" spans="1:66" x14ac:dyDescent="0.2">
      <c r="A421">
        <v>-0.87935377856358188</v>
      </c>
      <c r="B421">
        <v>0.593513307110345</v>
      </c>
      <c r="C421">
        <v>-0.90281211419276419</v>
      </c>
      <c r="D421">
        <v>-0.81646915724547975</v>
      </c>
      <c r="E421">
        <v>-0.84035958439738878</v>
      </c>
      <c r="F421">
        <v>-1.021896291795336</v>
      </c>
      <c r="G421">
        <v>-1.0119416071357481</v>
      </c>
      <c r="H421">
        <v>-0.84681606389141051</v>
      </c>
      <c r="I421">
        <v>-0.78080610604403655</v>
      </c>
      <c r="J421">
        <v>-1.110481642213464</v>
      </c>
      <c r="M421" s="13">
        <v>0</v>
      </c>
      <c r="O421" s="10">
        <f t="shared" si="18"/>
        <v>1</v>
      </c>
      <c r="P421" s="10">
        <f t="shared" si="19"/>
        <v>0</v>
      </c>
      <c r="R421" s="14">
        <v>3.5112740653714877E-2</v>
      </c>
      <c r="S421" s="14">
        <v>-1.1267723180631304</v>
      </c>
      <c r="T421" s="14">
        <v>-0.45961050295104766</v>
      </c>
      <c r="U421" s="14">
        <v>-0.58358406084859649</v>
      </c>
      <c r="V421" s="14">
        <v>-0.10918290500308847</v>
      </c>
      <c r="W421" s="14">
        <v>-0.40536404199365378</v>
      </c>
      <c r="X421" s="14">
        <v>1.0594639216657751</v>
      </c>
      <c r="Y421" s="14">
        <v>1.3289106798610635</v>
      </c>
      <c r="Z421" s="14">
        <v>0.49960791646636737</v>
      </c>
      <c r="AA421" s="14">
        <v>-0.21698781737109285</v>
      </c>
      <c r="AB421" s="14">
        <v>-0.99782056125939256</v>
      </c>
      <c r="AC421" s="14">
        <v>0.18277045527148084</v>
      </c>
      <c r="AD421" s="14">
        <v>1.1182407958429834</v>
      </c>
      <c r="AE421" s="14">
        <v>-0.64070375636088173</v>
      </c>
      <c r="AF421" s="14">
        <v>0.42978314415889263</v>
      </c>
      <c r="AG421" s="14">
        <v>-0.2227420871185708</v>
      </c>
      <c r="AH421" s="14">
        <v>-3.3762791292801131E-2</v>
      </c>
      <c r="AI421" s="14">
        <v>0.3323066370044726</v>
      </c>
      <c r="AJ421" s="14">
        <v>1.5334341977207431</v>
      </c>
      <c r="AK421" s="14">
        <v>-1.2795672824257562</v>
      </c>
      <c r="AM421" s="14">
        <v>-0.56377943405002839</v>
      </c>
      <c r="AN421" s="14">
        <v>-0.85363386678751862</v>
      </c>
      <c r="AO421" s="14">
        <v>-0.75537409549804213</v>
      </c>
      <c r="AP421" s="14">
        <v>-0.53505906018514593</v>
      </c>
      <c r="AQ421" s="14">
        <v>-0.85939997662837631</v>
      </c>
      <c r="AR421" s="14">
        <v>0.13525834822722899</v>
      </c>
      <c r="AS421" s="14">
        <v>0.92953860047997672</v>
      </c>
      <c r="AT421" s="14">
        <v>0.70031564657671741</v>
      </c>
      <c r="AU421" s="14">
        <v>-0.71245761062890456</v>
      </c>
      <c r="AV421" s="14">
        <v>-0.79075056081168227</v>
      </c>
      <c r="AW421" s="14">
        <v>0.44687158577196484</v>
      </c>
      <c r="AX421" s="14">
        <v>-0.7501147712551467</v>
      </c>
      <c r="AY421" s="14">
        <v>0.83043485495660152</v>
      </c>
      <c r="AZ421" s="14">
        <v>-0.91440067452702189</v>
      </c>
      <c r="BA421" s="14">
        <v>-6.8156074572312347E-2</v>
      </c>
      <c r="BB421" s="14">
        <v>-0.1512704395593088</v>
      </c>
      <c r="BC421" s="14">
        <v>0.53034200949959487</v>
      </c>
      <c r="BD421" s="14">
        <v>0.78227264027006482</v>
      </c>
      <c r="BE421" s="14">
        <v>0.85708875069821711</v>
      </c>
      <c r="BF421" s="14">
        <v>0.22284032303015361</v>
      </c>
      <c r="BK421" s="16">
        <v>0.91136663489661629</v>
      </c>
      <c r="BL421" s="16">
        <v>-0.21420383691930162</v>
      </c>
      <c r="BN421" s="17">
        <f t="shared" si="20"/>
        <v>0</v>
      </c>
    </row>
    <row r="422" spans="1:66" x14ac:dyDescent="0.2">
      <c r="A422">
        <v>-0.76211984704934477</v>
      </c>
      <c r="B422">
        <v>1.238405908982282E-2</v>
      </c>
      <c r="C422">
        <v>-0.76793164319764895</v>
      </c>
      <c r="D422">
        <v>-0.73184177874457335</v>
      </c>
      <c r="E422">
        <v>-0.51624498037449229</v>
      </c>
      <c r="F422">
        <v>-0.45289449372522789</v>
      </c>
      <c r="G422">
        <v>-0.92197042454895595</v>
      </c>
      <c r="H422">
        <v>-0.69981534413766888</v>
      </c>
      <c r="I422">
        <v>-0.6701049979915098</v>
      </c>
      <c r="J422">
        <v>-0.75736273251373842</v>
      </c>
      <c r="M422" s="13">
        <v>0</v>
      </c>
      <c r="O422" s="10">
        <f t="shared" si="18"/>
        <v>1</v>
      </c>
      <c r="P422" s="10">
        <f t="shared" si="19"/>
        <v>0</v>
      </c>
      <c r="R422" s="14">
        <v>-0.30036298229640501</v>
      </c>
      <c r="S422" s="14">
        <v>-0.75788751893480455</v>
      </c>
      <c r="T422" s="14">
        <v>-0.72763189148360485</v>
      </c>
      <c r="U422" s="14">
        <v>-1.4340198986598325</v>
      </c>
      <c r="V422" s="14">
        <v>-0.59279431106177183</v>
      </c>
      <c r="W422" s="14">
        <v>0.12622894256010053</v>
      </c>
      <c r="X422" s="14">
        <v>1.0580240827262442</v>
      </c>
      <c r="Y422" s="14">
        <v>9.4908147485922523E-2</v>
      </c>
      <c r="Z422" s="14">
        <v>-0.92425023265683759</v>
      </c>
      <c r="AA422" s="14">
        <v>-0.23077147147227606</v>
      </c>
      <c r="AB422" s="14">
        <v>0.78194500986212956</v>
      </c>
      <c r="AC422" s="14">
        <v>-0.27727980992347467</v>
      </c>
      <c r="AD422" s="14">
        <v>1.0705674208888933</v>
      </c>
      <c r="AE422" s="14">
        <v>-0.53608953146172311</v>
      </c>
      <c r="AF422" s="14">
        <v>-0.2305924871567363</v>
      </c>
      <c r="AG422" s="14">
        <v>-0.53448591508477439</v>
      </c>
      <c r="AH422" s="14">
        <v>-0.37365099521484824</v>
      </c>
      <c r="AI422" s="14">
        <v>-8.271994832342866E-3</v>
      </c>
      <c r="AJ422" s="14">
        <v>1.516103167539963</v>
      </c>
      <c r="AK422" s="14">
        <v>-0.65264233132737837</v>
      </c>
      <c r="AM422" s="14">
        <v>-0.13512471426375966</v>
      </c>
      <c r="AN422" s="14">
        <v>0.85241460392887747</v>
      </c>
      <c r="AO422" s="14">
        <v>0.51478474887522974</v>
      </c>
      <c r="AP422" s="14">
        <v>2.995300233157255E-2</v>
      </c>
      <c r="AQ422" s="14">
        <v>0.55559687369387167</v>
      </c>
      <c r="AR422" s="14">
        <v>-0.1075781733028445</v>
      </c>
      <c r="AS422" s="14">
        <v>-0.9268501270873003</v>
      </c>
      <c r="AT422" s="14">
        <v>-0.76690586918383941</v>
      </c>
      <c r="AU422" s="14">
        <v>0.52992206961320221</v>
      </c>
      <c r="AV422" s="14">
        <v>0.44370252584424941</v>
      </c>
      <c r="AW422" s="14">
        <v>0.58028278379756038</v>
      </c>
      <c r="AX422" s="14">
        <v>0.40409178975983384</v>
      </c>
      <c r="AY422" s="14">
        <v>-0.85203245286997997</v>
      </c>
      <c r="AZ422" s="14">
        <v>0.86846305673700186</v>
      </c>
      <c r="BA422" s="14">
        <v>-4.1102869975860733E-2</v>
      </c>
      <c r="BB422" s="14">
        <v>-0.33815271915769918</v>
      </c>
      <c r="BC422" s="14">
        <v>-0.49974567766476374</v>
      </c>
      <c r="BD422" s="14">
        <v>-0.85702694527951662</v>
      </c>
      <c r="BE422" s="14">
        <v>-0.83160623728184435</v>
      </c>
      <c r="BF422" s="14">
        <v>0.35777569631905509</v>
      </c>
      <c r="BK422" s="16">
        <v>0.69023513723344587</v>
      </c>
      <c r="BL422" s="16">
        <v>-0.32482990915996579</v>
      </c>
      <c r="BN422" s="17">
        <f t="shared" si="20"/>
        <v>0</v>
      </c>
    </row>
    <row r="423" spans="1:66" x14ac:dyDescent="0.2">
      <c r="A423">
        <v>0.1300017781321669</v>
      </c>
      <c r="B423">
        <v>-1.228339145544709</v>
      </c>
      <c r="C423">
        <v>0.22893879166471001</v>
      </c>
      <c r="D423">
        <v>-2.2583749403643549E-2</v>
      </c>
      <c r="E423">
        <v>1.4607797659532451</v>
      </c>
      <c r="F423">
        <v>0.66477654006974329</v>
      </c>
      <c r="G423">
        <v>0.32331253443641522</v>
      </c>
      <c r="H423">
        <v>2.0613318696316679E-3</v>
      </c>
      <c r="I423">
        <v>-0.15875443967527819</v>
      </c>
      <c r="J423">
        <v>-9.6050983050639541E-2</v>
      </c>
      <c r="M423" s="13">
        <v>0</v>
      </c>
      <c r="O423" s="10">
        <f t="shared" si="18"/>
        <v>1</v>
      </c>
      <c r="P423" s="10">
        <f t="shared" si="19"/>
        <v>0</v>
      </c>
      <c r="R423" s="14">
        <v>0.16952073618371477</v>
      </c>
      <c r="S423" s="14">
        <v>1.0336351201265657</v>
      </c>
      <c r="T423" s="14">
        <v>0.42424724021519811</v>
      </c>
      <c r="U423" s="14">
        <v>-0.45325717529104875</v>
      </c>
      <c r="V423" s="14">
        <v>1.4968109568361516</v>
      </c>
      <c r="W423" s="14">
        <v>0.52653563374813328</v>
      </c>
      <c r="X423" s="14">
        <v>-1.4658890474940365</v>
      </c>
      <c r="Y423" s="14">
        <v>-0.92796639370236433</v>
      </c>
      <c r="Z423" s="14">
        <v>1.1105285244124601</v>
      </c>
      <c r="AA423" s="14">
        <v>1.2102945534285356</v>
      </c>
      <c r="AB423" s="14">
        <v>-0.27379893041653247</v>
      </c>
      <c r="AC423" s="14">
        <v>1.04406037357305</v>
      </c>
      <c r="AD423" s="14">
        <v>-0.80669970528478274</v>
      </c>
      <c r="AE423" s="14">
        <v>1.6888135769535908</v>
      </c>
      <c r="AF423" s="14">
        <v>-0.7698036438698308</v>
      </c>
      <c r="AG423" s="14">
        <v>0.11231336759273169</v>
      </c>
      <c r="AH423" s="14">
        <v>-1.2324899668679161</v>
      </c>
      <c r="AI423" s="14">
        <v>-1.5795360691239271</v>
      </c>
      <c r="AJ423" s="14">
        <v>-0.54951313054237394</v>
      </c>
      <c r="AK423" s="14">
        <v>-0.18454513728940658</v>
      </c>
      <c r="AM423" s="14">
        <v>0.30279239447815914</v>
      </c>
      <c r="AN423" s="14">
        <v>0.96513419207192985</v>
      </c>
      <c r="AO423" s="14">
        <v>0.63236822895650724</v>
      </c>
      <c r="AP423" s="14">
        <v>-0.33522297810405854</v>
      </c>
      <c r="AQ423" s="14">
        <v>0.93866855185351505</v>
      </c>
      <c r="AR423" s="14">
        <v>9.7445573540092437E-2</v>
      </c>
      <c r="AS423" s="14">
        <v>-0.97960660432596924</v>
      </c>
      <c r="AT423" s="14">
        <v>-0.89038666049581805</v>
      </c>
      <c r="AU423" s="14">
        <v>0.88560629845701133</v>
      </c>
      <c r="AV423" s="14">
        <v>0.82997013888948301</v>
      </c>
      <c r="AW423" s="14">
        <v>0.2414663327861965</v>
      </c>
      <c r="AX423" s="14">
        <v>0.80859631570618673</v>
      </c>
      <c r="AY423" s="14">
        <v>-0.92842476736308188</v>
      </c>
      <c r="AZ423" s="14">
        <v>0.97434087003744763</v>
      </c>
      <c r="BA423" s="14">
        <v>-0.30612656193129556</v>
      </c>
      <c r="BB423" s="14">
        <v>0.11984926607766191</v>
      </c>
      <c r="BC423" s="14">
        <v>-0.82067134826728205</v>
      </c>
      <c r="BD423" s="14">
        <v>-0.93090906541123364</v>
      </c>
      <c r="BE423" s="14">
        <v>-0.92395563161156424</v>
      </c>
      <c r="BF423" s="14">
        <v>0.65508114749639412</v>
      </c>
      <c r="BK423" s="16">
        <v>0.64940470005900452</v>
      </c>
      <c r="BL423" s="16">
        <v>-0.20929539359196997</v>
      </c>
      <c r="BN423" s="17">
        <f t="shared" si="20"/>
        <v>0</v>
      </c>
    </row>
    <row r="424" spans="1:66" x14ac:dyDescent="0.2">
      <c r="A424">
        <v>-0.75068239031624873</v>
      </c>
      <c r="B424">
        <v>-0.72812662826122188</v>
      </c>
      <c r="C424">
        <v>-0.71563952213492776</v>
      </c>
      <c r="D424">
        <v>-0.73615950213747683</v>
      </c>
      <c r="E424">
        <v>0.21933162669123279</v>
      </c>
      <c r="F424">
        <v>-0.25304028335612161</v>
      </c>
      <c r="G424">
        <v>-0.13753417637036311</v>
      </c>
      <c r="H424">
        <v>-0.78884394905894883</v>
      </c>
      <c r="I424">
        <v>-0.74945555224356109</v>
      </c>
      <c r="J424">
        <v>-0.1005435900442746</v>
      </c>
      <c r="M424" s="13">
        <v>0</v>
      </c>
      <c r="O424" s="10">
        <f t="shared" si="18"/>
        <v>1</v>
      </c>
      <c r="P424" s="10">
        <f t="shared" si="19"/>
        <v>0</v>
      </c>
      <c r="R424" s="14">
        <v>0.53297159932613802</v>
      </c>
      <c r="S424" s="14">
        <v>-1.1185547244068168</v>
      </c>
      <c r="T424" s="14">
        <v>-0.80758358150543852</v>
      </c>
      <c r="U424" s="14">
        <v>-1.1053207249658186</v>
      </c>
      <c r="V424" s="14">
        <v>-0.65807740605719722</v>
      </c>
      <c r="W424" s="14">
        <v>-0.37665968862751903</v>
      </c>
      <c r="X424" s="14">
        <v>1.065347651036157</v>
      </c>
      <c r="Y424" s="14">
        <v>0.99204959861686903</v>
      </c>
      <c r="Z424" s="14">
        <v>-0.27858817147697285</v>
      </c>
      <c r="AA424" s="14">
        <v>-0.28221588777145834</v>
      </c>
      <c r="AB424" s="14">
        <v>0.77593399056714751</v>
      </c>
      <c r="AC424" s="14">
        <v>-0.14841009831122687</v>
      </c>
      <c r="AD424" s="14">
        <v>1.1343956912318998</v>
      </c>
      <c r="AE424" s="14">
        <v>-0.64733152976856578</v>
      </c>
      <c r="AF424" s="14">
        <v>0.16602046145223093</v>
      </c>
      <c r="AG424" s="14">
        <v>-0.60580323078834142</v>
      </c>
      <c r="AH424" s="14">
        <v>5.0487599911194558E-2</v>
      </c>
      <c r="AI424" s="14">
        <v>0.32831671226096171</v>
      </c>
      <c r="AJ424" s="14">
        <v>1.5666569731324733</v>
      </c>
      <c r="AK424" s="14">
        <v>-1.3785236286145179</v>
      </c>
      <c r="AM424" s="14">
        <v>-8.1095749519162513E-2</v>
      </c>
      <c r="AN424" s="14">
        <v>-0.44903018374719905</v>
      </c>
      <c r="AO424" s="14">
        <v>-0.41242249297909528</v>
      </c>
      <c r="AP424" s="14">
        <v>-0.33789890385531041</v>
      </c>
      <c r="AQ424" s="14">
        <v>-0.3484966995344787</v>
      </c>
      <c r="AR424" s="14">
        <v>5.7556844722544548E-2</v>
      </c>
      <c r="AS424" s="14">
        <v>0.56908806815385815</v>
      </c>
      <c r="AT424" s="14">
        <v>0.31231179783496893</v>
      </c>
      <c r="AU424" s="14">
        <v>-0.23698676690719819</v>
      </c>
      <c r="AV424" s="14">
        <v>-0.31671480831016607</v>
      </c>
      <c r="AW424" s="14">
        <v>0.1859787341518773</v>
      </c>
      <c r="AX424" s="14">
        <v>-0.23698690779957748</v>
      </c>
      <c r="AY424" s="14">
        <v>0.49401552080871836</v>
      </c>
      <c r="AZ424" s="14">
        <v>-0.48494634554693694</v>
      </c>
      <c r="BA424" s="14">
        <v>-3.8050297137935979E-2</v>
      </c>
      <c r="BB424" s="14">
        <v>-7.0766563667173266E-2</v>
      </c>
      <c r="BC424" s="14">
        <v>0.14185989581366007</v>
      </c>
      <c r="BD424" s="14">
        <v>0.45653931675267073</v>
      </c>
      <c r="BE424" s="14">
        <v>0.51596853262289544</v>
      </c>
      <c r="BF424" s="14">
        <v>4.635024226239267E-2</v>
      </c>
      <c r="BK424" s="16">
        <v>0.3448233844478602</v>
      </c>
      <c r="BL424" s="16">
        <v>-2.268331763783972E-2</v>
      </c>
      <c r="BN424" s="17">
        <f t="shared" si="20"/>
        <v>0</v>
      </c>
    </row>
    <row r="425" spans="1:66" x14ac:dyDescent="0.2">
      <c r="A425">
        <v>-0.16451273274506281</v>
      </c>
      <c r="B425">
        <v>3.4452258381741339E-2</v>
      </c>
      <c r="C425">
        <v>-0.13461595477135449</v>
      </c>
      <c r="D425">
        <v>-0.25516511616803961</v>
      </c>
      <c r="E425">
        <v>0.1803040654270078</v>
      </c>
      <c r="F425">
        <v>6.4346055691590784E-2</v>
      </c>
      <c r="G425">
        <v>-5.702019195320545E-2</v>
      </c>
      <c r="H425">
        <v>-0.27123578091197209</v>
      </c>
      <c r="I425">
        <v>-0.33658469965085741</v>
      </c>
      <c r="J425">
        <v>0.35171218064833371</v>
      </c>
      <c r="M425" s="13">
        <v>0</v>
      </c>
      <c r="O425" s="10">
        <f t="shared" si="18"/>
        <v>1</v>
      </c>
      <c r="P425" s="10">
        <f t="shared" si="19"/>
        <v>0</v>
      </c>
      <c r="R425" s="14">
        <v>-0.77946028726651295</v>
      </c>
      <c r="S425" s="14">
        <v>-1.1309639436240433</v>
      </c>
      <c r="T425" s="14">
        <v>-0.84409954515996377</v>
      </c>
      <c r="U425" s="14">
        <v>-1.216782989931025</v>
      </c>
      <c r="V425" s="14">
        <v>-0.65606998625539203</v>
      </c>
      <c r="W425" s="14">
        <v>2.7439734484744793E-2</v>
      </c>
      <c r="X425" s="14">
        <v>1.0655219750920091</v>
      </c>
      <c r="Y425" s="14">
        <v>1.1503552568926299</v>
      </c>
      <c r="Z425" s="14">
        <v>-0.45112479444845466</v>
      </c>
      <c r="AA425" s="14">
        <v>-0.29853551617594787</v>
      </c>
      <c r="AB425" s="14">
        <v>0.77209662503612475</v>
      </c>
      <c r="AC425" s="14">
        <v>-0.39890238817608359</v>
      </c>
      <c r="AD425" s="14">
        <v>1.1358601312858925</v>
      </c>
      <c r="AE425" s="14">
        <v>-0.66239880870693746</v>
      </c>
      <c r="AF425" s="14">
        <v>-0.29457392716985287</v>
      </c>
      <c r="AG425" s="14">
        <v>-0.48458574243601082</v>
      </c>
      <c r="AH425" s="14">
        <v>6.5266336765507749E-2</v>
      </c>
      <c r="AI425" s="14">
        <v>0.33559960094857899</v>
      </c>
      <c r="AJ425" s="14">
        <v>1.5656353188232006</v>
      </c>
      <c r="AK425" s="14">
        <v>-0.34320322544305759</v>
      </c>
      <c r="AM425" s="14">
        <v>0.35456896345921729</v>
      </c>
      <c r="AN425" s="14">
        <v>-0.507301701073964</v>
      </c>
      <c r="AO425" s="14">
        <v>-9.6301508521247497E-2</v>
      </c>
      <c r="AP425" s="14">
        <v>0.1414447592446037</v>
      </c>
      <c r="AQ425" s="14">
        <v>-0.13872848665293622</v>
      </c>
      <c r="AR425" s="14">
        <v>-0.20594049792018199</v>
      </c>
      <c r="AS425" s="14">
        <v>0.49497486936058188</v>
      </c>
      <c r="AT425" s="14">
        <v>0.56817487359187469</v>
      </c>
      <c r="AU425" s="14">
        <v>0.16985060447615358</v>
      </c>
      <c r="AV425" s="14">
        <v>-0.17343495316524252</v>
      </c>
      <c r="AW425" s="14">
        <v>-0.46528869380146659</v>
      </c>
      <c r="AX425" s="14">
        <v>0.16595710025303048</v>
      </c>
      <c r="AY425" s="14">
        <v>0.46463646798178937</v>
      </c>
      <c r="AZ425" s="14">
        <v>-0.40226852443306527</v>
      </c>
      <c r="BA425" s="14">
        <v>0.16903984769829705</v>
      </c>
      <c r="BB425" s="14">
        <v>-5.6562452530197219E-2</v>
      </c>
      <c r="BC425" s="14">
        <v>0.28785978305876991</v>
      </c>
      <c r="BD425" s="14">
        <v>0.54885204341926852</v>
      </c>
      <c r="BE425" s="14">
        <v>0.48629310859699548</v>
      </c>
      <c r="BF425" s="14">
        <v>-0.50860767798019513</v>
      </c>
      <c r="BK425" s="16">
        <v>0.53307367357515922</v>
      </c>
      <c r="BL425" s="16">
        <v>-0.20464094699692637</v>
      </c>
      <c r="BN425" s="17">
        <f t="shared" si="20"/>
        <v>0</v>
      </c>
    </row>
    <row r="426" spans="1:66" x14ac:dyDescent="0.2">
      <c r="A426">
        <v>-1.284811619751846</v>
      </c>
      <c r="B426">
        <v>3.2000236238195319E-2</v>
      </c>
      <c r="C426">
        <v>-1.277157298308438</v>
      </c>
      <c r="D426">
        <v>-1.0772596501768441</v>
      </c>
      <c r="E426">
        <v>-0.40269336164858061</v>
      </c>
      <c r="F426">
        <v>-1.022156647776586</v>
      </c>
      <c r="G426">
        <v>-0.78420205121293063</v>
      </c>
      <c r="H426">
        <v>-1.08491582123902</v>
      </c>
      <c r="I426">
        <v>-0.91736699293763357</v>
      </c>
      <c r="J426">
        <v>-1.0681013829068391</v>
      </c>
      <c r="M426" s="13">
        <v>0</v>
      </c>
      <c r="O426" s="10">
        <f t="shared" si="18"/>
        <v>1</v>
      </c>
      <c r="P426" s="10">
        <f t="shared" si="19"/>
        <v>0</v>
      </c>
      <c r="R426" s="14">
        <v>-6.9774419439356861E-2</v>
      </c>
      <c r="S426" s="14">
        <v>1.0255356970900256</v>
      </c>
      <c r="T426" s="14">
        <v>0.38410232046400639</v>
      </c>
      <c r="U426" s="14">
        <v>-0.79512635087189687</v>
      </c>
      <c r="V426" s="14">
        <v>0.87222481889629722</v>
      </c>
      <c r="W426" s="14">
        <v>0.3102421020113682</v>
      </c>
      <c r="X426" s="14">
        <v>-1.4652548219938257</v>
      </c>
      <c r="Y426" s="14">
        <v>-0.97393997306814928</v>
      </c>
      <c r="Z426" s="14">
        <v>0.32618478405332546</v>
      </c>
      <c r="AA426" s="14">
        <v>1.03223369846893</v>
      </c>
      <c r="AB426" s="14">
        <v>1.3637172123751209</v>
      </c>
      <c r="AC426" s="14">
        <v>0.92204370664516355</v>
      </c>
      <c r="AD426" s="14">
        <v>-0.80985484132120933</v>
      </c>
      <c r="AE426" s="14">
        <v>1.6849823702904045</v>
      </c>
      <c r="AF426" s="14">
        <v>0.14662757540919791</v>
      </c>
      <c r="AG426" s="14">
        <v>-0.3281271354781114</v>
      </c>
      <c r="AH426" s="14">
        <v>-1.1445314185776416</v>
      </c>
      <c r="AI426" s="14">
        <v>-1.6018233572174827</v>
      </c>
      <c r="AJ426" s="14">
        <v>-0.54749458175879906</v>
      </c>
      <c r="AK426" s="14">
        <v>-0.12180504276218934</v>
      </c>
      <c r="AM426" s="14">
        <v>0.26566765414584581</v>
      </c>
      <c r="AN426" s="14">
        <v>9.8192732836282673E-2</v>
      </c>
      <c r="AO426" s="14">
        <v>-2.0779546983093955E-3</v>
      </c>
      <c r="AP426" s="14">
        <v>0.14923343799502126</v>
      </c>
      <c r="AQ426" s="14">
        <v>-0.16072138115817353</v>
      </c>
      <c r="AR426" s="14">
        <v>0.22955794302889898</v>
      </c>
      <c r="AS426" s="14">
        <v>5.2138480557570865E-2</v>
      </c>
      <c r="AT426" s="14">
        <v>-0.36980224332123052</v>
      </c>
      <c r="AU426" s="14">
        <v>-0.4301927211624752</v>
      </c>
      <c r="AV426" s="14">
        <v>0.17501086602508456</v>
      </c>
      <c r="AW426" s="14">
        <v>0.2502772422687683</v>
      </c>
      <c r="AX426" s="14">
        <v>-8.3423808472462696E-2</v>
      </c>
      <c r="AY426" s="14">
        <v>1.2606004526437335E-2</v>
      </c>
      <c r="AZ426" s="14">
        <v>4.8136378788152467E-2</v>
      </c>
      <c r="BA426" s="14">
        <v>-3.9833405768548512E-2</v>
      </c>
      <c r="BB426" s="14">
        <v>-1.8609822557207098E-2</v>
      </c>
      <c r="BC426" s="14">
        <v>-3.9084821326843995E-2</v>
      </c>
      <c r="BD426" s="14">
        <v>-3.4787584113134776E-2</v>
      </c>
      <c r="BE426" s="14">
        <v>8.7106964081585195E-3</v>
      </c>
      <c r="BF426" s="14">
        <v>-0.15150052257815902</v>
      </c>
      <c r="BK426" s="16">
        <v>-0.76330591654113655</v>
      </c>
      <c r="BL426" s="16">
        <v>0.29684975014549991</v>
      </c>
      <c r="BN426" s="17">
        <f t="shared" si="20"/>
        <v>1</v>
      </c>
    </row>
    <row r="427" spans="1:66" x14ac:dyDescent="0.2">
      <c r="A427">
        <v>-1.2024619312735529</v>
      </c>
      <c r="B427">
        <v>0.56163701924424059</v>
      </c>
      <c r="C427">
        <v>-1.224865177245716</v>
      </c>
      <c r="D427">
        <v>-1.026598362366778</v>
      </c>
      <c r="E427">
        <v>-1.2243164490254299</v>
      </c>
      <c r="F427">
        <v>-1.1022966983861331</v>
      </c>
      <c r="G427">
        <v>-1.15510313942797</v>
      </c>
      <c r="H427">
        <v>-1.105620147964899</v>
      </c>
      <c r="I427">
        <v>-0.92551459449029938</v>
      </c>
      <c r="J427">
        <v>-1.3691060514803961</v>
      </c>
      <c r="M427" s="13">
        <v>0</v>
      </c>
      <c r="O427" s="10">
        <f t="shared" si="18"/>
        <v>1</v>
      </c>
      <c r="P427" s="10">
        <f t="shared" si="19"/>
        <v>0</v>
      </c>
      <c r="R427" s="14">
        <v>0.41477763218995245</v>
      </c>
      <c r="S427" s="14">
        <v>1.0359301565290409</v>
      </c>
      <c r="T427" s="14">
        <v>0.4461899361307895</v>
      </c>
      <c r="U427" s="14">
        <v>-1.1855801598718876</v>
      </c>
      <c r="V427" s="14">
        <v>1.5047806702862685</v>
      </c>
      <c r="W427" s="14">
        <v>0.50888602931570226</v>
      </c>
      <c r="X427" s="14">
        <v>-1.4659127695009684</v>
      </c>
      <c r="Y427" s="14">
        <v>-1.0831966398058595</v>
      </c>
      <c r="Z427" s="14">
        <v>1.5144362956188357</v>
      </c>
      <c r="AA427" s="14">
        <v>1.215956972582521</v>
      </c>
      <c r="AB427" s="14">
        <v>-0.20714876798199433</v>
      </c>
      <c r="AC427" s="14">
        <v>1.064879797274229</v>
      </c>
      <c r="AD427" s="14">
        <v>-0.81581213168856204</v>
      </c>
      <c r="AE427" s="14">
        <v>1.689409416040069</v>
      </c>
      <c r="AF427" s="14">
        <v>0.19180623004702235</v>
      </c>
      <c r="AG427" s="14">
        <v>0.25073801505612869</v>
      </c>
      <c r="AH427" s="14">
        <v>-1.4058899597761627</v>
      </c>
      <c r="AI427" s="14">
        <v>-1.6036118020455432</v>
      </c>
      <c r="AJ427" s="14">
        <v>-0.55688097604783793</v>
      </c>
      <c r="AK427" s="14">
        <v>0.20575358400192267</v>
      </c>
      <c r="AM427" s="14">
        <v>5.6536056889292044E-2</v>
      </c>
      <c r="AN427" s="14">
        <v>-0.39043897196102939</v>
      </c>
      <c r="AO427" s="14">
        <v>-0.22951273575296996</v>
      </c>
      <c r="AP427" s="14">
        <v>-0.3156577400806021</v>
      </c>
      <c r="AQ427" s="14">
        <v>-0.31951354395523002</v>
      </c>
      <c r="AR427" s="14">
        <v>0.13764884879930073</v>
      </c>
      <c r="AS427" s="14">
        <v>0.52110701853531294</v>
      </c>
      <c r="AT427" s="14">
        <v>0.25633383866655579</v>
      </c>
      <c r="AU427" s="14">
        <v>-0.26655684042523037</v>
      </c>
      <c r="AV427" s="14">
        <v>-0.28340250924310556</v>
      </c>
      <c r="AW427" s="14">
        <v>6.4780184418207307E-2</v>
      </c>
      <c r="AX427" s="14">
        <v>-6.9409857942339073E-2</v>
      </c>
      <c r="AY427" s="14">
        <v>0.41664761939572231</v>
      </c>
      <c r="AZ427" s="14">
        <v>-0.42648541040401533</v>
      </c>
      <c r="BA427" s="14">
        <v>-0.10732440869692615</v>
      </c>
      <c r="BB427" s="14">
        <v>-0.16399096598558269</v>
      </c>
      <c r="BC427" s="14">
        <v>0.14355120490276846</v>
      </c>
      <c r="BD427" s="14">
        <v>0.41015954282279177</v>
      </c>
      <c r="BE427" s="14">
        <v>0.49552773400627365</v>
      </c>
      <c r="BF427" s="14">
        <v>-0.1218653773088174</v>
      </c>
      <c r="BK427" s="16">
        <v>0.6391061097202636</v>
      </c>
      <c r="BL427" s="16">
        <v>2.1115295207062082E-3</v>
      </c>
      <c r="BN427" s="17">
        <f t="shared" si="20"/>
        <v>0</v>
      </c>
    </row>
    <row r="428" spans="1:66" x14ac:dyDescent="0.2">
      <c r="A428">
        <v>-1.0737905430262189</v>
      </c>
      <c r="B428">
        <v>-0.98313693119005829</v>
      </c>
      <c r="C428">
        <v>-1.0464079386983329</v>
      </c>
      <c r="D428">
        <v>-0.95089427887787181</v>
      </c>
      <c r="E428">
        <v>-6.8728944544713066E-2</v>
      </c>
      <c r="F428">
        <v>-0.3475123108382922</v>
      </c>
      <c r="G428">
        <v>-0.72004646362973523</v>
      </c>
      <c r="H428">
        <v>-0.89443601536093209</v>
      </c>
      <c r="I428">
        <v>-0.81197953807162815</v>
      </c>
      <c r="J428">
        <v>-0.36111479567511529</v>
      </c>
      <c r="M428" s="13">
        <v>0</v>
      </c>
      <c r="O428" s="10">
        <f t="shared" si="18"/>
        <v>1</v>
      </c>
      <c r="P428" s="10">
        <f t="shared" si="19"/>
        <v>0</v>
      </c>
      <c r="R428" s="14">
        <v>-0.2255947712065515</v>
      </c>
      <c r="S428" s="14">
        <v>-0.99032311853686228</v>
      </c>
      <c r="T428" s="14">
        <v>-0.74791869754915852</v>
      </c>
      <c r="U428" s="14">
        <v>-1.0477150602454484</v>
      </c>
      <c r="V428" s="14">
        <v>-0.36747171142843027</v>
      </c>
      <c r="W428" s="14">
        <v>0.24182725447761477</v>
      </c>
      <c r="X428" s="14">
        <v>1.0571505535220032</v>
      </c>
      <c r="Y428" s="14">
        <v>0.72063918722810261</v>
      </c>
      <c r="Z428" s="14">
        <v>-0.22260321441582764</v>
      </c>
      <c r="AA428" s="14">
        <v>-0.1305365033737047</v>
      </c>
      <c r="AB428" s="14">
        <v>0.66351521210599063</v>
      </c>
      <c r="AC428" s="14">
        <v>-0.23100911745341279</v>
      </c>
      <c r="AD428" s="14">
        <v>1.0599212267871327</v>
      </c>
      <c r="AE428" s="14">
        <v>-0.62195771805237432</v>
      </c>
      <c r="AF428" s="14">
        <v>-5.5021585198215428E-2</v>
      </c>
      <c r="AG428" s="14">
        <v>-0.23092767102879641</v>
      </c>
      <c r="AH428" s="14">
        <v>-0.41239299328620332</v>
      </c>
      <c r="AI428" s="14">
        <v>0.24065934587146487</v>
      </c>
      <c r="AJ428" s="14">
        <v>1.5172296288672706</v>
      </c>
      <c r="AK428" s="14">
        <v>-0.56594738171620995</v>
      </c>
      <c r="AM428" s="14">
        <v>-1.8052054931994313E-2</v>
      </c>
      <c r="AN428" s="14">
        <v>-0.73994068615626429</v>
      </c>
      <c r="AO428" s="14">
        <v>-0.30404188302383528</v>
      </c>
      <c r="AP428" s="14">
        <v>-0.1789859859989707</v>
      </c>
      <c r="AQ428" s="14">
        <v>-0.70974120299081866</v>
      </c>
      <c r="AR428" s="14">
        <v>-0.3143303503102815</v>
      </c>
      <c r="AS428" s="14">
        <v>0.78471483725098379</v>
      </c>
      <c r="AT428" s="14">
        <v>0.71515913341887427</v>
      </c>
      <c r="AU428" s="14">
        <v>-0.33016469719805897</v>
      </c>
      <c r="AV428" s="14">
        <v>-0.6455563650077345</v>
      </c>
      <c r="AW428" s="14">
        <v>-3.1182444824034754E-2</v>
      </c>
      <c r="AX428" s="14">
        <v>-0.26818989716454872</v>
      </c>
      <c r="AY428" s="14">
        <v>0.65041741975583012</v>
      </c>
      <c r="AZ428" s="14">
        <v>-0.74792848919929122</v>
      </c>
      <c r="BA428" s="14">
        <v>0.22745611313272751</v>
      </c>
      <c r="BB428" s="14">
        <v>-0.35140530669559678</v>
      </c>
      <c r="BC428" s="14">
        <v>0.52796391026555456</v>
      </c>
      <c r="BD428" s="14">
        <v>0.6409075242764869</v>
      </c>
      <c r="BE428" s="14">
        <v>0.71422274211713255</v>
      </c>
      <c r="BF428" s="14">
        <v>-0.47930335177428457</v>
      </c>
      <c r="BK428" s="16">
        <v>0.77814166135578411</v>
      </c>
      <c r="BL428" s="16">
        <v>-8.4847062099142931E-2</v>
      </c>
      <c r="BN428" s="17">
        <f t="shared" si="20"/>
        <v>0</v>
      </c>
    </row>
    <row r="429" spans="1:66" x14ac:dyDescent="0.2">
      <c r="A429">
        <v>-0.98229088916144847</v>
      </c>
      <c r="B429">
        <v>0.73327856929249591</v>
      </c>
      <c r="C429">
        <v>-0.99245575030028677</v>
      </c>
      <c r="D429">
        <v>-0.87519019538896592</v>
      </c>
      <c r="E429">
        <v>-0.88403328390735469</v>
      </c>
      <c r="F429">
        <v>-0.68485927511517719</v>
      </c>
      <c r="G429">
        <v>-0.92810482336169187</v>
      </c>
      <c r="H429">
        <v>-0.7639987569878941</v>
      </c>
      <c r="I429">
        <v>-0.72501274758556311</v>
      </c>
      <c r="J429">
        <v>-0.63441505445458901</v>
      </c>
      <c r="M429" s="13">
        <v>0</v>
      </c>
      <c r="O429" s="10">
        <f t="shared" si="18"/>
        <v>1</v>
      </c>
      <c r="P429" s="10">
        <f t="shared" si="19"/>
        <v>0</v>
      </c>
      <c r="R429" s="14">
        <v>0.49972171139529376</v>
      </c>
      <c r="S429" s="14">
        <v>-1.0922248811087378</v>
      </c>
      <c r="T429" s="14">
        <v>-0.30578836134048726</v>
      </c>
      <c r="U429" s="14">
        <v>-0.37185154221317068</v>
      </c>
      <c r="V429" s="14">
        <v>-3.2914402185034553E-2</v>
      </c>
      <c r="W429" s="14">
        <v>-8.4206534615228035E-2</v>
      </c>
      <c r="X429" s="14">
        <v>1.0356783745192042</v>
      </c>
      <c r="Y429" s="14">
        <v>1.2017078612353504</v>
      </c>
      <c r="Z429" s="14">
        <v>0.31742082424674922</v>
      </c>
      <c r="AA429" s="14">
        <v>6.8179541418208034E-2</v>
      </c>
      <c r="AB429" s="14">
        <v>-0.91466092208559568</v>
      </c>
      <c r="AC429" s="14">
        <v>0.53319929437139835</v>
      </c>
      <c r="AD429" s="14">
        <v>1.0668505578106509</v>
      </c>
      <c r="AE429" s="14">
        <v>-0.59520690492896211</v>
      </c>
      <c r="AF429" s="14">
        <v>0.29060328386512713</v>
      </c>
      <c r="AG429" s="14">
        <v>-0.23430069508092899</v>
      </c>
      <c r="AH429" s="14">
        <v>-0.17205902208026169</v>
      </c>
      <c r="AI429" s="14">
        <v>0.32240253911755501</v>
      </c>
      <c r="AJ429" s="14">
        <v>1.5356090214766156</v>
      </c>
      <c r="AK429" s="14">
        <v>-1.297182780270834</v>
      </c>
      <c r="AM429" s="14">
        <v>-0.17209240695677777</v>
      </c>
      <c r="AN429" s="14">
        <v>-0.64119393772495403</v>
      </c>
      <c r="AO429" s="14">
        <v>-0.3257577303245352</v>
      </c>
      <c r="AP429" s="14">
        <v>-0.12119663149713727</v>
      </c>
      <c r="AQ429" s="14">
        <v>-0.50379018544392518</v>
      </c>
      <c r="AR429" s="14">
        <v>-0.10588062830004812</v>
      </c>
      <c r="AS429" s="14">
        <v>0.67989894744149038</v>
      </c>
      <c r="AT429" s="14">
        <v>0.60937481888856004</v>
      </c>
      <c r="AU429" s="14">
        <v>-0.21519234893492889</v>
      </c>
      <c r="AV429" s="14">
        <v>-0.49906419838111865</v>
      </c>
      <c r="AW429" s="14">
        <v>-0.11718187595801917</v>
      </c>
      <c r="AX429" s="14">
        <v>-0.2751736353140054</v>
      </c>
      <c r="AY429" s="14">
        <v>0.55857448496264206</v>
      </c>
      <c r="AZ429" s="14">
        <v>-0.66030523074983827</v>
      </c>
      <c r="BA429" s="14">
        <v>7.8837533935529905E-2</v>
      </c>
      <c r="BB429" s="14">
        <v>-0.13748990136030856</v>
      </c>
      <c r="BC429" s="14">
        <v>0.37817213100345448</v>
      </c>
      <c r="BD429" s="14">
        <v>0.57423247180077253</v>
      </c>
      <c r="BE429" s="14">
        <v>0.59730570665204086</v>
      </c>
      <c r="BF429" s="14">
        <v>-0.19976245920295255</v>
      </c>
      <c r="BK429" s="16">
        <v>0.66925265996424721</v>
      </c>
      <c r="BL429" s="16">
        <v>-0.28489463786271768</v>
      </c>
      <c r="BN429" s="17">
        <f t="shared" si="20"/>
        <v>0</v>
      </c>
    </row>
    <row r="430" spans="1:66" x14ac:dyDescent="0.2">
      <c r="A430">
        <v>-0.88793187111340399</v>
      </c>
      <c r="B430">
        <v>-0.58100529964843117</v>
      </c>
      <c r="C430">
        <v>-0.92273292221665826</v>
      </c>
      <c r="D430">
        <v>-0.81416637143593118</v>
      </c>
      <c r="E430">
        <v>-1.2388124003521419</v>
      </c>
      <c r="F430">
        <v>-0.96319221697537805</v>
      </c>
      <c r="G430">
        <v>-0.93679522167973406</v>
      </c>
      <c r="H430">
        <v>-0.98760548562738815</v>
      </c>
      <c r="I430">
        <v>-0.84616404023824832</v>
      </c>
      <c r="J430">
        <v>-1.149717076624545</v>
      </c>
      <c r="M430" s="13">
        <v>0</v>
      </c>
      <c r="O430" s="10">
        <f t="shared" si="18"/>
        <v>1</v>
      </c>
      <c r="P430" s="10">
        <f t="shared" si="19"/>
        <v>0</v>
      </c>
      <c r="R430" s="14">
        <v>0.52406343276641298</v>
      </c>
      <c r="S430" s="14">
        <v>0.12461605384176977</v>
      </c>
      <c r="T430" s="14">
        <v>2.8286962628348136E-2</v>
      </c>
      <c r="U430" s="14">
        <v>-0.41646893935271367</v>
      </c>
      <c r="V430" s="14">
        <v>-0.17753405493824731</v>
      </c>
      <c r="W430" s="14">
        <v>0.77144623537059209</v>
      </c>
      <c r="X430" s="14">
        <v>0.57209407357007469</v>
      </c>
      <c r="Y430" s="14">
        <v>-0.3286083089960129</v>
      </c>
      <c r="Z430" s="14">
        <v>-0.92133961841677392</v>
      </c>
      <c r="AA430" s="14">
        <v>1.1300090955047093</v>
      </c>
      <c r="AB430" s="14">
        <v>0.4587593415574529</v>
      </c>
      <c r="AC430" s="14">
        <v>0.1736866926011621</v>
      </c>
      <c r="AD430" s="14">
        <v>0.35138656046634581</v>
      </c>
      <c r="AE430" s="14">
        <v>0.20735394322664036</v>
      </c>
      <c r="AF430" s="14">
        <v>0.4289920433564065</v>
      </c>
      <c r="AG430" s="14">
        <v>0.19626144796157985</v>
      </c>
      <c r="AH430" s="14">
        <v>-0.67354971728479707</v>
      </c>
      <c r="AI430" s="14">
        <v>-0.6498000568160347</v>
      </c>
      <c r="AJ430" s="14">
        <v>0.85821432778953533</v>
      </c>
      <c r="AK430" s="14">
        <v>-0.84446197270710677</v>
      </c>
      <c r="AM430" s="14">
        <v>-0.21721935976455325</v>
      </c>
      <c r="AN430" s="14">
        <v>0.88672939010923713</v>
      </c>
      <c r="AO430" s="14">
        <v>0.46723018467533106</v>
      </c>
      <c r="AP430" s="14">
        <v>-0.80587788852778364</v>
      </c>
      <c r="AQ430" s="14">
        <v>0.80758915104952855</v>
      </c>
      <c r="AR430" s="14">
        <v>0.33439894595801972</v>
      </c>
      <c r="AS430" s="14">
        <v>-0.89371602362988201</v>
      </c>
      <c r="AT430" s="14">
        <v>-0.91604901025390817</v>
      </c>
      <c r="AU430" s="14">
        <v>0.15823266497080898</v>
      </c>
      <c r="AV430" s="14">
        <v>0.60393928145699449</v>
      </c>
      <c r="AW430" s="14">
        <v>0.66854029710798346</v>
      </c>
      <c r="AX430" s="14">
        <v>0.4238108649095087</v>
      </c>
      <c r="AY430" s="14">
        <v>-0.79757055319825998</v>
      </c>
      <c r="AZ430" s="14">
        <v>0.88582494744591378</v>
      </c>
      <c r="BA430" s="14">
        <v>-0.50363979520701863</v>
      </c>
      <c r="BB430" s="14">
        <v>9.9116105959162037E-2</v>
      </c>
      <c r="BC430" s="14">
        <v>-0.78202652294023611</v>
      </c>
      <c r="BD430" s="14">
        <v>-0.86132795266702389</v>
      </c>
      <c r="BE430" s="14">
        <v>-0.83614756091613174</v>
      </c>
      <c r="BF430" s="14">
        <v>0.80481632680264248</v>
      </c>
      <c r="BK430" s="16">
        <v>0.49235722116032166</v>
      </c>
      <c r="BL430" s="16">
        <v>-0.5540627844725714</v>
      </c>
      <c r="BN430" s="17">
        <f t="shared" si="20"/>
        <v>0</v>
      </c>
    </row>
    <row r="431" spans="1:66" x14ac:dyDescent="0.2">
      <c r="A431">
        <v>-0.43329296597282579</v>
      </c>
      <c r="B431">
        <v>-0.32354297457604791</v>
      </c>
      <c r="C431">
        <v>-0.48655022986014701</v>
      </c>
      <c r="D431">
        <v>-0.46817280355127322</v>
      </c>
      <c r="E431">
        <v>-1.1109506758293479</v>
      </c>
      <c r="F431">
        <v>-0.95910090869859099</v>
      </c>
      <c r="G431">
        <v>-0.81794124468297758</v>
      </c>
      <c r="H431">
        <v>-0.54453289369357594</v>
      </c>
      <c r="I431">
        <v>-0.55267326256938953</v>
      </c>
      <c r="J431">
        <v>-1.214410617332891</v>
      </c>
      <c r="M431" s="13">
        <v>0</v>
      </c>
      <c r="O431" s="10">
        <f t="shared" si="18"/>
        <v>1</v>
      </c>
      <c r="P431" s="10">
        <f t="shared" si="19"/>
        <v>0</v>
      </c>
      <c r="R431" s="14">
        <v>-3.0186894305490042E-2</v>
      </c>
      <c r="S431" s="14">
        <v>-0.83939401032144778</v>
      </c>
      <c r="T431" s="14">
        <v>-0.57520024688687033</v>
      </c>
      <c r="U431" s="14">
        <v>-1.089745540130743</v>
      </c>
      <c r="V431" s="14">
        <v>-0.29199233387533619</v>
      </c>
      <c r="W431" s="14">
        <v>0.35500601717425101</v>
      </c>
      <c r="X431" s="14">
        <v>1.0213494138358556</v>
      </c>
      <c r="Y431" s="14">
        <v>0.60212505014967577</v>
      </c>
      <c r="Z431" s="14">
        <v>-0.29681676497192711</v>
      </c>
      <c r="AA431" s="14">
        <v>-5.8241583957433174E-2</v>
      </c>
      <c r="AB431" s="14">
        <v>0.58500054232613252</v>
      </c>
      <c r="AC431" s="14">
        <v>5.3678128253191848E-2</v>
      </c>
      <c r="AD431" s="14">
        <v>0.98114407648856039</v>
      </c>
      <c r="AE431" s="14">
        <v>-0.52714681847710243</v>
      </c>
      <c r="AF431" s="14">
        <v>-0.11147985236832803</v>
      </c>
      <c r="AG431" s="14">
        <v>-0.38157777148579597</v>
      </c>
      <c r="AH431" s="14">
        <v>-0.44338691704096855</v>
      </c>
      <c r="AI431" s="14">
        <v>0.18411568682293755</v>
      </c>
      <c r="AJ431" s="14">
        <v>1.5091101627932213</v>
      </c>
      <c r="AK431" s="14">
        <v>-0.77228401277574554</v>
      </c>
      <c r="AM431" s="14">
        <v>0.57754419817162084</v>
      </c>
      <c r="AN431" s="14">
        <v>-0.69550818813614057</v>
      </c>
      <c r="AO431" s="14">
        <v>-0.25185223461891593</v>
      </c>
      <c r="AP431" s="14">
        <v>-0.34358058038452072</v>
      </c>
      <c r="AQ431" s="14">
        <v>-0.65700902114065096</v>
      </c>
      <c r="AR431" s="14">
        <v>-0.70682506814976631</v>
      </c>
      <c r="AS431" s="14">
        <v>0.72174010988958537</v>
      </c>
      <c r="AT431" s="14">
        <v>0.75295774310737607</v>
      </c>
      <c r="AU431" s="14">
        <v>0.12144132377270299</v>
      </c>
      <c r="AV431" s="14">
        <v>-0.58862440459552046</v>
      </c>
      <c r="AW431" s="14">
        <v>0.10819519547777229</v>
      </c>
      <c r="AX431" s="14">
        <v>0.19215707113089853</v>
      </c>
      <c r="AY431" s="14">
        <v>0.67463025694807022</v>
      </c>
      <c r="AZ431" s="14">
        <v>-0.56835270631217838</v>
      </c>
      <c r="BA431" s="14">
        <v>0.5176791309126858</v>
      </c>
      <c r="BB431" s="14">
        <v>-0.55147013724519123</v>
      </c>
      <c r="BC431" s="14">
        <v>0.5137066227175161</v>
      </c>
      <c r="BD431" s="14">
        <v>0.63492588336461098</v>
      </c>
      <c r="BE431" s="14">
        <v>0.73715276359516479</v>
      </c>
      <c r="BF431" s="14">
        <v>-0.76317745181511765</v>
      </c>
      <c r="BK431" s="16">
        <v>3.9889697733316021E-2</v>
      </c>
      <c r="BL431" s="16">
        <v>0.15239087474150609</v>
      </c>
      <c r="BN431" s="17">
        <f t="shared" si="20"/>
        <v>1</v>
      </c>
    </row>
    <row r="432" spans="1:66" x14ac:dyDescent="0.2">
      <c r="A432">
        <v>0.1900484259809227</v>
      </c>
      <c r="B432">
        <v>0.86813978718755391</v>
      </c>
      <c r="C432">
        <v>0.38996532319118582</v>
      </c>
      <c r="D432">
        <v>6.0604387966294977E-2</v>
      </c>
      <c r="E432">
        <v>2.1837188769905538</v>
      </c>
      <c r="F432">
        <v>2.25542760646902</v>
      </c>
      <c r="G432">
        <v>1.195163965696493</v>
      </c>
      <c r="H432">
        <v>-2.071342752883519E-2</v>
      </c>
      <c r="I432">
        <v>-0.1171308230475282</v>
      </c>
      <c r="J432">
        <v>1.951080270382459</v>
      </c>
      <c r="M432" s="13">
        <v>1</v>
      </c>
      <c r="O432" s="10">
        <f t="shared" si="18"/>
        <v>0</v>
      </c>
      <c r="P432" s="10">
        <f t="shared" si="19"/>
        <v>1</v>
      </c>
      <c r="R432" s="14">
        <v>-0.241843143410198</v>
      </c>
      <c r="S432" s="14">
        <v>-1.1295204833198176</v>
      </c>
      <c r="T432" s="14">
        <v>-0.70118267265971901</v>
      </c>
      <c r="U432" s="14">
        <v>-0.89344426017024414</v>
      </c>
      <c r="V432" s="14">
        <v>-0.64043043299650404</v>
      </c>
      <c r="W432" s="14">
        <v>-0.28393453557938703</v>
      </c>
      <c r="X432" s="14">
        <v>1.0651512324579482</v>
      </c>
      <c r="Y432" s="14">
        <v>1.2521467958105532</v>
      </c>
      <c r="Z432" s="14">
        <v>-0.15595595506307697</v>
      </c>
      <c r="AA432" s="14">
        <v>-0.29078812820703115</v>
      </c>
      <c r="AB432" s="14">
        <v>0.55126177283390887</v>
      </c>
      <c r="AC432" s="14">
        <v>-0.20502349132146547</v>
      </c>
      <c r="AD432" s="14">
        <v>1.1275199518941388</v>
      </c>
      <c r="AE432" s="14">
        <v>-0.65986199970772552</v>
      </c>
      <c r="AF432" s="14">
        <v>5.6765112300291576E-2</v>
      </c>
      <c r="AG432" s="14">
        <v>-0.57023954217712691</v>
      </c>
      <c r="AH432" s="14">
        <v>7.7862197985030024E-2</v>
      </c>
      <c r="AI432" s="14">
        <v>0.33066009149776976</v>
      </c>
      <c r="AJ432" s="14">
        <v>1.5632476137309927</v>
      </c>
      <c r="AK432" s="14">
        <v>-1.2510149461531777</v>
      </c>
      <c r="AM432" s="14">
        <v>-7.8510777853641162E-2</v>
      </c>
      <c r="AN432" s="14">
        <v>-0.61756198739588031</v>
      </c>
      <c r="AO432" s="14">
        <v>-0.20456146820410184</v>
      </c>
      <c r="AP432" s="14">
        <v>1.5117631193932489E-2</v>
      </c>
      <c r="AQ432" s="14">
        <v>-0.31806223226284092</v>
      </c>
      <c r="AR432" s="14">
        <v>-7.7572753454166879E-2</v>
      </c>
      <c r="AS432" s="14">
        <v>0.66364695490045589</v>
      </c>
      <c r="AT432" s="14">
        <v>0.533936133942288</v>
      </c>
      <c r="AU432" s="14">
        <v>-0.29701168326591976</v>
      </c>
      <c r="AV432" s="14">
        <v>-0.31766450079512243</v>
      </c>
      <c r="AW432" s="14">
        <v>-0.30482511679251684</v>
      </c>
      <c r="AX432" s="14">
        <v>-0.2263292273792723</v>
      </c>
      <c r="AY432" s="14">
        <v>0.55053350363078601</v>
      </c>
      <c r="AZ432" s="14">
        <v>-0.61013920750199213</v>
      </c>
      <c r="BA432" s="14">
        <v>9.9381333043165376E-2</v>
      </c>
      <c r="BB432" s="14">
        <v>0.12294920399252875</v>
      </c>
      <c r="BC432" s="14">
        <v>0.33658985127507096</v>
      </c>
      <c r="BD432" s="14">
        <v>0.56544617011750908</v>
      </c>
      <c r="BE432" s="14">
        <v>0.49535281917267554</v>
      </c>
      <c r="BF432" s="14">
        <v>-0.21386982681367336</v>
      </c>
      <c r="BK432" s="16">
        <v>-0.48127312322627558</v>
      </c>
      <c r="BL432" s="16">
        <v>0.52352280942037333</v>
      </c>
      <c r="BN432" s="17">
        <f t="shared" si="20"/>
        <v>1</v>
      </c>
    </row>
    <row r="433" spans="1:66" x14ac:dyDescent="0.2">
      <c r="A433">
        <v>-0.5247926198375964</v>
      </c>
      <c r="B433">
        <v>-0.32109095243250191</v>
      </c>
      <c r="C433">
        <v>-0.46621440500242223</v>
      </c>
      <c r="D433">
        <v>-0.56460195932611545</v>
      </c>
      <c r="E433">
        <v>0.49438301083910358</v>
      </c>
      <c r="F433">
        <v>-0.1731977824394314</v>
      </c>
      <c r="G433">
        <v>-0.57154289237142231</v>
      </c>
      <c r="H433">
        <v>-0.73915356491683903</v>
      </c>
      <c r="I433">
        <v>-0.67842972131705992</v>
      </c>
      <c r="J433">
        <v>-0.65163671459685724</v>
      </c>
      <c r="M433" s="13">
        <v>0</v>
      </c>
      <c r="O433" s="10">
        <f t="shared" si="18"/>
        <v>1</v>
      </c>
      <c r="P433" s="10">
        <f t="shared" si="19"/>
        <v>0</v>
      </c>
      <c r="R433" s="14">
        <v>-0.40021164126064446</v>
      </c>
      <c r="S433" s="14">
        <v>-1.1196950137989659</v>
      </c>
      <c r="T433" s="14">
        <v>-0.69412850491301226</v>
      </c>
      <c r="U433" s="14">
        <v>-0.77290165929216759</v>
      </c>
      <c r="V433" s="14">
        <v>-0.53469532906497219</v>
      </c>
      <c r="W433" s="14">
        <v>-1.204531498309358E-2</v>
      </c>
      <c r="X433" s="14">
        <v>1.063819037885015</v>
      </c>
      <c r="Y433" s="14">
        <v>1.1819424302350956</v>
      </c>
      <c r="Z433" s="14">
        <v>-9.9198021992037783E-2</v>
      </c>
      <c r="AA433" s="14">
        <v>-0.25873450714933721</v>
      </c>
      <c r="AB433" s="14">
        <v>0.28259134051231261</v>
      </c>
      <c r="AC433" s="14">
        <v>-0.24117728272147998</v>
      </c>
      <c r="AD433" s="14">
        <v>1.1039064479874079</v>
      </c>
      <c r="AE433" s="14">
        <v>-0.65775220779024912</v>
      </c>
      <c r="AF433" s="14">
        <v>8.7646725169977513E-3</v>
      </c>
      <c r="AG433" s="14">
        <v>-0.37541657657776129</v>
      </c>
      <c r="AH433" s="14">
        <v>-7.9788378207406918E-2</v>
      </c>
      <c r="AI433" s="14">
        <v>0.31787567807790706</v>
      </c>
      <c r="AJ433" s="14">
        <v>1.5478327549547961</v>
      </c>
      <c r="AK433" s="14">
        <v>-0.90799093953911358</v>
      </c>
      <c r="AM433" s="14">
        <v>0.3755180706173164</v>
      </c>
      <c r="AN433" s="14">
        <v>-0.48661037384549649</v>
      </c>
      <c r="AO433" s="14">
        <v>-0.25005423124182574</v>
      </c>
      <c r="AP433" s="14">
        <v>-9.5056244192268861E-4</v>
      </c>
      <c r="AQ433" s="14">
        <v>-0.3548621578596628</v>
      </c>
      <c r="AR433" s="14">
        <v>-0.24677337597507659</v>
      </c>
      <c r="AS433" s="14">
        <v>0.62840815375136805</v>
      </c>
      <c r="AT433" s="14">
        <v>0.41960685275446719</v>
      </c>
      <c r="AU433" s="14">
        <v>-0.27517952205304258</v>
      </c>
      <c r="AV433" s="14">
        <v>-0.14897321168243874</v>
      </c>
      <c r="AW433" s="14">
        <v>-0.11433277017332076</v>
      </c>
      <c r="AX433" s="14">
        <v>-0.10069356487618318</v>
      </c>
      <c r="AY433" s="14">
        <v>0.55950731603566928</v>
      </c>
      <c r="AZ433" s="14">
        <v>-0.43260451415726259</v>
      </c>
      <c r="BA433" s="14">
        <v>0.28061867637471483</v>
      </c>
      <c r="BB433" s="14">
        <v>4.0255631549767648E-2</v>
      </c>
      <c r="BC433" s="14">
        <v>0.25706896152055003</v>
      </c>
      <c r="BD433" s="14">
        <v>0.50028335506061206</v>
      </c>
      <c r="BE433" s="14">
        <v>0.5146467585269926</v>
      </c>
      <c r="BF433" s="14">
        <v>-0.44084283257200413</v>
      </c>
      <c r="BK433" s="16">
        <v>0.70335009548837746</v>
      </c>
      <c r="BL433" s="16">
        <v>-0.18798046095081897</v>
      </c>
      <c r="BN433" s="17">
        <f t="shared" si="20"/>
        <v>0</v>
      </c>
    </row>
    <row r="434" spans="1:66" x14ac:dyDescent="0.2">
      <c r="A434">
        <v>1.699792714749635</v>
      </c>
      <c r="B434">
        <v>0.1349851662671481</v>
      </c>
      <c r="C434">
        <v>1.705568686435849</v>
      </c>
      <c r="D434">
        <v>1.6869468659599041</v>
      </c>
      <c r="E434">
        <v>0.81589577744438524</v>
      </c>
      <c r="F434">
        <v>1.5115533743259451</v>
      </c>
      <c r="G434">
        <v>1.9310362232742611</v>
      </c>
      <c r="H434">
        <v>1.155292330501096</v>
      </c>
      <c r="I434">
        <v>1.02760719510204</v>
      </c>
      <c r="J434">
        <v>1.498824499689851</v>
      </c>
      <c r="M434" s="13">
        <v>1</v>
      </c>
      <c r="O434" s="10">
        <f t="shared" si="18"/>
        <v>0</v>
      </c>
      <c r="P434" s="10">
        <f t="shared" si="19"/>
        <v>1</v>
      </c>
      <c r="R434" s="14">
        <v>-0.29630607786282848</v>
      </c>
      <c r="S434" s="14">
        <v>1.0359295522403165</v>
      </c>
      <c r="T434" s="14">
        <v>0.2979612535078151</v>
      </c>
      <c r="U434" s="14">
        <v>-1.4950226347810309</v>
      </c>
      <c r="V434" s="14">
        <v>1.493299491583385</v>
      </c>
      <c r="W434" s="14">
        <v>0.55023206576112038</v>
      </c>
      <c r="X434" s="14">
        <v>-1.4659114246541594</v>
      </c>
      <c r="Y434" s="14">
        <v>-1.120200555096853</v>
      </c>
      <c r="Z434" s="14">
        <v>0.15863599007658569</v>
      </c>
      <c r="AA434" s="14">
        <v>1.2098841753172591</v>
      </c>
      <c r="AB434" s="14">
        <v>1.7018424659790168</v>
      </c>
      <c r="AC434" s="14">
        <v>0.96920484561896192</v>
      </c>
      <c r="AD434" s="14">
        <v>-0.81423340714152248</v>
      </c>
      <c r="AE434" s="14">
        <v>1.6894076752008722</v>
      </c>
      <c r="AF434" s="14">
        <v>-1.078358244529213</v>
      </c>
      <c r="AG434" s="14">
        <v>-7.2904100573424335E-3</v>
      </c>
      <c r="AH434" s="14">
        <v>-1.4139856593965683</v>
      </c>
      <c r="AI434" s="14">
        <v>-1.6035981235549999</v>
      </c>
      <c r="AJ434" s="14">
        <v>-0.55665812513363999</v>
      </c>
      <c r="AK434" s="14">
        <v>0.35632292134595589</v>
      </c>
      <c r="AM434" s="14">
        <v>0.26187575236314131</v>
      </c>
      <c r="AN434" s="14">
        <v>-0.70868050236340863</v>
      </c>
      <c r="AO434" s="14">
        <v>-0.32520635280822474</v>
      </c>
      <c r="AP434" s="14">
        <v>-0.25394144075280767</v>
      </c>
      <c r="AQ434" s="14">
        <v>-0.50852914118396275</v>
      </c>
      <c r="AR434" s="14">
        <v>-0.27684571744331044</v>
      </c>
      <c r="AS434" s="14">
        <v>0.76039104904863275</v>
      </c>
      <c r="AT434" s="14">
        <v>0.73458415654994291</v>
      </c>
      <c r="AU434" s="14">
        <v>-9.7808838598966389E-3</v>
      </c>
      <c r="AV434" s="14">
        <v>-0.51907057948654822</v>
      </c>
      <c r="AW434" s="14">
        <v>-0.24642286802524341</v>
      </c>
      <c r="AX434" s="14">
        <v>2.3335350168003005E-2</v>
      </c>
      <c r="AY434" s="14">
        <v>0.68048718399399499</v>
      </c>
      <c r="AZ434" s="14">
        <v>-0.66975042675437046</v>
      </c>
      <c r="BA434" s="14">
        <v>0.17813384093867854</v>
      </c>
      <c r="BB434" s="14">
        <v>-0.28821127707491501</v>
      </c>
      <c r="BC434" s="14">
        <v>0.42696020780639143</v>
      </c>
      <c r="BD434" s="14">
        <v>0.70047541959368431</v>
      </c>
      <c r="BE434" s="14">
        <v>0.744850412834549</v>
      </c>
      <c r="BF434" s="14">
        <v>-0.52398806768031692</v>
      </c>
      <c r="BK434" s="16">
        <v>0.60512220181621224</v>
      </c>
      <c r="BL434" s="16">
        <v>-0.40870440366085881</v>
      </c>
      <c r="BN434" s="17">
        <f t="shared" si="20"/>
        <v>0</v>
      </c>
    </row>
    <row r="435" spans="1:66" x14ac:dyDescent="0.2">
      <c r="A435">
        <v>1.310919185824361</v>
      </c>
      <c r="B435">
        <v>0.73082654714894901</v>
      </c>
      <c r="C435">
        <v>1.286401684266413</v>
      </c>
      <c r="D435">
        <v>1.283959349288921</v>
      </c>
      <c r="E435">
        <v>0.6300502476147426</v>
      </c>
      <c r="F435">
        <v>0.84330635578408153</v>
      </c>
      <c r="G435">
        <v>0.94799881353334614</v>
      </c>
      <c r="H435">
        <v>1.285729588874134</v>
      </c>
      <c r="I435">
        <v>1.247238193478253</v>
      </c>
      <c r="J435">
        <v>0.80247041567639743</v>
      </c>
      <c r="M435" s="13">
        <v>1</v>
      </c>
      <c r="O435" s="10">
        <f t="shared" si="18"/>
        <v>0</v>
      </c>
      <c r="P435" s="10">
        <f t="shared" si="19"/>
        <v>1</v>
      </c>
      <c r="R435" s="14">
        <v>0.82906540072563495</v>
      </c>
      <c r="S435" s="14">
        <v>-1.1264261329403875</v>
      </c>
      <c r="T435" s="14">
        <v>-0.66432445003408214</v>
      </c>
      <c r="U435" s="14">
        <v>-1.1037900047383085</v>
      </c>
      <c r="V435" s="14">
        <v>-0.62917895376883759</v>
      </c>
      <c r="W435" s="14">
        <v>-0.48885012331226546</v>
      </c>
      <c r="X435" s="14">
        <v>1.0644754609636202</v>
      </c>
      <c r="Y435" s="14">
        <v>1.2939454441324685</v>
      </c>
      <c r="Z435" s="14">
        <v>0.40621759034747829</v>
      </c>
      <c r="AA435" s="14">
        <v>-0.28513502699177762</v>
      </c>
      <c r="AB435" s="14">
        <v>0.64596258301175213</v>
      </c>
      <c r="AC435" s="14">
        <v>0.64396522058956618</v>
      </c>
      <c r="AD435" s="14">
        <v>1.1331213145445413</v>
      </c>
      <c r="AE435" s="14">
        <v>-0.61228537262902849</v>
      </c>
      <c r="AF435" s="14">
        <v>0.68953861900216662</v>
      </c>
      <c r="AG435" s="14">
        <v>-0.61965328056451674</v>
      </c>
      <c r="AH435" s="14">
        <v>6.097458493983432E-2</v>
      </c>
      <c r="AI435" s="14">
        <v>0.33242476356776518</v>
      </c>
      <c r="AJ435" s="14">
        <v>1.5664063426456578</v>
      </c>
      <c r="AK435" s="14">
        <v>-1.5210854168921566</v>
      </c>
      <c r="AM435" s="14">
        <v>-0.31945597016091715</v>
      </c>
      <c r="AN435" s="14">
        <v>-0.53313170573131474</v>
      </c>
      <c r="AO435" s="14">
        <v>-0.34844506215355503</v>
      </c>
      <c r="AP435" s="14">
        <v>-0.13980369052916769</v>
      </c>
      <c r="AQ435" s="14">
        <v>-0.63632375515941408</v>
      </c>
      <c r="AR435" s="14">
        <v>0.32294157429096104</v>
      </c>
      <c r="AS435" s="14">
        <v>0.6339070429493141</v>
      </c>
      <c r="AT435" s="14">
        <v>0.23059529063928466</v>
      </c>
      <c r="AU435" s="14">
        <v>-0.57509167521084736</v>
      </c>
      <c r="AV435" s="14">
        <v>-0.49625432938151126</v>
      </c>
      <c r="AW435" s="14">
        <v>0.29792349177113642</v>
      </c>
      <c r="AX435" s="14">
        <v>-0.44897575333195311</v>
      </c>
      <c r="AY435" s="14">
        <v>0.43709815163045629</v>
      </c>
      <c r="AZ435" s="14">
        <v>-0.65936987419738557</v>
      </c>
      <c r="BA435" s="14">
        <v>-0.19529678496008268</v>
      </c>
      <c r="BB435" s="14">
        <v>-0.2391559774903394</v>
      </c>
      <c r="BC435" s="14">
        <v>0.31478312167147404</v>
      </c>
      <c r="BD435" s="14">
        <v>0.44773592871353823</v>
      </c>
      <c r="BE435" s="14">
        <v>0.54163030778727161</v>
      </c>
      <c r="BF435" s="14">
        <v>2.283876424487985E-2</v>
      </c>
      <c r="BK435" s="16">
        <v>-0.35573557581173265</v>
      </c>
      <c r="BL435" s="16">
        <v>0.58753521134256737</v>
      </c>
      <c r="BN435" s="17">
        <f t="shared" si="20"/>
        <v>1</v>
      </c>
    </row>
    <row r="436" spans="1:66" x14ac:dyDescent="0.2">
      <c r="A436">
        <v>0.17861096924782621</v>
      </c>
      <c r="B436">
        <v>-0.50254059105494286</v>
      </c>
      <c r="C436">
        <v>9.0738185998945911E-2</v>
      </c>
      <c r="D436">
        <v>2.8077538406422929E-2</v>
      </c>
      <c r="E436">
        <v>-0.63667288370410058</v>
      </c>
      <c r="F436">
        <v>-0.71808565748423459</v>
      </c>
      <c r="G436">
        <v>-0.55160609623003087</v>
      </c>
      <c r="H436">
        <v>-2.899515821918738E-2</v>
      </c>
      <c r="I436">
        <v>-0.2149020416795199</v>
      </c>
      <c r="J436">
        <v>-0.56163482115769903</v>
      </c>
      <c r="M436" s="13">
        <v>0</v>
      </c>
      <c r="O436" s="10">
        <f t="shared" si="18"/>
        <v>1</v>
      </c>
      <c r="P436" s="10">
        <f t="shared" si="19"/>
        <v>0</v>
      </c>
      <c r="R436" s="14">
        <v>-0.28943972876782587</v>
      </c>
      <c r="S436" s="14">
        <v>-1.0776013939698528</v>
      </c>
      <c r="T436" s="14">
        <v>-0.58334590562638899</v>
      </c>
      <c r="U436" s="14">
        <v>-0.57721568892421338</v>
      </c>
      <c r="V436" s="14">
        <v>-0.22343715731563807</v>
      </c>
      <c r="W436" s="14">
        <v>2.3432593052251149E-2</v>
      </c>
      <c r="X436" s="14">
        <v>1.0553967260341663</v>
      </c>
      <c r="Y436" s="14">
        <v>1.0035165238626305</v>
      </c>
      <c r="Z436" s="14">
        <v>-0.2020450382445261</v>
      </c>
      <c r="AA436" s="14">
        <v>-5.8211335320287549E-2</v>
      </c>
      <c r="AB436" s="14">
        <v>-0.22384513964895777</v>
      </c>
      <c r="AC436" s="14">
        <v>-0.21066509640070796</v>
      </c>
      <c r="AD436" s="14">
        <v>1.0766461087245809</v>
      </c>
      <c r="AE436" s="14">
        <v>-0.63437337967886775</v>
      </c>
      <c r="AF436" s="14">
        <v>6.2707318671256784E-2</v>
      </c>
      <c r="AG436" s="14">
        <v>4.7720194271329897E-2</v>
      </c>
      <c r="AH436" s="14">
        <v>-0.19898834120493847</v>
      </c>
      <c r="AI436" s="14">
        <v>0.28796080217044462</v>
      </c>
      <c r="AJ436" s="14">
        <v>1.4510957636691715</v>
      </c>
      <c r="AK436" s="14">
        <v>-0.87557147487236242</v>
      </c>
      <c r="AM436" s="14">
        <v>0.71834171800499813</v>
      </c>
      <c r="AN436" s="14">
        <v>-0.15460668797544494</v>
      </c>
      <c r="AO436" s="14">
        <v>0.14253068401045663</v>
      </c>
      <c r="AP436" s="14">
        <v>0.12911310682399607</v>
      </c>
      <c r="AQ436" s="14">
        <v>0.24797437151488469</v>
      </c>
      <c r="AR436" s="14">
        <v>-0.66836795544689886</v>
      </c>
      <c r="AS436" s="14">
        <v>2.8267279070380374E-2</v>
      </c>
      <c r="AT436" s="14">
        <v>0.44095609313440831</v>
      </c>
      <c r="AU436" s="14">
        <v>0.58723055530470658</v>
      </c>
      <c r="AV436" s="14">
        <v>0.17474350295174149</v>
      </c>
      <c r="AW436" s="14">
        <v>-0.45024415053613392</v>
      </c>
      <c r="AX436" s="14">
        <v>0.52012362547041158</v>
      </c>
      <c r="AY436" s="14">
        <v>0.23637508128753446</v>
      </c>
      <c r="AZ436" s="14">
        <v>0.20442763209030815</v>
      </c>
      <c r="BA436" s="14">
        <v>0.49943306136515175</v>
      </c>
      <c r="BB436" s="14">
        <v>-3.0878174005038162E-2</v>
      </c>
      <c r="BC436" s="14">
        <v>0.10602102725585394</v>
      </c>
      <c r="BD436" s="14">
        <v>0.25487523617911262</v>
      </c>
      <c r="BE436" s="14">
        <v>0.13231026750813266</v>
      </c>
      <c r="BF436" s="14">
        <v>-0.67631623382224626</v>
      </c>
      <c r="BK436" s="16">
        <v>0.95343090702340538</v>
      </c>
      <c r="BL436" s="16">
        <v>-0.23727722338694268</v>
      </c>
      <c r="BN436" s="17">
        <f t="shared" si="20"/>
        <v>0</v>
      </c>
    </row>
    <row r="437" spans="1:66" x14ac:dyDescent="0.2">
      <c r="A437">
        <v>-7.3013078880292293E-2</v>
      </c>
      <c r="B437">
        <v>0.15460134341552059</v>
      </c>
      <c r="C437">
        <v>-6.5723160355387569E-2</v>
      </c>
      <c r="D437">
        <v>-0.1855058454291981</v>
      </c>
      <c r="E437">
        <v>0.15428569125085789</v>
      </c>
      <c r="F437">
        <v>0.2630844547124826</v>
      </c>
      <c r="G437">
        <v>0.3649753263729128</v>
      </c>
      <c r="H437">
        <v>0.1221464268797299</v>
      </c>
      <c r="I437">
        <v>-5.2304254171968677E-2</v>
      </c>
      <c r="J437">
        <v>0.98067715975725955</v>
      </c>
      <c r="M437" s="13">
        <v>1</v>
      </c>
      <c r="O437" s="10">
        <f t="shared" si="18"/>
        <v>0</v>
      </c>
      <c r="P437" s="10">
        <f t="shared" si="19"/>
        <v>1</v>
      </c>
      <c r="R437" s="14">
        <v>0.4608292563010612</v>
      </c>
      <c r="S437" s="14">
        <v>-1.0521549819127711</v>
      </c>
      <c r="T437" s="14">
        <v>-0.61542250899346362</v>
      </c>
      <c r="U437" s="14">
        <v>-0.53669185102840677</v>
      </c>
      <c r="V437" s="14">
        <v>-0.36750037776063549</v>
      </c>
      <c r="W437" s="14">
        <v>-0.20401036097932418</v>
      </c>
      <c r="X437" s="14">
        <v>1.0581395714499084</v>
      </c>
      <c r="Y437" s="14">
        <v>0.84239893234773644</v>
      </c>
      <c r="Z437" s="14">
        <v>-0.2587337400716278</v>
      </c>
      <c r="AA437" s="14">
        <v>8.8358964259099393E-2</v>
      </c>
      <c r="AB437" s="14">
        <v>0.277978927546291</v>
      </c>
      <c r="AC437" s="14">
        <v>-9.6752320152828419E-2</v>
      </c>
      <c r="AD437" s="14">
        <v>1.1018288512588581</v>
      </c>
      <c r="AE437" s="14">
        <v>-0.56505632378072446</v>
      </c>
      <c r="AF437" s="14">
        <v>0.33936776864016766</v>
      </c>
      <c r="AG437" s="14">
        <v>-0.14873253581669293</v>
      </c>
      <c r="AH437" s="14">
        <v>-0.19617319301547009</v>
      </c>
      <c r="AI437" s="14">
        <v>0.28895994311531148</v>
      </c>
      <c r="AJ437" s="14">
        <v>1.5063133492874248</v>
      </c>
      <c r="AK437" s="14">
        <v>-1.2080499165785403</v>
      </c>
      <c r="AM437" s="14">
        <v>-0.57709330327046859</v>
      </c>
      <c r="AN437" s="14">
        <v>-0.44042017151970436</v>
      </c>
      <c r="AO437" s="14">
        <v>-0.19881526195779026</v>
      </c>
      <c r="AP437" s="14">
        <v>1.2969507620364373E-3</v>
      </c>
      <c r="AQ437" s="14">
        <v>-0.12489238488055544</v>
      </c>
      <c r="AR437" s="14">
        <v>0.28165426206676852</v>
      </c>
      <c r="AS437" s="14">
        <v>0.47829997413564457</v>
      </c>
      <c r="AT437" s="14">
        <v>0.41866421635679535</v>
      </c>
      <c r="AU437" s="14">
        <v>-0.27410303560464305</v>
      </c>
      <c r="AV437" s="14">
        <v>-0.28020833692122854</v>
      </c>
      <c r="AW437" s="14">
        <v>-0.40494227453469261</v>
      </c>
      <c r="AX437" s="14">
        <v>-0.41143128715018162</v>
      </c>
      <c r="AY437" s="14">
        <v>0.31430611484293913</v>
      </c>
      <c r="AZ437" s="14">
        <v>-0.5443077553329132</v>
      </c>
      <c r="BA437" s="14">
        <v>-0.19608180415518536</v>
      </c>
      <c r="BB437" s="14">
        <v>0.26220399292866037</v>
      </c>
      <c r="BC437" s="14">
        <v>0.1434357843291332</v>
      </c>
      <c r="BD437" s="14">
        <v>0.36610473689502981</v>
      </c>
      <c r="BE437" s="14">
        <v>0.28235518972910356</v>
      </c>
      <c r="BF437" s="14">
        <v>0.32199023782223585</v>
      </c>
      <c r="BK437" s="16">
        <v>0.65350947284902472</v>
      </c>
      <c r="BL437" s="16">
        <v>-0.34393526348111869</v>
      </c>
      <c r="BN437" s="17">
        <f t="shared" si="20"/>
        <v>0</v>
      </c>
    </row>
    <row r="438" spans="1:66" x14ac:dyDescent="0.2">
      <c r="A438">
        <v>-0.39040250322371511</v>
      </c>
      <c r="B438">
        <v>0.1349851662671481</v>
      </c>
      <c r="C438">
        <v>-0.41641238494268717</v>
      </c>
      <c r="D438">
        <v>-0.44543279368198202</v>
      </c>
      <c r="E438">
        <v>-0.48632385007191981</v>
      </c>
      <c r="F438">
        <v>-0.91012918841583856</v>
      </c>
      <c r="G438">
        <v>-0.75276325729765969</v>
      </c>
      <c r="H438">
        <v>-0.41409563532053789</v>
      </c>
      <c r="I438">
        <v>-0.48164743164288842</v>
      </c>
      <c r="J438">
        <v>-0.79929373112100033</v>
      </c>
      <c r="M438" s="13">
        <v>0</v>
      </c>
      <c r="O438" s="10">
        <f t="shared" si="18"/>
        <v>1</v>
      </c>
      <c r="P438" s="10">
        <f t="shared" si="19"/>
        <v>0</v>
      </c>
      <c r="R438" s="14">
        <v>0.18375801641467698</v>
      </c>
      <c r="S438" s="14">
        <v>-1.1254522137306837</v>
      </c>
      <c r="T438" s="14">
        <v>-0.70650699230183289</v>
      </c>
      <c r="U438" s="14">
        <v>-0.93445326379084037</v>
      </c>
      <c r="V438" s="14">
        <v>-0.51705767981803652</v>
      </c>
      <c r="W438" s="14">
        <v>-0.28455567499394713</v>
      </c>
      <c r="X438" s="14">
        <v>1.0642165687728471</v>
      </c>
      <c r="Y438" s="14">
        <v>1.2824595224433397</v>
      </c>
      <c r="Z438" s="14">
        <v>0.33576106110970627</v>
      </c>
      <c r="AA438" s="14">
        <v>-0.2692281438002696</v>
      </c>
      <c r="AB438" s="14">
        <v>0.19205379394150901</v>
      </c>
      <c r="AC438" s="14">
        <v>0.11819108769563946</v>
      </c>
      <c r="AD438" s="14">
        <v>1.1273676826464052</v>
      </c>
      <c r="AE438" s="14">
        <v>-0.65275258340442122</v>
      </c>
      <c r="AF438" s="14">
        <v>-2.6506700225229718E-2</v>
      </c>
      <c r="AG438" s="14">
        <v>-0.55873990064890333</v>
      </c>
      <c r="AH438" s="14">
        <v>-9.6088147896525866E-3</v>
      </c>
      <c r="AI438" s="14">
        <v>0.33675980978236753</v>
      </c>
      <c r="AJ438" s="14">
        <v>1.5654341121760784</v>
      </c>
      <c r="AK438" s="14">
        <v>-1.306637472537473</v>
      </c>
      <c r="AM438" s="14">
        <v>0.49622017197182056</v>
      </c>
      <c r="AN438" s="14">
        <v>0.70006784430467783</v>
      </c>
      <c r="AO438" s="14">
        <v>0.46956015605413626</v>
      </c>
      <c r="AP438" s="14">
        <v>0.51405353258975761</v>
      </c>
      <c r="AQ438" s="14">
        <v>0.68690850317193375</v>
      </c>
      <c r="AR438" s="14">
        <v>-0.19601843556214485</v>
      </c>
      <c r="AS438" s="14">
        <v>-0.82132986532079222</v>
      </c>
      <c r="AT438" s="14">
        <v>-0.57646479896276648</v>
      </c>
      <c r="AU438" s="14">
        <v>0.60143135275656223</v>
      </c>
      <c r="AV438" s="14">
        <v>0.66615249934920917</v>
      </c>
      <c r="AW438" s="14">
        <v>-0.17155162719565092</v>
      </c>
      <c r="AX438" s="14">
        <v>0.5167600913507252</v>
      </c>
      <c r="AY438" s="14">
        <v>-0.65084790784028468</v>
      </c>
      <c r="AZ438" s="14">
        <v>0.79522586799060124</v>
      </c>
      <c r="BA438" s="14">
        <v>0.15997784903831361</v>
      </c>
      <c r="BB438" s="14">
        <v>0.17996990058063755</v>
      </c>
      <c r="BC438" s="14">
        <v>-0.36838763481811515</v>
      </c>
      <c r="BD438" s="14">
        <v>-0.60090357782800374</v>
      </c>
      <c r="BE438" s="14">
        <v>-0.72210823145592917</v>
      </c>
      <c r="BF438" s="14">
        <v>-0.14173538192302751</v>
      </c>
      <c r="BK438" s="16">
        <v>0.74720238597365007</v>
      </c>
      <c r="BL438" s="16">
        <v>-0.19986262117867906</v>
      </c>
      <c r="BN438" s="17">
        <f t="shared" si="20"/>
        <v>0</v>
      </c>
    </row>
    <row r="439" spans="1:66" x14ac:dyDescent="0.2">
      <c r="A439">
        <v>-5.5856893780648197E-2</v>
      </c>
      <c r="B439">
        <v>-0.73793471683540768</v>
      </c>
      <c r="C439">
        <v>-0.12133541608875829</v>
      </c>
      <c r="D439">
        <v>-0.15182760296455161</v>
      </c>
      <c r="E439">
        <v>-0.85578476337324905</v>
      </c>
      <c r="F439">
        <v>-0.69477759821041807</v>
      </c>
      <c r="G439">
        <v>-0.53448089954447675</v>
      </c>
      <c r="H439">
        <v>-0.163573281937401</v>
      </c>
      <c r="I439">
        <v>-0.26361052922263167</v>
      </c>
      <c r="J439">
        <v>-0.63920716858113324</v>
      </c>
      <c r="M439" s="13">
        <v>0</v>
      </c>
      <c r="O439" s="10">
        <f t="shared" si="18"/>
        <v>1</v>
      </c>
      <c r="P439" s="10">
        <f t="shared" si="19"/>
        <v>0</v>
      </c>
      <c r="R439" s="14">
        <v>-0.52132955826733451</v>
      </c>
      <c r="S439" s="14">
        <v>-1.0727238236523342</v>
      </c>
      <c r="T439" s="14">
        <v>-0.68221971431597184</v>
      </c>
      <c r="U439" s="14">
        <v>-0.79391443461070932</v>
      </c>
      <c r="V439" s="14">
        <v>-0.6043050677573889</v>
      </c>
      <c r="W439" s="14">
        <v>0.71386851947680952</v>
      </c>
      <c r="X439" s="14">
        <v>1.0621455604280705</v>
      </c>
      <c r="Y439" s="14">
        <v>0.59541936076599689</v>
      </c>
      <c r="Z439" s="14">
        <v>-0.77686428293884024</v>
      </c>
      <c r="AA439" s="14">
        <v>-0.2364220336026126</v>
      </c>
      <c r="AB439" s="14">
        <v>0.67159992591254691</v>
      </c>
      <c r="AC439" s="14">
        <v>-0.3012137156017699</v>
      </c>
      <c r="AD439" s="14">
        <v>1.0215656392310839</v>
      </c>
      <c r="AE439" s="14">
        <v>-0.65753913620846571</v>
      </c>
      <c r="AF439" s="14">
        <v>-0.15918130230948502</v>
      </c>
      <c r="AG439" s="14">
        <v>-0.40644618934092946</v>
      </c>
      <c r="AH439" s="14">
        <v>-0.19266450088070125</v>
      </c>
      <c r="AI439" s="14">
        <v>0.2482651537000492</v>
      </c>
      <c r="AJ439" s="14">
        <v>1.5364273000319699</v>
      </c>
      <c r="AK439" s="14">
        <v>-0.60506652432464136</v>
      </c>
      <c r="AM439" s="14">
        <v>1.0411829201165247E-2</v>
      </c>
      <c r="AN439" s="14">
        <v>-0.44932963799931719</v>
      </c>
      <c r="AO439" s="14">
        <v>-0.14534686671846739</v>
      </c>
      <c r="AP439" s="14">
        <v>0.21901475942596876</v>
      </c>
      <c r="AQ439" s="14">
        <v>-0.45013753544638535</v>
      </c>
      <c r="AR439" s="14">
        <v>-5.3815772823171723E-2</v>
      </c>
      <c r="AS439" s="14">
        <v>0.45115185847302869</v>
      </c>
      <c r="AT439" s="14">
        <v>0.33546172121456186</v>
      </c>
      <c r="AU439" s="14">
        <v>-0.26358330761145171</v>
      </c>
      <c r="AV439" s="14">
        <v>-0.2976150635196857</v>
      </c>
      <c r="AW439" s="14">
        <v>-3.1154617651427401E-2</v>
      </c>
      <c r="AX439" s="14">
        <v>-0.21445192357479506</v>
      </c>
      <c r="AY439" s="14">
        <v>0.33503083578382892</v>
      </c>
      <c r="AZ439" s="14">
        <v>-0.46559646730720444</v>
      </c>
      <c r="BA439" s="14">
        <v>0.10852941915871768</v>
      </c>
      <c r="BB439" s="14">
        <v>-0.1519393990142423</v>
      </c>
      <c r="BC439" s="14">
        <v>0.3261958180545535</v>
      </c>
      <c r="BD439" s="14">
        <v>0.3788670619199051</v>
      </c>
      <c r="BE439" s="14">
        <v>0.37009966923585397</v>
      </c>
      <c r="BF439" s="14">
        <v>-0.31947358355661581</v>
      </c>
      <c r="BK439" s="16">
        <v>2.2841837629794859E-2</v>
      </c>
      <c r="BL439" s="16">
        <v>-0.49169012507022114</v>
      </c>
      <c r="BN439" s="17">
        <f t="shared" si="20"/>
        <v>0</v>
      </c>
    </row>
    <row r="440" spans="1:66" x14ac:dyDescent="0.2">
      <c r="A440">
        <v>-0.11018481326285549</v>
      </c>
      <c r="B440">
        <v>0.14969729912842769</v>
      </c>
      <c r="C440">
        <v>-0.16698726781018161</v>
      </c>
      <c r="D440">
        <v>-0.20536737303655361</v>
      </c>
      <c r="E440">
        <v>-0.77494195789735465</v>
      </c>
      <c r="F440">
        <v>-0.96653965102002182</v>
      </c>
      <c r="G440">
        <v>-0.7008764673399358</v>
      </c>
      <c r="H440">
        <v>-0.16978457995516461</v>
      </c>
      <c r="I440">
        <v>-0.265204625178588</v>
      </c>
      <c r="J440">
        <v>-0.87327199294952629</v>
      </c>
      <c r="M440" s="13">
        <v>0</v>
      </c>
      <c r="O440" s="10">
        <f t="shared" si="18"/>
        <v>1</v>
      </c>
      <c r="P440" s="10">
        <f t="shared" si="19"/>
        <v>0</v>
      </c>
      <c r="R440" s="14">
        <v>1.0476656784702489</v>
      </c>
      <c r="S440" s="14">
        <v>-0.71294875455694373</v>
      </c>
      <c r="T440" s="14">
        <v>0.37311887535042398</v>
      </c>
      <c r="U440" s="14">
        <v>-0.45981937440264697</v>
      </c>
      <c r="V440" s="14">
        <v>0.74781163163104536</v>
      </c>
      <c r="W440" s="14">
        <v>-0.41220756916272711</v>
      </c>
      <c r="X440" s="14">
        <v>0.19181976069889206</v>
      </c>
      <c r="Y440" s="14">
        <v>1.1093912665369019</v>
      </c>
      <c r="Z440" s="14">
        <v>0.54508144924879931</v>
      </c>
      <c r="AA440" s="14">
        <v>1.051884067537058</v>
      </c>
      <c r="AB440" s="14">
        <v>-1.0317954965493128</v>
      </c>
      <c r="AC440" s="14">
        <v>1.4150773965418701</v>
      </c>
      <c r="AD440" s="14">
        <v>0.93846534296199624</v>
      </c>
      <c r="AE440" s="14">
        <v>1.0823600923118233</v>
      </c>
      <c r="AF440" s="14">
        <v>1.2102689416506212</v>
      </c>
      <c r="AG440" s="14">
        <v>5.9084151406526397E-2</v>
      </c>
      <c r="AH440" s="14">
        <v>-0.4559304302421785</v>
      </c>
      <c r="AI440" s="14">
        <v>0.18453468389712036</v>
      </c>
      <c r="AJ440" s="14">
        <v>1.2615138621010744</v>
      </c>
      <c r="AK440" s="14">
        <v>-1.4567475137671528</v>
      </c>
      <c r="AM440" s="14">
        <v>-0.10706531575129917</v>
      </c>
      <c r="AN440" s="14">
        <v>-0.59490948876866545</v>
      </c>
      <c r="AO440" s="14">
        <v>-0.20921980923941089</v>
      </c>
      <c r="AP440" s="14">
        <v>0.15815144020531363</v>
      </c>
      <c r="AQ440" s="14">
        <v>-0.63902865405790232</v>
      </c>
      <c r="AR440" s="14">
        <v>2.6001523318554945E-2</v>
      </c>
      <c r="AS440" s="14">
        <v>0.61782305976101826</v>
      </c>
      <c r="AT440" s="14">
        <v>0.42217454018082212</v>
      </c>
      <c r="AU440" s="14">
        <v>-0.44162976781978946</v>
      </c>
      <c r="AV440" s="14">
        <v>-0.48466349878147091</v>
      </c>
      <c r="AW440" s="14">
        <v>6.0559287701206888E-2</v>
      </c>
      <c r="AX440" s="14">
        <v>-0.3333182458943339</v>
      </c>
      <c r="AY440" s="14">
        <v>0.44282709023663319</v>
      </c>
      <c r="AZ440" s="14">
        <v>-0.64752310271357283</v>
      </c>
      <c r="BA440" s="14">
        <v>4.6540196171865438E-2</v>
      </c>
      <c r="BB440" s="14">
        <v>-0.26941056103219285</v>
      </c>
      <c r="BC440" s="14">
        <v>0.44263527080361448</v>
      </c>
      <c r="BD440" s="14">
        <v>0.48971901889202163</v>
      </c>
      <c r="BE440" s="14">
        <v>0.52205171300126241</v>
      </c>
      <c r="BF440" s="14">
        <v>-0.34014138104084657</v>
      </c>
      <c r="BK440" s="16">
        <v>0.55945354430244976</v>
      </c>
      <c r="BL440" s="16">
        <v>-0.42235112009376052</v>
      </c>
      <c r="BN440" s="17">
        <f t="shared" si="20"/>
        <v>0</v>
      </c>
    </row>
    <row r="441" spans="1:66" x14ac:dyDescent="0.2">
      <c r="A441">
        <v>-6.1575622147196217E-2</v>
      </c>
      <c r="B441">
        <v>-0.81639942542889588</v>
      </c>
      <c r="C441">
        <v>-0.12922073593154951</v>
      </c>
      <c r="D441">
        <v>-0.16535646959564901</v>
      </c>
      <c r="E441">
        <v>-0.91414025973975677</v>
      </c>
      <c r="F441">
        <v>-0.87417526719558991</v>
      </c>
      <c r="G441">
        <v>-0.60911608509942927</v>
      </c>
      <c r="H441">
        <v>-0.31885573238149412</v>
      </c>
      <c r="I441">
        <v>-0.37183193245478191</v>
      </c>
      <c r="J441">
        <v>-0.52494519737634504</v>
      </c>
      <c r="M441" s="13">
        <v>0</v>
      </c>
      <c r="O441" s="10">
        <f t="shared" si="18"/>
        <v>1</v>
      </c>
      <c r="P441" s="10">
        <f t="shared" si="19"/>
        <v>0</v>
      </c>
      <c r="R441" s="14">
        <v>-0.75102996630904006</v>
      </c>
      <c r="S441" s="14">
        <v>-1.0472045938225727</v>
      </c>
      <c r="T441" s="14">
        <v>-0.54099765157678636</v>
      </c>
      <c r="U441" s="14">
        <v>-0.70825096645607188</v>
      </c>
      <c r="V441" s="14">
        <v>-6.7806166067309936E-2</v>
      </c>
      <c r="W441" s="14">
        <v>0.69261738020972397</v>
      </c>
      <c r="X441" s="14">
        <v>1.0449286846208163</v>
      </c>
      <c r="Y441" s="14">
        <v>0.91887447569168756</v>
      </c>
      <c r="Z441" s="14">
        <v>-0.49706914590643764</v>
      </c>
      <c r="AA441" s="14">
        <v>-0.11101011709387121</v>
      </c>
      <c r="AB441" s="14">
        <v>-0.3517973590444895</v>
      </c>
      <c r="AC441" s="14">
        <v>-0.34064542650441176</v>
      </c>
      <c r="AD441" s="14">
        <v>0.92908164329395393</v>
      </c>
      <c r="AE441" s="14">
        <v>-0.65354913804016346</v>
      </c>
      <c r="AF441" s="14">
        <v>-0.18713325260513702</v>
      </c>
      <c r="AG441" s="14">
        <v>0.37236772795055184</v>
      </c>
      <c r="AH441" s="14">
        <v>-0.39206151468792894</v>
      </c>
      <c r="AI441" s="14">
        <v>0.18950327200538941</v>
      </c>
      <c r="AJ441" s="14">
        <v>1.2024340200767223</v>
      </c>
      <c r="AK441" s="14">
        <v>-0.16077607274849781</v>
      </c>
      <c r="AM441" s="14">
        <v>-1.9084288960621202E-2</v>
      </c>
      <c r="AN441" s="14">
        <v>-0.60184653527367349</v>
      </c>
      <c r="AO441" s="14">
        <v>-0.411006394511374</v>
      </c>
      <c r="AP441" s="14">
        <v>-0.15465882353755925</v>
      </c>
      <c r="AQ441" s="14">
        <v>-0.65753702471535447</v>
      </c>
      <c r="AR441" s="14">
        <v>5.2878234490294794E-2</v>
      </c>
      <c r="AS441" s="14">
        <v>0.71751882305842951</v>
      </c>
      <c r="AT441" s="14">
        <v>0.36295997631998311</v>
      </c>
      <c r="AU441" s="14">
        <v>-0.52622300810891387</v>
      </c>
      <c r="AV441" s="14">
        <v>-0.47126357325170931</v>
      </c>
      <c r="AW441" s="14">
        <v>0.30300440707453458</v>
      </c>
      <c r="AX441" s="14">
        <v>-0.37731273960239636</v>
      </c>
      <c r="AY441" s="14">
        <v>0.57920323858391964</v>
      </c>
      <c r="AZ441" s="14">
        <v>-0.66262353150573439</v>
      </c>
      <c r="BA441" s="14">
        <v>3.5743490010711067E-2</v>
      </c>
      <c r="BB441" s="14">
        <v>-0.21753199929489014</v>
      </c>
      <c r="BC441" s="14">
        <v>0.36683035419177978</v>
      </c>
      <c r="BD441" s="14">
        <v>0.54537553292071084</v>
      </c>
      <c r="BE441" s="14">
        <v>0.62790945453173697</v>
      </c>
      <c r="BF441" s="14">
        <v>-0.21545497316184006</v>
      </c>
      <c r="BK441" s="16">
        <v>0.24590682295999269</v>
      </c>
      <c r="BL441" s="16">
        <v>-1.4987264414250624E-2</v>
      </c>
      <c r="BN441" s="17">
        <f t="shared" si="20"/>
        <v>0</v>
      </c>
    </row>
    <row r="442" spans="1:66" x14ac:dyDescent="0.2">
      <c r="A442">
        <v>-0.93368169804578927</v>
      </c>
      <c r="B442">
        <v>-0.4387880153227342</v>
      </c>
      <c r="C442">
        <v>-0.87044080115393641</v>
      </c>
      <c r="D442">
        <v>-0.84179980115051301</v>
      </c>
      <c r="E442">
        <v>0.1171165852849293</v>
      </c>
      <c r="F442">
        <v>3.9550247953488243E-2</v>
      </c>
      <c r="G442">
        <v>-0.36348453263946567</v>
      </c>
      <c r="H442">
        <v>-0.84681606389141051</v>
      </c>
      <c r="I442">
        <v>-0.74821569983337277</v>
      </c>
      <c r="J442">
        <v>0.57334745900100292</v>
      </c>
      <c r="M442" s="13">
        <v>0</v>
      </c>
      <c r="O442" s="10">
        <f t="shared" si="18"/>
        <v>1</v>
      </c>
      <c r="P442" s="10">
        <f t="shared" si="19"/>
        <v>0</v>
      </c>
      <c r="R442" s="14">
        <v>0.42151257507718909</v>
      </c>
      <c r="S442" s="14">
        <v>1.0080373563440412</v>
      </c>
      <c r="T442" s="14">
        <v>0.3949501659792094</v>
      </c>
      <c r="U442" s="14">
        <v>0.13909619398026107</v>
      </c>
      <c r="V442" s="14">
        <v>1.4378437776348409</v>
      </c>
      <c r="W442" s="14">
        <v>-2.1814122400063946E-2</v>
      </c>
      <c r="X442" s="14">
        <v>-1.4652106105093363</v>
      </c>
      <c r="Y442" s="14">
        <v>-0.73691686243417864</v>
      </c>
      <c r="Z442" s="14">
        <v>1.0872965662031928</v>
      </c>
      <c r="AA442" s="14">
        <v>1.2054770621817226</v>
      </c>
      <c r="AB442" s="14">
        <v>-0.2541248714401787</v>
      </c>
      <c r="AC442" s="14">
        <v>1.0203252838228671</v>
      </c>
      <c r="AD442" s="14">
        <v>-0.78287435080235435</v>
      </c>
      <c r="AE442" s="14">
        <v>1.6867114951568443</v>
      </c>
      <c r="AF442" s="14">
        <v>0.14612301051071908</v>
      </c>
      <c r="AG442" s="14">
        <v>0.14580268453728107</v>
      </c>
      <c r="AH442" s="14">
        <v>-0.97995056832424798</v>
      </c>
      <c r="AI442" s="14">
        <v>-1.546569648906202</v>
      </c>
      <c r="AJ442" s="14">
        <v>-0.53961683357256618</v>
      </c>
      <c r="AK442" s="14">
        <v>-0.84146200830198392</v>
      </c>
      <c r="AM442" s="14">
        <v>-0.80511394602053399</v>
      </c>
      <c r="AN442" s="14">
        <v>-0.78697034682963041</v>
      </c>
      <c r="AO442" s="14">
        <v>-0.57851643508625805</v>
      </c>
      <c r="AP442" s="14">
        <v>-0.22250179839942213</v>
      </c>
      <c r="AQ442" s="14">
        <v>-0.7938485669445321</v>
      </c>
      <c r="AR442" s="14">
        <v>0.71722029800068676</v>
      </c>
      <c r="AS442" s="14">
        <v>0.89547948458088189</v>
      </c>
      <c r="AT442" s="14">
        <v>0.50563054859306378</v>
      </c>
      <c r="AU442" s="14">
        <v>-0.8546109715114284</v>
      </c>
      <c r="AV442" s="14">
        <v>-0.71673745427391444</v>
      </c>
      <c r="AW442" s="14">
        <v>5.1951308927788313E-2</v>
      </c>
      <c r="AX442" s="14">
        <v>-0.80148283187087743</v>
      </c>
      <c r="AY442" s="14">
        <v>0.68324116030914284</v>
      </c>
      <c r="AZ442" s="14">
        <v>-0.91352798631673293</v>
      </c>
      <c r="BA442" s="14">
        <v>-0.50148545415683188</v>
      </c>
      <c r="BB442" s="14">
        <v>6.4656032164205512E-2</v>
      </c>
      <c r="BC442" s="14">
        <v>0.4521046270004116</v>
      </c>
      <c r="BD442" s="14">
        <v>0.69148879671208541</v>
      </c>
      <c r="BE442" s="14">
        <v>0.76016159995766208</v>
      </c>
      <c r="BF442" s="14">
        <v>0.48732614551420544</v>
      </c>
      <c r="BK442" s="16">
        <v>0.49779847115970527</v>
      </c>
      <c r="BL442" s="16">
        <v>-0.43045205868483422</v>
      </c>
      <c r="BN442" s="17">
        <f t="shared" si="20"/>
        <v>0</v>
      </c>
    </row>
    <row r="443" spans="1:66" x14ac:dyDescent="0.2">
      <c r="A443">
        <v>0.86771773741687863</v>
      </c>
      <c r="B443">
        <v>1.576774186672494</v>
      </c>
      <c r="C443">
        <v>0.81743266203724374</v>
      </c>
      <c r="D443">
        <v>0.76237836342619203</v>
      </c>
      <c r="E443">
        <v>0.1096827640917437</v>
      </c>
      <c r="F443">
        <v>0.35978810489108232</v>
      </c>
      <c r="G443">
        <v>0.1791541623371235</v>
      </c>
      <c r="H443">
        <v>0.81367093952409086</v>
      </c>
      <c r="I443">
        <v>0.68221973797815683</v>
      </c>
      <c r="J443">
        <v>0.84889402127729419</v>
      </c>
      <c r="M443" s="13">
        <v>1</v>
      </c>
      <c r="O443" s="10">
        <f t="shared" si="18"/>
        <v>0</v>
      </c>
      <c r="P443" s="10">
        <f t="shared" si="19"/>
        <v>1</v>
      </c>
      <c r="R443" s="14">
        <v>8.7142015756184743E-3</v>
      </c>
      <c r="S443" s="14">
        <v>-1.0949109605774849</v>
      </c>
      <c r="T443" s="14">
        <v>-0.39041508161998784</v>
      </c>
      <c r="U443" s="14">
        <v>-0.29358478932803594</v>
      </c>
      <c r="V443" s="14">
        <v>-0.53314984120183251</v>
      </c>
      <c r="W443" s="14">
        <v>0.23457920119774298</v>
      </c>
      <c r="X443" s="14">
        <v>1.0565743498606133</v>
      </c>
      <c r="Y443" s="14">
        <v>0.93042600773903494</v>
      </c>
      <c r="Z443" s="14">
        <v>-0.45359924578895805</v>
      </c>
      <c r="AA443" s="14">
        <v>-0.11429462037618165</v>
      </c>
      <c r="AB443" s="14">
        <v>-5.3119846582143804E-2</v>
      </c>
      <c r="AC443" s="14">
        <v>-0.10513348861171068</v>
      </c>
      <c r="AD443" s="14">
        <v>1.0185310022563343</v>
      </c>
      <c r="AE443" s="14">
        <v>-0.64739493823102157</v>
      </c>
      <c r="AF443" s="14">
        <v>0.38056074425464137</v>
      </c>
      <c r="AG443" s="14">
        <v>-0.21953710473984744</v>
      </c>
      <c r="AH443" s="14">
        <v>-0.12931837239664856</v>
      </c>
      <c r="AI443" s="14">
        <v>0.2713217633433691</v>
      </c>
      <c r="AJ443" s="14">
        <v>1.5022989382379492</v>
      </c>
      <c r="AK443" s="14">
        <v>-1.0880748233524771</v>
      </c>
      <c r="AM443" s="14">
        <v>-9.2644953243329872E-2</v>
      </c>
      <c r="AN443" s="14">
        <v>2.0862452242968621E-2</v>
      </c>
      <c r="AO443" s="14">
        <v>0.18220267193553974</v>
      </c>
      <c r="AP443" s="14">
        <v>0.55728098000744009</v>
      </c>
      <c r="AQ443" s="14">
        <v>0.23062967461129058</v>
      </c>
      <c r="AR443" s="14">
        <v>0.15049113041271456</v>
      </c>
      <c r="AS443" s="14">
        <v>-9.1145527359305076E-2</v>
      </c>
      <c r="AT443" s="14">
        <v>-0.10755248169098179</v>
      </c>
      <c r="AU443" s="14">
        <v>-0.18716468547279191</v>
      </c>
      <c r="AV443" s="14">
        <v>0.30060679318101241</v>
      </c>
      <c r="AW443" s="14">
        <v>-0.4313705528468838</v>
      </c>
      <c r="AX443" s="14">
        <v>-0.15313403713151535</v>
      </c>
      <c r="AY443" s="14">
        <v>-0.10045570823463734</v>
      </c>
      <c r="AZ443" s="14">
        <v>2.3798046707429313E-2</v>
      </c>
      <c r="BA443" s="14">
        <v>2.6299746901796664E-2</v>
      </c>
      <c r="BB443" s="14">
        <v>0.41289549326678099</v>
      </c>
      <c r="BC443" s="14">
        <v>8.6806974733722696E-3</v>
      </c>
      <c r="BD443" s="14">
        <v>-2.5586648899007886E-2</v>
      </c>
      <c r="BE443" s="14">
        <v>-0.28432014090627072</v>
      </c>
      <c r="BF443" s="14">
        <v>-4.1465689331876389E-3</v>
      </c>
      <c r="BK443" s="16">
        <v>0.63177232907520897</v>
      </c>
      <c r="BL443" s="16">
        <v>-0.44180175160128532</v>
      </c>
      <c r="BN443" s="17">
        <f t="shared" si="20"/>
        <v>0</v>
      </c>
    </row>
    <row r="444" spans="1:66" x14ac:dyDescent="0.2">
      <c r="A444">
        <v>-0.13020036254577411</v>
      </c>
      <c r="B444">
        <v>-0.78452313756279157</v>
      </c>
      <c r="C444">
        <v>-0.1798527896589466</v>
      </c>
      <c r="D444">
        <v>-0.22465320419152221</v>
      </c>
      <c r="E444">
        <v>-0.70283389232345317</v>
      </c>
      <c r="F444">
        <v>-1.0021216351241991</v>
      </c>
      <c r="G444">
        <v>-1.0329774830644209</v>
      </c>
      <c r="H444">
        <v>-0.2443201561683295</v>
      </c>
      <c r="I444">
        <v>-0.34048137865430622</v>
      </c>
      <c r="J444">
        <v>-1.2593366872692431</v>
      </c>
      <c r="M444" s="13">
        <v>0</v>
      </c>
      <c r="O444" s="10">
        <f t="shared" si="18"/>
        <v>1</v>
      </c>
      <c r="P444" s="10">
        <f t="shared" si="19"/>
        <v>0</v>
      </c>
      <c r="R444" s="14">
        <v>-0.23150227899060286</v>
      </c>
      <c r="S444" s="14">
        <v>-1.1183153303455695</v>
      </c>
      <c r="T444" s="14">
        <v>-0.52368222732372416</v>
      </c>
      <c r="U444" s="14">
        <v>-0.37159162600780543</v>
      </c>
      <c r="V444" s="14">
        <v>-0.62103120640645304</v>
      </c>
      <c r="W444" s="14">
        <v>0.28044724015973588</v>
      </c>
      <c r="X444" s="14">
        <v>1.0633957109148393</v>
      </c>
      <c r="Y444" s="14">
        <v>1.0040809544308598</v>
      </c>
      <c r="Z444" s="14">
        <v>-0.58490492199926214</v>
      </c>
      <c r="AA444" s="14">
        <v>-0.24069646415379931</v>
      </c>
      <c r="AB444" s="14">
        <v>0.26169462951897071</v>
      </c>
      <c r="AC444" s="14">
        <v>-0.20972264771754645</v>
      </c>
      <c r="AD444" s="14">
        <v>1.0697426441913767</v>
      </c>
      <c r="AE444" s="14">
        <v>-0.65906349612267179</v>
      </c>
      <c r="AF444" s="14">
        <v>0.14475436244190093</v>
      </c>
      <c r="AG444" s="14">
        <v>-0.42135914254580076</v>
      </c>
      <c r="AH444" s="14">
        <v>-1.4371309649915287E-2</v>
      </c>
      <c r="AI444" s="14">
        <v>0.30555493905646314</v>
      </c>
      <c r="AJ444" s="14">
        <v>1.5457460250628072</v>
      </c>
      <c r="AK444" s="14">
        <v>-1.1076760365277796</v>
      </c>
      <c r="AM444" s="14">
        <v>-0.89074799493957102</v>
      </c>
      <c r="AN444" s="14">
        <v>-0.25066743638041383</v>
      </c>
      <c r="AO444" s="14">
        <v>0.17692343166220412</v>
      </c>
      <c r="AP444" s="14">
        <v>0.72424471970719873</v>
      </c>
      <c r="AQ444" s="14">
        <v>0.52540187887920498</v>
      </c>
      <c r="AR444" s="14">
        <v>0.71536056637320045</v>
      </c>
      <c r="AS444" s="14">
        <v>-0.15429941908435552</v>
      </c>
      <c r="AT444" s="14">
        <v>0.32992206028292048</v>
      </c>
      <c r="AU444" s="14">
        <v>0.11904817258604428</v>
      </c>
      <c r="AV444" s="14">
        <v>2.0995777326542994E-2</v>
      </c>
      <c r="AW444" s="14">
        <v>-0.86923879374741775</v>
      </c>
      <c r="AX444" s="14">
        <v>-0.45010573351797373</v>
      </c>
      <c r="AY444" s="14">
        <v>-0.27426129627929874</v>
      </c>
      <c r="AZ444" s="14">
        <v>-0.43285783888948937</v>
      </c>
      <c r="BA444" s="14">
        <v>-0.55954594997995244</v>
      </c>
      <c r="BB444" s="14">
        <v>0.63245578895550358</v>
      </c>
      <c r="BC444" s="14">
        <v>5.7932799565424964E-2</v>
      </c>
      <c r="BD444" s="14">
        <v>0.16980556267797475</v>
      </c>
      <c r="BE444" s="14">
        <v>-0.36634443799485322</v>
      </c>
      <c r="BF444" s="14">
        <v>0.68652118909841597</v>
      </c>
      <c r="BK444" s="16">
        <v>0.5828581468999392</v>
      </c>
      <c r="BL444" s="16">
        <v>-0.41029225776287381</v>
      </c>
      <c r="BN444" s="17">
        <f t="shared" si="20"/>
        <v>0</v>
      </c>
    </row>
    <row r="445" spans="1:66" x14ac:dyDescent="0.2">
      <c r="A445">
        <v>-1.048056265376752</v>
      </c>
      <c r="B445">
        <v>-0.16416153524552529</v>
      </c>
      <c r="C445">
        <v>-1.0742140665650191</v>
      </c>
      <c r="D445">
        <v>-0.92988135836574215</v>
      </c>
      <c r="E445">
        <v>-1.1221014076191269</v>
      </c>
      <c r="F445">
        <v>-0.88582929683249811</v>
      </c>
      <c r="G445">
        <v>-1.002995608867175</v>
      </c>
      <c r="H445">
        <v>-1.140817503398893</v>
      </c>
      <c r="I445">
        <v>-0.94322677177870373</v>
      </c>
      <c r="J445">
        <v>-1.422568074704655</v>
      </c>
      <c r="M445" s="13">
        <v>0</v>
      </c>
      <c r="O445" s="10">
        <f t="shared" si="18"/>
        <v>1</v>
      </c>
      <c r="P445" s="10">
        <f t="shared" si="19"/>
        <v>0</v>
      </c>
      <c r="R445" s="14">
        <v>-0.16611170256072041</v>
      </c>
      <c r="S445" s="14">
        <v>-1.0958998274014471</v>
      </c>
      <c r="T445" s="14">
        <v>-0.74046975068134746</v>
      </c>
      <c r="U445" s="14">
        <v>-0.73699798806883565</v>
      </c>
      <c r="V445" s="14">
        <v>-0.60696694056235145</v>
      </c>
      <c r="W445" s="14">
        <v>0.177899761626992</v>
      </c>
      <c r="X445" s="14">
        <v>1.064122124952092</v>
      </c>
      <c r="Y445" s="14">
        <v>0.77142372086286859</v>
      </c>
      <c r="Z445" s="14">
        <v>-0.56821878213593713</v>
      </c>
      <c r="AA445" s="14">
        <v>-0.22762891228428261</v>
      </c>
      <c r="AB445" s="14">
        <v>0.68436949932625879</v>
      </c>
      <c r="AC445" s="14">
        <v>-0.2752114091764255</v>
      </c>
      <c r="AD445" s="14">
        <v>1.0972003065156055</v>
      </c>
      <c r="AE445" s="14">
        <v>-0.65415943483092898</v>
      </c>
      <c r="AF445" s="14">
        <v>1.2809944547657826E-2</v>
      </c>
      <c r="AG445" s="14">
        <v>-0.41443935335939985</v>
      </c>
      <c r="AH445" s="14">
        <v>-0.10938176603784688</v>
      </c>
      <c r="AI445" s="14">
        <v>0.29608557553037518</v>
      </c>
      <c r="AJ445" s="14">
        <v>1.5500512986381159</v>
      </c>
      <c r="AK445" s="14">
        <v>-0.94062168100610488</v>
      </c>
      <c r="AM445" s="14">
        <v>-0.34410766265220649</v>
      </c>
      <c r="AN445" s="14">
        <v>-0.5089073971736352</v>
      </c>
      <c r="AO445" s="14">
        <v>-0.29860500606676599</v>
      </c>
      <c r="AP445" s="14">
        <v>0.30593495376199153</v>
      </c>
      <c r="AQ445" s="14">
        <v>-0.44426077282256143</v>
      </c>
      <c r="AR445" s="14">
        <v>0.39867756523943482</v>
      </c>
      <c r="AS445" s="14">
        <v>0.61666261492833307</v>
      </c>
      <c r="AT445" s="14">
        <v>0.19186449294237509</v>
      </c>
      <c r="AU445" s="14">
        <v>-0.62393496588206476</v>
      </c>
      <c r="AV445" s="14">
        <v>-0.22414055955276957</v>
      </c>
      <c r="AW445" s="14">
        <v>-8.6805021600295421E-2</v>
      </c>
      <c r="AX445" s="14">
        <v>-0.53231072163456172</v>
      </c>
      <c r="AY445" s="14">
        <v>0.42792290755014328</v>
      </c>
      <c r="AZ445" s="14">
        <v>-0.63051691011835898</v>
      </c>
      <c r="BA445" s="14">
        <v>-0.13256426696340498</v>
      </c>
      <c r="BB445" s="14">
        <v>0.2235175763716955</v>
      </c>
      <c r="BC445" s="14">
        <v>0.28115617034833185</v>
      </c>
      <c r="BD445" s="14">
        <v>0.45610468238536067</v>
      </c>
      <c r="BE445" s="14">
        <v>0.38477213432777913</v>
      </c>
      <c r="BF445" s="14">
        <v>8.3237168994936855E-2</v>
      </c>
      <c r="BK445" s="16">
        <v>0.61761299416395121</v>
      </c>
      <c r="BL445" s="16">
        <v>-9.8196257302993306E-2</v>
      </c>
      <c r="BN445" s="17">
        <f t="shared" si="20"/>
        <v>0</v>
      </c>
    </row>
    <row r="446" spans="1:66" x14ac:dyDescent="0.2">
      <c r="A446">
        <v>1.085029415345709</v>
      </c>
      <c r="B446">
        <v>-0.52460879034686136</v>
      </c>
      <c r="C446">
        <v>1.0290912472911169</v>
      </c>
      <c r="D446">
        <v>0.93854147785665043</v>
      </c>
      <c r="E446">
        <v>0.33827276578220411</v>
      </c>
      <c r="F446">
        <v>0.21845200078389801</v>
      </c>
      <c r="G446">
        <v>0.31155493671200479</v>
      </c>
      <c r="H446">
        <v>0.81367093952409086</v>
      </c>
      <c r="I446">
        <v>0.69638947980888022</v>
      </c>
      <c r="J446">
        <v>0.54339674571010166</v>
      </c>
      <c r="M446" s="13">
        <v>1</v>
      </c>
      <c r="O446" s="10">
        <f t="shared" si="18"/>
        <v>0</v>
      </c>
      <c r="P446" s="10">
        <f t="shared" si="19"/>
        <v>1</v>
      </c>
      <c r="R446" s="14">
        <v>-0.84816666336702229</v>
      </c>
      <c r="S446" s="14">
        <v>-1.1251241498512301</v>
      </c>
      <c r="T446" s="14">
        <v>-0.81378785696676392</v>
      </c>
      <c r="U446" s="14">
        <v>-0.88234202040594223</v>
      </c>
      <c r="V446" s="14">
        <v>-0.63547301783960142</v>
      </c>
      <c r="W446" s="14">
        <v>1.1302736778455749</v>
      </c>
      <c r="X446" s="14">
        <v>1.0654133364211438</v>
      </c>
      <c r="Y446" s="14">
        <v>0.82642464461632892</v>
      </c>
      <c r="Z446" s="14">
        <v>-1.0441069149608286</v>
      </c>
      <c r="AA446" s="14">
        <v>-0.29252151129385595</v>
      </c>
      <c r="AB446" s="14">
        <v>0.66287916819246084</v>
      </c>
      <c r="AC446" s="14">
        <v>-0.40421945189272479</v>
      </c>
      <c r="AD446" s="14">
        <v>1.096029711139511</v>
      </c>
      <c r="AE446" s="14">
        <v>-0.66247980931628869</v>
      </c>
      <c r="AF446" s="14">
        <v>-0.37104745176905285</v>
      </c>
      <c r="AG446" s="14">
        <v>-0.30569350445213617</v>
      </c>
      <c r="AH446" s="14">
        <v>-1.1853730233890913E-2</v>
      </c>
      <c r="AI446" s="14">
        <v>0.31884065450093224</v>
      </c>
      <c r="AJ446" s="14">
        <v>1.5503574206951329</v>
      </c>
      <c r="AK446" s="14">
        <v>2.300180274886221E-2</v>
      </c>
      <c r="AM446" s="14">
        <v>-0.77862964793377554</v>
      </c>
      <c r="AN446" s="14">
        <v>-0.72700773966436205</v>
      </c>
      <c r="AO446" s="14">
        <v>-0.57459760032772056</v>
      </c>
      <c r="AP446" s="14">
        <v>-8.1142061634084023E-2</v>
      </c>
      <c r="AQ446" s="14">
        <v>-0.76793372046271025</v>
      </c>
      <c r="AR446" s="14">
        <v>0.63727463641355109</v>
      </c>
      <c r="AS446" s="14">
        <v>0.81275586325836047</v>
      </c>
      <c r="AT446" s="14">
        <v>0.38818365399350924</v>
      </c>
      <c r="AU446" s="14">
        <v>-0.7702368974008289</v>
      </c>
      <c r="AV446" s="14">
        <v>-0.67984544083481224</v>
      </c>
      <c r="AW446" s="14">
        <v>0.24365518826807533</v>
      </c>
      <c r="AX446" s="14">
        <v>-0.77760752198678507</v>
      </c>
      <c r="AY446" s="14">
        <v>0.57586583114267786</v>
      </c>
      <c r="AZ446" s="14">
        <v>-0.87171942583529527</v>
      </c>
      <c r="BA446" s="14">
        <v>-0.43442483200850851</v>
      </c>
      <c r="BB446" s="14">
        <v>-3.5865512228785798E-2</v>
      </c>
      <c r="BC446" s="14">
        <v>0.42641182551027917</v>
      </c>
      <c r="BD446" s="14">
        <v>0.61162511203462921</v>
      </c>
      <c r="BE446" s="14">
        <v>0.66135149147629835</v>
      </c>
      <c r="BF446" s="14">
        <v>0.47349236307248016</v>
      </c>
      <c r="BK446" s="16">
        <v>0.61639896549768947</v>
      </c>
      <c r="BL446" s="16">
        <v>-0.38919326834363532</v>
      </c>
      <c r="BN446" s="17">
        <f t="shared" si="20"/>
        <v>0</v>
      </c>
    </row>
    <row r="447" spans="1:66" x14ac:dyDescent="0.2">
      <c r="A447">
        <v>-0.64202655135183351</v>
      </c>
      <c r="B447">
        <v>1.446817013064529</v>
      </c>
      <c r="C447">
        <v>-0.62641090286123591</v>
      </c>
      <c r="D447">
        <v>-0.64088173926740866</v>
      </c>
      <c r="E447">
        <v>-0.23822006774934709</v>
      </c>
      <c r="F447">
        <v>-0.45834957142761051</v>
      </c>
      <c r="G447">
        <v>-0.1945329653387001</v>
      </c>
      <c r="H447">
        <v>-0.71844923819096007</v>
      </c>
      <c r="I447">
        <v>-0.68179503500185668</v>
      </c>
      <c r="J447">
        <v>4.4717369416596313E-2</v>
      </c>
      <c r="M447" s="13">
        <v>0</v>
      </c>
      <c r="O447" s="10">
        <f t="shared" si="18"/>
        <v>1</v>
      </c>
      <c r="P447" s="10">
        <f t="shared" si="19"/>
        <v>0</v>
      </c>
      <c r="R447" s="14">
        <v>-4.2433797067172874E-2</v>
      </c>
      <c r="S447" s="14">
        <v>-0.33206331748405354</v>
      </c>
      <c r="T447" s="14">
        <v>0.53956126122005643</v>
      </c>
      <c r="U447" s="14">
        <v>4.263493252123518E-2</v>
      </c>
      <c r="V447" s="14">
        <v>0.65128437772311076</v>
      </c>
      <c r="W447" s="14">
        <v>0.78479907709393459</v>
      </c>
      <c r="X447" s="14">
        <v>0.10227082088750888</v>
      </c>
      <c r="Y447" s="14">
        <v>0.13818934300398902</v>
      </c>
      <c r="Z447" s="14">
        <v>-0.71240409777922253</v>
      </c>
      <c r="AA447" s="14">
        <v>1.4335705179156117</v>
      </c>
      <c r="AB447" s="14">
        <v>-1.0995871961139763</v>
      </c>
      <c r="AC447" s="14">
        <v>2.2248514282227405E-2</v>
      </c>
      <c r="AD447" s="14">
        <v>4.9708229222167596E-2</v>
      </c>
      <c r="AE447" s="14">
        <v>-0.17260380333409148</v>
      </c>
      <c r="AF447" s="14">
        <v>0.71467282350135319</v>
      </c>
      <c r="AG447" s="14">
        <v>1.10506444173045</v>
      </c>
      <c r="AH447" s="14">
        <v>-0.61809708499977478</v>
      </c>
      <c r="AI447" s="14">
        <v>-0.53663740207695121</v>
      </c>
      <c r="AJ447" s="14">
        <v>-0.15477848079493761</v>
      </c>
      <c r="AK447" s="14">
        <v>-0.61907820359534482</v>
      </c>
      <c r="AM447" s="14">
        <v>-0.29300543048735395</v>
      </c>
      <c r="AN447" s="14">
        <v>0.78868249890913766</v>
      </c>
      <c r="AO447" s="14">
        <v>0.43033085639329943</v>
      </c>
      <c r="AP447" s="14">
        <v>0.36545179250129445</v>
      </c>
      <c r="AQ447" s="14">
        <v>0.48403730151166857</v>
      </c>
      <c r="AR447" s="14">
        <v>-0.28256628063086187</v>
      </c>
      <c r="AS447" s="14">
        <v>-0.89485276830890892</v>
      </c>
      <c r="AT447" s="14">
        <v>-0.62776931828628035</v>
      </c>
      <c r="AU447" s="14">
        <v>0.5212385948378474</v>
      </c>
      <c r="AV447" s="14">
        <v>0.3942732943693707</v>
      </c>
      <c r="AW447" s="14">
        <v>0.59285533714025029</v>
      </c>
      <c r="AX447" s="14">
        <v>0.2779924910500946</v>
      </c>
      <c r="AY447" s="14">
        <v>-0.8110038548084485</v>
      </c>
      <c r="AZ447" s="14">
        <v>0.81264326050194335</v>
      </c>
      <c r="BA447" s="14">
        <v>0.21345399172661059</v>
      </c>
      <c r="BB447" s="14">
        <v>-0.11328729502384027</v>
      </c>
      <c r="BC447" s="14">
        <v>-0.28554016701771756</v>
      </c>
      <c r="BD447" s="14">
        <v>-0.82695773478548984</v>
      </c>
      <c r="BE447" s="14">
        <v>-0.82624904868712468</v>
      </c>
      <c r="BF447" s="14">
        <v>0.38277195529736774</v>
      </c>
      <c r="BK447" s="16">
        <v>0.60201410772594643</v>
      </c>
      <c r="BL447" s="16">
        <v>-0.3352093454851674</v>
      </c>
      <c r="BN447" s="17">
        <f t="shared" si="20"/>
        <v>0</v>
      </c>
    </row>
    <row r="448" spans="1:66" x14ac:dyDescent="0.2">
      <c r="A448">
        <v>1.0049672182140339</v>
      </c>
      <c r="B448">
        <v>2.2167519661381321</v>
      </c>
      <c r="C448">
        <v>1.0207909106144939</v>
      </c>
      <c r="D448">
        <v>0.91436222685639146</v>
      </c>
      <c r="E448">
        <v>0.49066610024251062</v>
      </c>
      <c r="F448">
        <v>0.97224455602221493</v>
      </c>
      <c r="G448">
        <v>0.83272323584401886</v>
      </c>
      <c r="H448">
        <v>1.0517706968717011</v>
      </c>
      <c r="I448">
        <v>0.95321605049074232</v>
      </c>
      <c r="J448">
        <v>1.194824759787203</v>
      </c>
      <c r="M448" s="13">
        <v>1</v>
      </c>
      <c r="O448" s="10">
        <f t="shared" si="18"/>
        <v>0</v>
      </c>
      <c r="P448" s="10">
        <f t="shared" si="19"/>
        <v>1</v>
      </c>
      <c r="R448" s="14">
        <v>-1.4501030682958289</v>
      </c>
      <c r="S448" s="14">
        <v>-0.8871159898180222</v>
      </c>
      <c r="T448" s="14">
        <v>-8.5381158048967287E-2</v>
      </c>
      <c r="U448" s="14">
        <v>0.33222604129151068</v>
      </c>
      <c r="V448" s="14">
        <v>1.2805870639400414</v>
      </c>
      <c r="W448" s="14">
        <v>0.67650616015838727</v>
      </c>
      <c r="X448" s="14">
        <v>-0.18604529701468964</v>
      </c>
      <c r="Y448" s="14">
        <v>0.65144649454492853</v>
      </c>
      <c r="Z448" s="14">
        <v>0.69644728149524826</v>
      </c>
      <c r="AA448" s="14">
        <v>0.2656131006577232</v>
      </c>
      <c r="AB448" s="14">
        <v>-0.28759707338562679</v>
      </c>
      <c r="AC448" s="14">
        <v>-0.84676927766396404</v>
      </c>
      <c r="AD448" s="14">
        <v>-0.42627108825648252</v>
      </c>
      <c r="AE448" s="14">
        <v>-0.30923456569296814</v>
      </c>
      <c r="AF448" s="14">
        <v>-1.5231190492252531</v>
      </c>
      <c r="AG448" s="14">
        <v>0.22298683568178757</v>
      </c>
      <c r="AH448" s="14">
        <v>-0.32370458200390956</v>
      </c>
      <c r="AI448" s="14">
        <v>0.16462832440230535</v>
      </c>
      <c r="AJ448" s="14">
        <v>-0.32965175318342482</v>
      </c>
      <c r="AK448" s="14">
        <v>0.2439332622087117</v>
      </c>
      <c r="AM448" s="14">
        <v>0.67862168894460018</v>
      </c>
      <c r="AN448" s="14">
        <v>-0.61790393219610018</v>
      </c>
      <c r="AO448" s="14">
        <v>-0.21881550581596895</v>
      </c>
      <c r="AP448" s="14">
        <v>-0.16782280031625144</v>
      </c>
      <c r="AQ448" s="14">
        <v>-0.55305638530520362</v>
      </c>
      <c r="AR448" s="14">
        <v>-0.5808600640212398</v>
      </c>
      <c r="AS448" s="14">
        <v>0.70385450334730693</v>
      </c>
      <c r="AT448" s="14">
        <v>0.6572060036619819</v>
      </c>
      <c r="AU448" s="14">
        <v>4.0369123287717738E-3</v>
      </c>
      <c r="AV448" s="14">
        <v>-0.3814980228912519</v>
      </c>
      <c r="AW448" s="14">
        <v>-5.5523662817421104E-2</v>
      </c>
      <c r="AX448" s="14">
        <v>0.21146734680925119</v>
      </c>
      <c r="AY448" s="14">
        <v>0.65834964448966804</v>
      </c>
      <c r="AZ448" s="14">
        <v>-0.48318347118596444</v>
      </c>
      <c r="BA448" s="14">
        <v>0.46713323529909667</v>
      </c>
      <c r="BB448" s="14">
        <v>-0.38657733352577689</v>
      </c>
      <c r="BC448" s="14">
        <v>0.42820088503022352</v>
      </c>
      <c r="BD448" s="14">
        <v>0.61954273822809147</v>
      </c>
      <c r="BE448" s="14">
        <v>0.70327149063434968</v>
      </c>
      <c r="BF448" s="14">
        <v>-0.76698405698606686</v>
      </c>
      <c r="BK448" s="16">
        <v>0.25593031120540005</v>
      </c>
      <c r="BL448" s="16">
        <v>1.0194043428945401</v>
      </c>
      <c r="BN448" s="17">
        <f t="shared" si="20"/>
        <v>1</v>
      </c>
    </row>
    <row r="449" spans="1:66" x14ac:dyDescent="0.2">
      <c r="A449">
        <v>0.1614547841481821</v>
      </c>
      <c r="B449">
        <v>-0.32599499671959481</v>
      </c>
      <c r="C449">
        <v>0.13182485254822701</v>
      </c>
      <c r="D449">
        <v>3.1243868894551809E-2</v>
      </c>
      <c r="E449">
        <v>-0.29917740153346972</v>
      </c>
      <c r="F449">
        <v>-0.62844881251099394</v>
      </c>
      <c r="G449">
        <v>-0.70931126570744762</v>
      </c>
      <c r="H449">
        <v>-4.1499661481322883E-3</v>
      </c>
      <c r="I449">
        <v>-0.1227987197798176</v>
      </c>
      <c r="J449">
        <v>-0.51116786926253044</v>
      </c>
      <c r="M449" s="13">
        <v>0</v>
      </c>
      <c r="O449" s="10">
        <f t="shared" si="18"/>
        <v>1</v>
      </c>
      <c r="P449" s="10">
        <f t="shared" si="19"/>
        <v>0</v>
      </c>
      <c r="R449" s="14">
        <v>-0.57642798460492706</v>
      </c>
      <c r="S449" s="14">
        <v>-1.0739556628702989</v>
      </c>
      <c r="T449" s="14">
        <v>-0.612485127709536</v>
      </c>
      <c r="U449" s="14">
        <v>-0.12219816265416661</v>
      </c>
      <c r="V449" s="14">
        <v>-0.44424352513217624</v>
      </c>
      <c r="W449" s="14">
        <v>0.84622506600896363</v>
      </c>
      <c r="X449" s="14">
        <v>1.0608255432738349</v>
      </c>
      <c r="Y449" s="14">
        <v>0.48459873711416079</v>
      </c>
      <c r="Z449" s="14">
        <v>-0.89076651618232516</v>
      </c>
      <c r="AA449" s="14">
        <v>8.2786719466798719E-2</v>
      </c>
      <c r="AB449" s="14">
        <v>-0.12870100005859922</v>
      </c>
      <c r="AC449" s="14">
        <v>-0.36398876772957001</v>
      </c>
      <c r="AD449" s="14">
        <v>0.9920532443047384</v>
      </c>
      <c r="AE449" s="14">
        <v>-0.65851568636215818</v>
      </c>
      <c r="AF449" s="14">
        <v>-4.1321916687723559E-2</v>
      </c>
      <c r="AG449" s="14">
        <v>0.45495028311856389</v>
      </c>
      <c r="AH449" s="14">
        <v>-0.19675147791426084</v>
      </c>
      <c r="AI449" s="14">
        <v>0.25566552352221117</v>
      </c>
      <c r="AJ449" s="14">
        <v>1.3690258742225381</v>
      </c>
      <c r="AK449" s="14">
        <v>-0.51548369703362573</v>
      </c>
      <c r="AM449" s="14">
        <v>-0.58796278407550784</v>
      </c>
      <c r="AN449" s="14">
        <v>-0.69861468171574848</v>
      </c>
      <c r="AO449" s="14">
        <v>-0.42660970646699409</v>
      </c>
      <c r="AP449" s="14">
        <v>0.16092673741872271</v>
      </c>
      <c r="AQ449" s="14">
        <v>-0.53433825859285389</v>
      </c>
      <c r="AR449" s="14">
        <v>0.42261694190158877</v>
      </c>
      <c r="AS449" s="14">
        <v>0.75140206931221687</v>
      </c>
      <c r="AT449" s="14">
        <v>0.50857501821290574</v>
      </c>
      <c r="AU449" s="14">
        <v>-0.56673083187853279</v>
      </c>
      <c r="AV449" s="14">
        <v>-0.48445348318042142</v>
      </c>
      <c r="AW449" s="14">
        <v>-0.22112934927913286</v>
      </c>
      <c r="AX449" s="14">
        <v>-0.6088956830295339</v>
      </c>
      <c r="AY449" s="14">
        <v>0.56778365408442988</v>
      </c>
      <c r="AZ449" s="14">
        <v>-0.79462176616859181</v>
      </c>
      <c r="BA449" s="14">
        <v>-0.22296649276961225</v>
      </c>
      <c r="BB449" s="14">
        <v>0.17209458494119761</v>
      </c>
      <c r="BC449" s="14">
        <v>0.38994362207891181</v>
      </c>
      <c r="BD449" s="14">
        <v>0.62913466201563462</v>
      </c>
      <c r="BE449" s="14">
        <v>0.57216627133908837</v>
      </c>
      <c r="BF449" s="14">
        <v>0.20969773914377585</v>
      </c>
      <c r="BK449" s="16">
        <v>0.75309161364803212</v>
      </c>
      <c r="BL449" s="16">
        <v>-0.48102351455216819</v>
      </c>
      <c r="BN449" s="17">
        <f t="shared" si="20"/>
        <v>0</v>
      </c>
    </row>
    <row r="450" spans="1:66" x14ac:dyDescent="0.2">
      <c r="A450">
        <v>8.4251951199781613E-2</v>
      </c>
      <c r="B450">
        <v>8.594472339621817E-2</v>
      </c>
      <c r="C450">
        <v>6.4177108633753963E-2</v>
      </c>
      <c r="D450">
        <v>-1.222121326067536E-2</v>
      </c>
      <c r="E450">
        <v>-0.50174902904778007</v>
      </c>
      <c r="F450">
        <v>-3.9796336808439893E-2</v>
      </c>
      <c r="G450">
        <v>-0.53933729860455926</v>
      </c>
      <c r="H450">
        <v>-3.106559089177487E-2</v>
      </c>
      <c r="I450">
        <v>-0.1210275020509772</v>
      </c>
      <c r="J450">
        <v>-0.31858478280203562</v>
      </c>
      <c r="M450" s="13">
        <v>0</v>
      </c>
      <c r="O450" s="10">
        <f t="shared" si="18"/>
        <v>1</v>
      </c>
      <c r="P450" s="10">
        <f t="shared" si="19"/>
        <v>0</v>
      </c>
      <c r="R450" s="14">
        <v>-0.83338132139344756</v>
      </c>
      <c r="S450" s="14">
        <v>-1.1248349442968579</v>
      </c>
      <c r="T450" s="14">
        <v>-0.80373792853791548</v>
      </c>
      <c r="U450" s="14">
        <v>-0.62624657815350637</v>
      </c>
      <c r="V450" s="14">
        <v>-0.63833215410251021</v>
      </c>
      <c r="W450" s="14">
        <v>1.1379286022073074</v>
      </c>
      <c r="X450" s="14">
        <v>1.0653458687014297</v>
      </c>
      <c r="Y450" s="14">
        <v>0.82229121953897888</v>
      </c>
      <c r="Z450" s="14">
        <v>-0.96073214723489997</v>
      </c>
      <c r="AA450" s="14">
        <v>-0.28704917954923359</v>
      </c>
      <c r="AB450" s="14">
        <v>0.62234179394650702</v>
      </c>
      <c r="AC450" s="14">
        <v>-0.40051666187295698</v>
      </c>
      <c r="AD450" s="14">
        <v>1.0699203465106273</v>
      </c>
      <c r="AE450" s="14">
        <v>-0.66246712096868654</v>
      </c>
      <c r="AF450" s="14">
        <v>-0.3282592935493418</v>
      </c>
      <c r="AG450" s="14">
        <v>-0.20609000003819944</v>
      </c>
      <c r="AH450" s="14">
        <v>-4.4095759187081529E-2</v>
      </c>
      <c r="AI450" s="14">
        <v>0.31241334485733208</v>
      </c>
      <c r="AJ450" s="14">
        <v>1.5462191529674514</v>
      </c>
      <c r="AK450" s="14">
        <v>-2.7169411507192875E-2</v>
      </c>
      <c r="AM450" s="14">
        <v>-0.42854145254747616</v>
      </c>
      <c r="AN450" s="14">
        <v>-0.53423305949136612</v>
      </c>
      <c r="AO450" s="14">
        <v>-0.25638964529367392</v>
      </c>
      <c r="AP450" s="14">
        <v>-5.8447952748792137E-2</v>
      </c>
      <c r="AQ450" s="14">
        <v>-0.50146194950539391</v>
      </c>
      <c r="AR450" s="14">
        <v>0.18107195543202526</v>
      </c>
      <c r="AS450" s="14">
        <v>0.62983810495346415</v>
      </c>
      <c r="AT450" s="14">
        <v>0.41036398506409999</v>
      </c>
      <c r="AU450" s="14">
        <v>-0.51054775167905264</v>
      </c>
      <c r="AV450" s="14">
        <v>-0.43530641701770489</v>
      </c>
      <c r="AW450" s="14">
        <v>-9.0987352290349877E-2</v>
      </c>
      <c r="AX450" s="14">
        <v>-0.46862397074843898</v>
      </c>
      <c r="AY450" s="14">
        <v>0.43105348894705342</v>
      </c>
      <c r="AZ450" s="14">
        <v>-0.64036446202425801</v>
      </c>
      <c r="BA450" s="14">
        <v>-8.5399560165515379E-2</v>
      </c>
      <c r="BB450" s="14">
        <v>5.0779386838102963E-3</v>
      </c>
      <c r="BC450" s="14">
        <v>0.2889355262900612</v>
      </c>
      <c r="BD450" s="14">
        <v>0.42109602964673515</v>
      </c>
      <c r="BE450" s="14">
        <v>0.4600947786724624</v>
      </c>
      <c r="BF450" s="14">
        <v>6.1982377554337706E-2</v>
      </c>
      <c r="BK450" s="16">
        <v>-0.5738400377700803</v>
      </c>
      <c r="BL450" s="16">
        <v>0.52741459139002167</v>
      </c>
      <c r="BN450" s="17">
        <f t="shared" si="20"/>
        <v>1</v>
      </c>
    </row>
    <row r="451" spans="1:66" x14ac:dyDescent="0.2">
      <c r="A451">
        <v>1.96285421961085</v>
      </c>
      <c r="B451">
        <v>0.37528333633470579</v>
      </c>
      <c r="C451">
        <v>1.884025924983231</v>
      </c>
      <c r="D451">
        <v>2.072663489059273</v>
      </c>
      <c r="E451">
        <v>0.2323408137793076</v>
      </c>
      <c r="F451">
        <v>0.81603096727216895</v>
      </c>
      <c r="G451">
        <v>1.6652122747223761</v>
      </c>
      <c r="H451">
        <v>1.911000255995682</v>
      </c>
      <c r="I451">
        <v>1.9893784218623931</v>
      </c>
      <c r="J451">
        <v>1.6590608157961719</v>
      </c>
      <c r="M451" s="13">
        <v>1</v>
      </c>
      <c r="O451" s="10">
        <f t="shared" ref="O451:O456" si="21">IF(M451=0,1,0)</f>
        <v>0</v>
      </c>
      <c r="P451" s="10">
        <f t="shared" ref="P451:P456" si="22">IF(M451=1,1,0)</f>
        <v>1</v>
      </c>
      <c r="R451" s="14">
        <v>-0.33846853866088777</v>
      </c>
      <c r="S451" s="14">
        <v>1.00953749081369</v>
      </c>
      <c r="T451" s="14">
        <v>0.39780854216818418</v>
      </c>
      <c r="U451" s="14">
        <v>-8.8593680739670944E-2</v>
      </c>
      <c r="V451" s="14">
        <v>1.1218731947106075</v>
      </c>
      <c r="W451" s="14">
        <v>3.9194600634453347E-2</v>
      </c>
      <c r="X451" s="14">
        <v>-1.4655633797454295</v>
      </c>
      <c r="Y451" s="14">
        <v>-0.71853838980683271</v>
      </c>
      <c r="Z451" s="14">
        <v>0.66201068274313613</v>
      </c>
      <c r="AA451" s="14">
        <v>1.0921687892021308</v>
      </c>
      <c r="AB451" s="14">
        <v>0.24800526721337984</v>
      </c>
      <c r="AC451" s="14">
        <v>0.94224624977436522</v>
      </c>
      <c r="AD451" s="14">
        <v>-0.81410690990273504</v>
      </c>
      <c r="AE451" s="14">
        <v>1.6850832870011585</v>
      </c>
      <c r="AF451" s="14">
        <v>0.24240151793425868</v>
      </c>
      <c r="AG451" s="14">
        <v>0.20960054857077715</v>
      </c>
      <c r="AH451" s="14">
        <v>-0.94206455028116609</v>
      </c>
      <c r="AI451" s="14">
        <v>-1.602717860056639</v>
      </c>
      <c r="AJ451" s="14">
        <v>-0.55604001870016129</v>
      </c>
      <c r="AK451" s="14">
        <v>-9.8631586958336404E-2</v>
      </c>
      <c r="AM451" s="14">
        <v>0.55287012798563018</v>
      </c>
      <c r="AN451" s="14">
        <v>0.25409813499728046</v>
      </c>
      <c r="AO451" s="14">
        <v>-0.17092486797698001</v>
      </c>
      <c r="AP451" s="14">
        <v>-0.74872200683774015</v>
      </c>
      <c r="AQ451" s="14">
        <v>0.23272452357421669</v>
      </c>
      <c r="AR451" s="14">
        <v>-0.4672409149545001</v>
      </c>
      <c r="AS451" s="14">
        <v>-3.3858771118037485E-2</v>
      </c>
      <c r="AT451" s="14">
        <v>-0.24749518434185869</v>
      </c>
      <c r="AU451" s="14">
        <v>0.16472039871999172</v>
      </c>
      <c r="AV451" s="14">
        <v>0.19526355546957719</v>
      </c>
      <c r="AW451" s="14">
        <v>0.5273352510392485</v>
      </c>
      <c r="AX451" s="14">
        <v>0.33109324317073302</v>
      </c>
      <c r="AY451" s="14">
        <v>0.18573857461100277</v>
      </c>
      <c r="AZ451" s="14">
        <v>0.42933266864666664</v>
      </c>
      <c r="BA451" s="14">
        <v>0.24137936680687175</v>
      </c>
      <c r="BB451" s="14">
        <v>-8.226495209140125E-2</v>
      </c>
      <c r="BC451" s="14">
        <v>-0.35397778194591289</v>
      </c>
      <c r="BD451" s="14">
        <v>-0.11936137611639495</v>
      </c>
      <c r="BE451" s="14">
        <v>6.9648261729081187E-2</v>
      </c>
      <c r="BF451" s="14">
        <v>-1.690719347779716E-2</v>
      </c>
      <c r="BK451" s="16">
        <v>-0.58835935582707122</v>
      </c>
      <c r="BL451" s="16">
        <v>0.44416939587627274</v>
      </c>
      <c r="BN451" s="17">
        <f t="shared" si="20"/>
        <v>1</v>
      </c>
    </row>
    <row r="452" spans="1:66" x14ac:dyDescent="0.2">
      <c r="A452">
        <v>-0.67633892155112274</v>
      </c>
      <c r="B452">
        <v>0.6253895949764493</v>
      </c>
      <c r="C452">
        <v>-0.65878221590006358</v>
      </c>
      <c r="D452">
        <v>-0.66765162430340963</v>
      </c>
      <c r="E452">
        <v>2.6052275668404491E-2</v>
      </c>
      <c r="F452">
        <v>-4.4755498356060359E-2</v>
      </c>
      <c r="G452">
        <v>-0.67710567194058457</v>
      </c>
      <c r="H452">
        <v>-0.75778745897013056</v>
      </c>
      <c r="I452">
        <v>-0.69366219378508753</v>
      </c>
      <c r="J452">
        <v>-0.44497679288963882</v>
      </c>
      <c r="M452" s="13">
        <v>0</v>
      </c>
      <c r="O452" s="10">
        <f t="shared" si="21"/>
        <v>1</v>
      </c>
      <c r="P452" s="10">
        <f t="shared" si="22"/>
        <v>0</v>
      </c>
      <c r="R452" s="14">
        <v>0.92605096684113453</v>
      </c>
      <c r="S452" s="14">
        <v>-1.115783907722546</v>
      </c>
      <c r="T452" s="14">
        <v>-0.59742694741482227</v>
      </c>
      <c r="U452" s="14">
        <v>-0.7964738921690363</v>
      </c>
      <c r="V452" s="14">
        <v>-0.56883841495523102</v>
      </c>
      <c r="W452" s="14">
        <v>-0.45026363496901906</v>
      </c>
      <c r="X452" s="14">
        <v>1.062987081304871</v>
      </c>
      <c r="Y452" s="14">
        <v>1.2194312763671102</v>
      </c>
      <c r="Z452" s="14">
        <v>0.27584063266583647</v>
      </c>
      <c r="AA452" s="14">
        <v>-0.21920829477841319</v>
      </c>
      <c r="AB452" s="14">
        <v>0.43785671127373482</v>
      </c>
      <c r="AC452" s="14">
        <v>0.64178863587762036</v>
      </c>
      <c r="AD452" s="14">
        <v>1.1296407839214642</v>
      </c>
      <c r="AE452" s="14">
        <v>-0.56007810976425887</v>
      </c>
      <c r="AF452" s="14">
        <v>0.57604982804678984</v>
      </c>
      <c r="AG452" s="14">
        <v>-0.58185917463210934</v>
      </c>
      <c r="AH452" s="14">
        <v>8.8056617828229378E-3</v>
      </c>
      <c r="AI452" s="14">
        <v>0.33145842285573202</v>
      </c>
      <c r="AJ452" s="14">
        <v>1.5645556408678276</v>
      </c>
      <c r="AK452" s="14">
        <v>-1.5252186050848593</v>
      </c>
      <c r="AM452" s="14">
        <v>0.30197754762541018</v>
      </c>
      <c r="AN452" s="14">
        <v>-0.22641801532583467</v>
      </c>
      <c r="AO452" s="14">
        <v>-0.36149425765252868</v>
      </c>
      <c r="AP452" s="14">
        <v>-0.3369696474377773</v>
      </c>
      <c r="AQ452" s="14">
        <v>-0.55926792722233842</v>
      </c>
      <c r="AR452" s="14">
        <v>0.12511508213446809</v>
      </c>
      <c r="AS452" s="14">
        <v>0.52045243173518119</v>
      </c>
      <c r="AT452" s="14">
        <v>-0.15907040419214638</v>
      </c>
      <c r="AU452" s="14">
        <v>-0.58373690998674632</v>
      </c>
      <c r="AV452" s="14">
        <v>-0.19036451956680658</v>
      </c>
      <c r="AW452" s="14">
        <v>0.58883148320153</v>
      </c>
      <c r="AX452" s="14">
        <v>-0.24594311629825216</v>
      </c>
      <c r="AY452" s="14">
        <v>0.41072427675389761</v>
      </c>
      <c r="AZ452" s="14">
        <v>-0.31799475565569663</v>
      </c>
      <c r="BA452" s="14">
        <v>4.2251737117893536E-3</v>
      </c>
      <c r="BB452" s="14">
        <v>-0.25058510407704193</v>
      </c>
      <c r="BC452" s="14">
        <v>8.5564195888252634E-2</v>
      </c>
      <c r="BD452" s="14">
        <v>0.25855365066734332</v>
      </c>
      <c r="BE452" s="14">
        <v>0.47447238923912899</v>
      </c>
      <c r="BF452" s="14">
        <v>-0.17241541032050625</v>
      </c>
      <c r="BK452" s="16">
        <v>0.43380688663757361</v>
      </c>
      <c r="BL452" s="16">
        <v>-6.4793489819652342E-2</v>
      </c>
      <c r="BN452" s="17">
        <f t="shared" si="20"/>
        <v>0</v>
      </c>
    </row>
    <row r="453" spans="1:66" x14ac:dyDescent="0.2">
      <c r="A453">
        <v>1.531090227936464</v>
      </c>
      <c r="B453">
        <v>1.47378925664354</v>
      </c>
      <c r="C453">
        <v>1.452408417798863</v>
      </c>
      <c r="D453">
        <v>1.5171164125057039</v>
      </c>
      <c r="E453">
        <v>-0.1168629367705904</v>
      </c>
      <c r="F453">
        <v>0.91893356938529447</v>
      </c>
      <c r="G453">
        <v>1.0295351977526259</v>
      </c>
      <c r="H453">
        <v>1.0331368028184089</v>
      </c>
      <c r="I453">
        <v>0.92487656682929542</v>
      </c>
      <c r="J453">
        <v>0.44006678485649259</v>
      </c>
      <c r="M453" s="13">
        <v>1</v>
      </c>
      <c r="O453" s="10">
        <f t="shared" si="21"/>
        <v>0</v>
      </c>
      <c r="P453" s="10">
        <f t="shared" si="22"/>
        <v>1</v>
      </c>
      <c r="R453" s="14">
        <v>-0.76959912293698851</v>
      </c>
      <c r="S453" s="14">
        <v>-1.1248313648724513</v>
      </c>
      <c r="T453" s="14">
        <v>-0.74870659511531157</v>
      </c>
      <c r="U453" s="14">
        <v>-0.29582190306999534</v>
      </c>
      <c r="V453" s="14">
        <v>-0.52089907379758704</v>
      </c>
      <c r="W453" s="14">
        <v>0.81140834322538047</v>
      </c>
      <c r="X453" s="14">
        <v>1.0649453277946073</v>
      </c>
      <c r="Y453" s="14">
        <v>1.0416087456966836</v>
      </c>
      <c r="Z453" s="14">
        <v>-0.64657579309492585</v>
      </c>
      <c r="AA453" s="14">
        <v>-0.23477616573337901</v>
      </c>
      <c r="AB453" s="14">
        <v>-0.19792976258331624</v>
      </c>
      <c r="AC453" s="14">
        <v>-0.38735718186297807</v>
      </c>
      <c r="AD453" s="14">
        <v>1.0863062930604503</v>
      </c>
      <c r="AE453" s="14">
        <v>-0.66223415291551446</v>
      </c>
      <c r="AF453" s="14">
        <v>-0.23693164466142957</v>
      </c>
      <c r="AG453" s="14">
        <v>0.14558197764182687</v>
      </c>
      <c r="AH453" s="14">
        <v>-6.6825625083925089E-2</v>
      </c>
      <c r="AI453" s="14">
        <v>0.3243749252244692</v>
      </c>
      <c r="AJ453" s="14">
        <v>1.5238590093957018</v>
      </c>
      <c r="AK453" s="14">
        <v>-0.34286559350269685</v>
      </c>
      <c r="AM453" s="14">
        <v>0.123131984768332</v>
      </c>
      <c r="AN453" s="14">
        <v>5.8139174300818004E-2</v>
      </c>
      <c r="AO453" s="14">
        <v>7.0342212869602308E-2</v>
      </c>
      <c r="AP453" s="14">
        <v>0.13987925655841349</v>
      </c>
      <c r="AQ453" s="14">
        <v>-0.12629267835106073</v>
      </c>
      <c r="AR453" s="14">
        <v>0.17941269196211698</v>
      </c>
      <c r="AS453" s="14">
        <v>4.7949198855638302E-2</v>
      </c>
      <c r="AT453" s="14">
        <v>-0.29133446027973425</v>
      </c>
      <c r="AU453" s="14">
        <v>-0.41933866876817111</v>
      </c>
      <c r="AV453" s="14">
        <v>0.12287057531146417</v>
      </c>
      <c r="AW453" s="14">
        <v>0.13480280160111949</v>
      </c>
      <c r="AX453" s="14">
        <v>-0.11066945122980719</v>
      </c>
      <c r="AY453" s="14">
        <v>-1.3382308416245357E-2</v>
      </c>
      <c r="AZ453" s="14">
        <v>9.0003479863685846E-3</v>
      </c>
      <c r="BA453" s="14">
        <v>-3.277200409882379E-2</v>
      </c>
      <c r="BB453" s="14">
        <v>2.5265018710863611E-2</v>
      </c>
      <c r="BC453" s="14">
        <v>-1.4178604335065034E-2</v>
      </c>
      <c r="BD453" s="14">
        <v>-5.3986127758931406E-2</v>
      </c>
      <c r="BE453" s="14">
        <v>-4.3992050799591016E-2</v>
      </c>
      <c r="BF453" s="14">
        <v>-0.10385130714288908</v>
      </c>
      <c r="BK453" s="16">
        <v>-0.54050957517631837</v>
      </c>
      <c r="BL453" s="16">
        <v>0.44969648144883018</v>
      </c>
      <c r="BN453" s="17">
        <f t="shared" si="20"/>
        <v>1</v>
      </c>
    </row>
    <row r="454" spans="1:66" x14ac:dyDescent="0.2">
      <c r="A454">
        <v>-0.63916718716855958</v>
      </c>
      <c r="B454">
        <v>2.265792409009062</v>
      </c>
      <c r="C454">
        <v>-0.66127231690305044</v>
      </c>
      <c r="D454">
        <v>-0.63742756055308591</v>
      </c>
      <c r="E454">
        <v>-0.75264049431779745</v>
      </c>
      <c r="F454">
        <v>-0.63018451905266104</v>
      </c>
      <c r="G454">
        <v>-0.78982525012460525</v>
      </c>
      <c r="H454">
        <v>-0.69567447879249322</v>
      </c>
      <c r="I454">
        <v>-0.6644371012592204</v>
      </c>
      <c r="J454">
        <v>-0.68967412047630172</v>
      </c>
      <c r="M454" s="13">
        <v>0</v>
      </c>
      <c r="O454" s="10">
        <f t="shared" si="21"/>
        <v>1</v>
      </c>
      <c r="P454" s="10">
        <f t="shared" si="22"/>
        <v>0</v>
      </c>
      <c r="R454" s="14">
        <v>-0.66630725151726677</v>
      </c>
      <c r="S454" s="14">
        <v>-1.0933741104451768</v>
      </c>
      <c r="T454" s="14">
        <v>-0.63484778940233222</v>
      </c>
      <c r="U454" s="14">
        <v>-0.77019152806969138</v>
      </c>
      <c r="V454" s="14">
        <v>-0.54824869616004868</v>
      </c>
      <c r="W454" s="14">
        <v>0.44085459169804003</v>
      </c>
      <c r="X454" s="14">
        <v>1.062362529148519</v>
      </c>
      <c r="Y454" s="14">
        <v>0.84038094601978441</v>
      </c>
      <c r="Z454" s="14">
        <v>-0.76513736539733734</v>
      </c>
      <c r="AA454" s="14">
        <v>-0.23481976271595362</v>
      </c>
      <c r="AB454" s="14">
        <v>0.46873282270261396</v>
      </c>
      <c r="AC454" s="14">
        <v>-0.35021712783386871</v>
      </c>
      <c r="AD454" s="14">
        <v>1.0539922712501186</v>
      </c>
      <c r="AE454" s="14">
        <v>-0.6579599092432995</v>
      </c>
      <c r="AF454" s="14">
        <v>-0.15518024646733919</v>
      </c>
      <c r="AG454" s="14">
        <v>-0.21344443502759369</v>
      </c>
      <c r="AH454" s="14">
        <v>-0.18162774712577712</v>
      </c>
      <c r="AI454" s="14">
        <v>0.24474650149245525</v>
      </c>
      <c r="AJ454" s="14">
        <v>1.4766547489476065</v>
      </c>
      <c r="AK454" s="14">
        <v>-0.51493270276120084</v>
      </c>
      <c r="AM454" s="14">
        <v>-0.46624044147332633</v>
      </c>
      <c r="AN454" s="14">
        <v>-0.67416920096311916</v>
      </c>
      <c r="AO454" s="14">
        <v>-0.64160980294120229</v>
      </c>
      <c r="AP454" s="14">
        <v>-0.21139291930944409</v>
      </c>
      <c r="AQ454" s="14">
        <v>-0.7460939583940418</v>
      </c>
      <c r="AR454" s="14">
        <v>0.38170958111919057</v>
      </c>
      <c r="AS454" s="14">
        <v>0.80340337346672208</v>
      </c>
      <c r="AT454" s="14">
        <v>0.32313443377754036</v>
      </c>
      <c r="AU454" s="14">
        <v>-0.6906748202738886</v>
      </c>
      <c r="AV454" s="14">
        <v>-0.57493647547477744</v>
      </c>
      <c r="AW454" s="14">
        <v>0.46168084981538482</v>
      </c>
      <c r="AX454" s="14">
        <v>-0.68298221833633577</v>
      </c>
      <c r="AY454" s="14">
        <v>0.64622132237736807</v>
      </c>
      <c r="AZ454" s="14">
        <v>-0.79909759282308257</v>
      </c>
      <c r="BA454" s="14">
        <v>-0.18633427569767638</v>
      </c>
      <c r="BB454" s="14">
        <v>-7.2978055647737974E-2</v>
      </c>
      <c r="BC454" s="14">
        <v>0.36114145030615963</v>
      </c>
      <c r="BD454" s="14">
        <v>0.60907956798030916</v>
      </c>
      <c r="BE454" s="14">
        <v>0.68655438293803783</v>
      </c>
      <c r="BF454" s="14">
        <v>0.26146463223258187</v>
      </c>
      <c r="BK454" s="16">
        <v>0.61126737376585083</v>
      </c>
      <c r="BL454" s="16">
        <v>-0.15024326505761415</v>
      </c>
      <c r="BN454" s="17">
        <f t="shared" si="20"/>
        <v>0</v>
      </c>
    </row>
    <row r="455" spans="1:66" x14ac:dyDescent="0.2">
      <c r="A455">
        <v>8.4251951199781613E-2</v>
      </c>
      <c r="B455">
        <v>-1.228339145544709</v>
      </c>
      <c r="C455">
        <v>4.7991452114340118E-2</v>
      </c>
      <c r="D455">
        <v>-5.6837688320677017E-2</v>
      </c>
      <c r="E455">
        <v>-0.23375977503343559</v>
      </c>
      <c r="F455">
        <v>-0.27808404917160517</v>
      </c>
      <c r="G455">
        <v>0.37315452478989358</v>
      </c>
      <c r="H455">
        <v>-0.1345872245211702</v>
      </c>
      <c r="I455">
        <v>-0.26378765099551571</v>
      </c>
      <c r="J455">
        <v>-0.15445487396789689</v>
      </c>
      <c r="M455" s="13">
        <v>0</v>
      </c>
      <c r="O455" s="10">
        <f t="shared" si="21"/>
        <v>1</v>
      </c>
      <c r="P455" s="10">
        <f t="shared" si="22"/>
        <v>0</v>
      </c>
      <c r="R455" s="14">
        <v>0.91556344309376647</v>
      </c>
      <c r="S455" s="14">
        <v>0.82003616981532423</v>
      </c>
      <c r="T455" s="14">
        <v>-0.55931621790428776</v>
      </c>
      <c r="U455" s="14">
        <v>-1.5917653751444303</v>
      </c>
      <c r="V455" s="14">
        <v>0.70256005743502481</v>
      </c>
      <c r="W455" s="14">
        <v>-0.28301543973276538</v>
      </c>
      <c r="X455" s="14">
        <v>-0.43689558770808518</v>
      </c>
      <c r="Y455" s="14">
        <v>-0.38826599546693585</v>
      </c>
      <c r="Z455" s="14">
        <v>-4.7982780695813326E-2</v>
      </c>
      <c r="AA455" s="14">
        <v>1.1442767893084731</v>
      </c>
      <c r="AB455" s="14">
        <v>0.78291059543872787</v>
      </c>
      <c r="AC455" s="14">
        <v>0.86160296991929997</v>
      </c>
      <c r="AD455" s="14">
        <v>0.71322888581763133</v>
      </c>
      <c r="AE455" s="14">
        <v>1.3305991961275836</v>
      </c>
      <c r="AF455" s="14">
        <v>0.49896267868587046</v>
      </c>
      <c r="AG455" s="14">
        <v>-0.12420604120100831</v>
      </c>
      <c r="AH455" s="14">
        <v>-1.2482139684817701</v>
      </c>
      <c r="AI455" s="14">
        <v>-1.4006777317639454</v>
      </c>
      <c r="AJ455" s="14">
        <v>0.55175612386381134</v>
      </c>
      <c r="AK455" s="14">
        <v>-0.57264188644603531</v>
      </c>
      <c r="AM455" s="14">
        <v>-0.71533192207353147</v>
      </c>
      <c r="AN455" s="14">
        <v>-0.80798964510560778</v>
      </c>
      <c r="AO455" s="14">
        <v>-0.51975986899255544</v>
      </c>
      <c r="AP455" s="14">
        <v>4.6069759527389273E-2</v>
      </c>
      <c r="AQ455" s="14">
        <v>-0.72836708746563783</v>
      </c>
      <c r="AR455" s="14">
        <v>0.5425565068455005</v>
      </c>
      <c r="AS455" s="14">
        <v>0.85642714669326869</v>
      </c>
      <c r="AT455" s="14">
        <v>0.63317529262489525</v>
      </c>
      <c r="AU455" s="14">
        <v>-0.68250024323991543</v>
      </c>
      <c r="AV455" s="14">
        <v>-0.68874710774556924</v>
      </c>
      <c r="AW455" s="14">
        <v>-0.14722756819174912</v>
      </c>
      <c r="AX455" s="14">
        <v>-0.70138855304480019</v>
      </c>
      <c r="AY455" s="14">
        <v>0.66592366400841019</v>
      </c>
      <c r="AZ455" s="14">
        <v>-0.89488335968249688</v>
      </c>
      <c r="BA455" s="14">
        <v>-0.34492834782068266</v>
      </c>
      <c r="BB455" s="14">
        <v>1.0525975695406616E-2</v>
      </c>
      <c r="BC455" s="14">
        <v>0.5194053132808043</v>
      </c>
      <c r="BD455" s="14">
        <v>0.72983423363396127</v>
      </c>
      <c r="BE455" s="14">
        <v>0.7298577846670472</v>
      </c>
      <c r="BF455" s="14">
        <v>0.24831717995371941</v>
      </c>
      <c r="BK455" s="16">
        <v>0.51702809731210042</v>
      </c>
      <c r="BL455" s="16">
        <v>-0.15721558576946593</v>
      </c>
      <c r="BN455" s="17">
        <f t="shared" si="20"/>
        <v>0</v>
      </c>
    </row>
    <row r="456" spans="1:66" x14ac:dyDescent="0.2">
      <c r="A456">
        <v>-0.46188660780556701</v>
      </c>
      <c r="B456">
        <v>-0.45104812604046701</v>
      </c>
      <c r="C456">
        <v>-0.50149083587806742</v>
      </c>
      <c r="D456">
        <v>-0.49235205455153219</v>
      </c>
      <c r="E456">
        <v>-0.94220293474403283</v>
      </c>
      <c r="F456">
        <v>-0.76519769218662936</v>
      </c>
      <c r="G456">
        <v>-0.70624406630107961</v>
      </c>
      <c r="H456">
        <v>-0.4368703947190048</v>
      </c>
      <c r="I456">
        <v>-0.46995739463254149</v>
      </c>
      <c r="J456">
        <v>-0.2800981162232275</v>
      </c>
      <c r="M456" s="13">
        <v>0</v>
      </c>
      <c r="O456" s="10">
        <f t="shared" si="21"/>
        <v>1</v>
      </c>
      <c r="P456" s="10">
        <f t="shared" si="22"/>
        <v>0</v>
      </c>
      <c r="R456" s="14">
        <v>0.45431342527333096</v>
      </c>
      <c r="S456" s="14">
        <v>-0.50334256561174984</v>
      </c>
      <c r="T456" s="14">
        <v>-0.69203208645054837</v>
      </c>
      <c r="U456" s="14">
        <v>-1.0414000229483711</v>
      </c>
      <c r="V456" s="14">
        <v>-0.5631046653292533</v>
      </c>
      <c r="W456" s="14">
        <v>0.34101133964952557</v>
      </c>
      <c r="X456" s="14">
        <v>1.0476016082002308</v>
      </c>
      <c r="Y456" s="14">
        <v>-0.20777989700377397</v>
      </c>
      <c r="Z456" s="14">
        <v>-0.8732520875756431</v>
      </c>
      <c r="AA456" s="14">
        <v>8.4602487901797252E-2</v>
      </c>
      <c r="AB456" s="14">
        <v>0.77563275049569458</v>
      </c>
      <c r="AC456" s="14">
        <v>-0.13823775036087638</v>
      </c>
      <c r="AD456" s="14">
        <v>1.0073698591505378</v>
      </c>
      <c r="AE456" s="14">
        <v>-0.3902782398296723</v>
      </c>
      <c r="AF456" s="14">
        <v>6.0720900578523196E-2</v>
      </c>
      <c r="AG456" s="14">
        <v>-0.41656656505569234</v>
      </c>
      <c r="AH456" s="14">
        <v>-0.47499687361846149</v>
      </c>
      <c r="AI456" s="14">
        <v>-3.6151357546834295E-2</v>
      </c>
      <c r="AJ456" s="14">
        <v>1.5059257571389899</v>
      </c>
      <c r="AK456" s="14">
        <v>-0.88222478286060635</v>
      </c>
      <c r="AM456" s="14">
        <v>4.7024672927059398E-2</v>
      </c>
      <c r="AN456" s="14">
        <v>-0.43907840915753832</v>
      </c>
      <c r="AO456" s="14">
        <v>-0.37954775289765857</v>
      </c>
      <c r="AP456" s="14">
        <v>-0.32959620998694855</v>
      </c>
      <c r="AQ456" s="14">
        <v>-0.74008972799723671</v>
      </c>
      <c r="AR456" s="14">
        <v>-9.7108888499381513E-2</v>
      </c>
      <c r="AS456" s="14">
        <v>0.66391007095900456</v>
      </c>
      <c r="AT456" s="14">
        <v>0.16123958719001125</v>
      </c>
      <c r="AU456" s="14">
        <v>-0.6540630639348598</v>
      </c>
      <c r="AV456" s="14">
        <v>-0.46371095341014412</v>
      </c>
      <c r="AW456" s="14">
        <v>0.5585890660706212</v>
      </c>
      <c r="AX456" s="14">
        <v>-0.44877216753432825</v>
      </c>
      <c r="AY456" s="14">
        <v>0.49252131123344389</v>
      </c>
      <c r="AZ456" s="14">
        <v>-0.54649934988724247</v>
      </c>
      <c r="BA456" s="14">
        <v>0.14411400290959983</v>
      </c>
      <c r="BB456" s="14">
        <v>-0.31837370349284555</v>
      </c>
      <c r="BC456" s="14">
        <v>0.28337547130594382</v>
      </c>
      <c r="BD456" s="14">
        <v>0.31782440621638081</v>
      </c>
      <c r="BE456" s="14">
        <v>0.55526621183276481</v>
      </c>
      <c r="BF456" s="14">
        <v>-0.21884930168222486</v>
      </c>
      <c r="BK456" s="16">
        <v>0.47311512342353651</v>
      </c>
      <c r="BL456" s="16">
        <v>-0.11744588066404432</v>
      </c>
      <c r="BN456" s="17">
        <f t="shared" si="20"/>
        <v>0</v>
      </c>
    </row>
    <row r="457" spans="1:66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R457" s="14">
        <v>0.28571544500015134</v>
      </c>
      <c r="S457" s="14">
        <v>9.5387949480730622E-2</v>
      </c>
      <c r="T457" s="14">
        <v>0.14976001687841789</v>
      </c>
      <c r="U457" s="14">
        <v>-0.50049657004823633</v>
      </c>
      <c r="V457" s="14">
        <v>-0.11910253624488842</v>
      </c>
      <c r="W457" s="14">
        <v>0.71325613878541416</v>
      </c>
      <c r="X457" s="14">
        <v>0.47072073923686863</v>
      </c>
      <c r="Y457" s="14">
        <v>-0.26881604426414929</v>
      </c>
      <c r="Z457" s="14">
        <v>-0.92650656902211515</v>
      </c>
      <c r="AA457" s="14">
        <v>1.013571491148368</v>
      </c>
      <c r="AB457" s="14">
        <v>0.36961284615618994</v>
      </c>
      <c r="AC457" s="14">
        <v>0.11263997579889279</v>
      </c>
      <c r="AD457" s="14">
        <v>0.30425326795773389</v>
      </c>
      <c r="AE457" s="14">
        <v>0.19268967447617566</v>
      </c>
      <c r="AF457" s="14">
        <v>0.38994092770379618</v>
      </c>
      <c r="AG457" s="14">
        <v>0.25965840775765869</v>
      </c>
      <c r="AH457" s="14">
        <v>-0.67483506145965444</v>
      </c>
      <c r="AI457" s="14">
        <v>-0.7890513463392268</v>
      </c>
      <c r="AJ457" s="14">
        <v>0.58150309738932771</v>
      </c>
      <c r="AK457" s="14">
        <v>-0.74874014704051461</v>
      </c>
      <c r="AM457" s="14">
        <v>-0.70362107016319619</v>
      </c>
      <c r="AN457" s="14">
        <v>-0.55444250633529513</v>
      </c>
      <c r="AO457" s="14">
        <v>-0.23243968569885193</v>
      </c>
      <c r="AP457" s="14">
        <v>0.30493195722512539</v>
      </c>
      <c r="AQ457" s="14">
        <v>-0.59519775616580084</v>
      </c>
      <c r="AR457" s="14">
        <v>0.48269565187724855</v>
      </c>
      <c r="AS457" s="14">
        <v>0.55110811692418271</v>
      </c>
      <c r="AT457" s="14">
        <v>0.2724117658540734</v>
      </c>
      <c r="AU457" s="14">
        <v>-0.63195427941160032</v>
      </c>
      <c r="AV457" s="14">
        <v>-0.50162904097496308</v>
      </c>
      <c r="AW457" s="14">
        <v>-5.0177716640163773E-2</v>
      </c>
      <c r="AX457" s="14">
        <v>-0.65272426662793603</v>
      </c>
      <c r="AY457" s="14">
        <v>0.26528136650715151</v>
      </c>
      <c r="AZ457" s="14">
        <v>-0.72343248104270153</v>
      </c>
      <c r="BA457" s="14">
        <v>-0.29201080483532016</v>
      </c>
      <c r="BB457" s="14">
        <v>-4.6992697828212408E-3</v>
      </c>
      <c r="BC457" s="14">
        <v>0.3716338496006471</v>
      </c>
      <c r="BD457" s="14">
        <v>0.37523971635141729</v>
      </c>
      <c r="BE457" s="14">
        <v>0.32917147723155549</v>
      </c>
      <c r="BF457" s="14">
        <v>0.26325027570368198</v>
      </c>
      <c r="BK457" s="16">
        <v>0.85992365469674614</v>
      </c>
      <c r="BL457" s="16">
        <v>-0.17267471207883783</v>
      </c>
      <c r="BN457" s="17">
        <f t="shared" si="20"/>
        <v>0</v>
      </c>
    </row>
    <row r="458" spans="1:66" x14ac:dyDescent="0.2">
      <c r="R458" s="14">
        <v>-0.68344360775719237</v>
      </c>
      <c r="S458" s="14">
        <v>-1.1138090333739812</v>
      </c>
      <c r="T458" s="14">
        <v>-0.82277313490598458</v>
      </c>
      <c r="U458" s="14">
        <v>-0.71083031505931427</v>
      </c>
      <c r="V458" s="14">
        <v>-0.62787259173465659</v>
      </c>
      <c r="W458" s="14">
        <v>0.68167764457322244</v>
      </c>
      <c r="X458" s="14">
        <v>1.0653204215769456</v>
      </c>
      <c r="Y458" s="14">
        <v>0.67739536508952081</v>
      </c>
      <c r="Z458" s="14">
        <v>-0.76883344727099157</v>
      </c>
      <c r="AA458" s="14">
        <v>-0.2643195842893844</v>
      </c>
      <c r="AB458" s="14">
        <v>0.73287046649422283</v>
      </c>
      <c r="AC458" s="14">
        <v>-0.38879860296506874</v>
      </c>
      <c r="AD458" s="14">
        <v>1.1043440734419592</v>
      </c>
      <c r="AE458" s="14">
        <v>-0.66189379650042057</v>
      </c>
      <c r="AF458" s="14">
        <v>-0.2113450647085714</v>
      </c>
      <c r="AG458" s="14">
        <v>-0.22256591139087711</v>
      </c>
      <c r="AH458" s="14">
        <v>-0.10026431744916364</v>
      </c>
      <c r="AI458" s="14">
        <v>0.31044935819305441</v>
      </c>
      <c r="AJ458" s="14">
        <v>1.5521551004514644</v>
      </c>
      <c r="AK458" s="14">
        <v>-0.31737367459103799</v>
      </c>
      <c r="AM458" s="14">
        <v>-8.2163333339602865E-2</v>
      </c>
      <c r="AN458" s="14">
        <v>-0.79312727741341094</v>
      </c>
      <c r="AO458" s="14">
        <v>-0.42713759843305549</v>
      </c>
      <c r="AP458" s="14">
        <v>-0.19120962096566491</v>
      </c>
      <c r="AQ458" s="14">
        <v>-0.69532687821095995</v>
      </c>
      <c r="AR458" s="14">
        <v>9.1120496240678181E-2</v>
      </c>
      <c r="AS458" s="14">
        <v>0.86012844048229431</v>
      </c>
      <c r="AT458" s="14">
        <v>0.72097979417868019</v>
      </c>
      <c r="AU458" s="14">
        <v>-0.44860893274796115</v>
      </c>
      <c r="AV458" s="14">
        <v>-0.63716788451976469</v>
      </c>
      <c r="AW458" s="14">
        <v>-0.16060896384543263</v>
      </c>
      <c r="AX458" s="14">
        <v>-0.31267751324901644</v>
      </c>
      <c r="AY458" s="14">
        <v>0.73634662717110289</v>
      </c>
      <c r="AZ458" s="14">
        <v>-0.82708404980727812</v>
      </c>
      <c r="BA458" s="14">
        <v>-2.7905376110465362E-2</v>
      </c>
      <c r="BB458" s="14">
        <v>-0.24328226766413352</v>
      </c>
      <c r="BC458" s="14">
        <v>0.5197535524639989</v>
      </c>
      <c r="BD458" s="14">
        <v>0.75954325509140364</v>
      </c>
      <c r="BE458" s="14">
        <v>0.80464338383954992</v>
      </c>
      <c r="BF458" s="14">
        <v>-0.36431926998041519</v>
      </c>
      <c r="BK458" s="16">
        <v>0.35830258462826359</v>
      </c>
      <c r="BL458" s="16">
        <v>-0.41470015153344153</v>
      </c>
      <c r="BN458" s="17">
        <f t="shared" si="20"/>
        <v>0</v>
      </c>
    </row>
    <row r="459" spans="1:66" x14ac:dyDescent="0.2">
      <c r="R459" s="14">
        <v>-0.82481543772692878</v>
      </c>
      <c r="S459" s="14">
        <v>-1.1316672279242082</v>
      </c>
      <c r="T459" s="14">
        <v>-0.79255575165686243</v>
      </c>
      <c r="U459" s="14">
        <v>-0.43607051649263268</v>
      </c>
      <c r="V459" s="14">
        <v>-0.62198112008255624</v>
      </c>
      <c r="W459" s="14">
        <v>0.91963027329275004</v>
      </c>
      <c r="X459" s="14">
        <v>1.0654298525651558</v>
      </c>
      <c r="Y459" s="14">
        <v>1.178777104632889</v>
      </c>
      <c r="Z459" s="14">
        <v>-0.68318813883387497</v>
      </c>
      <c r="AA459" s="14">
        <v>-0.29006224947887738</v>
      </c>
      <c r="AB459" s="14">
        <v>8.4400943034211362E-2</v>
      </c>
      <c r="AC459" s="14">
        <v>-0.39580246041522538</v>
      </c>
      <c r="AD459" s="14">
        <v>1.1089446637118499</v>
      </c>
      <c r="AE459" s="14">
        <v>-0.66249843932835861</v>
      </c>
      <c r="AF459" s="14">
        <v>-0.32177037323263613</v>
      </c>
      <c r="AG459" s="14">
        <v>-0.25230425243210963</v>
      </c>
      <c r="AH459" s="14">
        <v>6.2830635254794043E-2</v>
      </c>
      <c r="AI459" s="14">
        <v>0.3358576062598907</v>
      </c>
      <c r="AJ459" s="14">
        <v>1.5587384028249587</v>
      </c>
      <c r="AK459" s="14">
        <v>-0.29456991219455608</v>
      </c>
      <c r="AM459" s="14">
        <v>-8.4161881269451733E-2</v>
      </c>
      <c r="AN459" s="14">
        <v>-0.71830268695148525</v>
      </c>
      <c r="AO459" s="14">
        <v>-0.31146129994817329</v>
      </c>
      <c r="AP459" s="14">
        <v>-9.5322675056036948E-2</v>
      </c>
      <c r="AQ459" s="14">
        <v>-0.33669911187442286</v>
      </c>
      <c r="AR459" s="14">
        <v>-0.11512570184764385</v>
      </c>
      <c r="AS459" s="14">
        <v>0.71522833970746547</v>
      </c>
      <c r="AT459" s="14">
        <v>0.73980100081754729</v>
      </c>
      <c r="AU459" s="14">
        <v>5.9755478227296738E-2</v>
      </c>
      <c r="AV459" s="14">
        <v>-0.48405158777721546</v>
      </c>
      <c r="AW459" s="14">
        <v>-0.439992385254873</v>
      </c>
      <c r="AX459" s="14">
        <v>-9.0248071445572467E-2</v>
      </c>
      <c r="AY459" s="14">
        <v>0.63143674606370204</v>
      </c>
      <c r="AZ459" s="14">
        <v>-0.6948507739294868</v>
      </c>
      <c r="BA459" s="14">
        <v>4.874612783960125E-2</v>
      </c>
      <c r="BB459" s="14">
        <v>-7.212063180678413E-2</v>
      </c>
      <c r="BC459" s="14">
        <v>0.40204555453215229</v>
      </c>
      <c r="BD459" s="14">
        <v>0.70075274183793912</v>
      </c>
      <c r="BE459" s="14">
        <v>0.66429101269538293</v>
      </c>
      <c r="BF459" s="14">
        <v>-0.28616562663971451</v>
      </c>
      <c r="BK459" s="16">
        <v>-0.74025360298046394</v>
      </c>
      <c r="BL459" s="16">
        <v>0.34770807831552331</v>
      </c>
      <c r="BN459" s="17">
        <f t="shared" si="20"/>
        <v>1</v>
      </c>
    </row>
    <row r="460" spans="1:66" x14ac:dyDescent="0.2">
      <c r="R460" s="14">
        <v>-3.8855186639142586E-2</v>
      </c>
      <c r="S460" s="14">
        <v>-1.0230136123636822</v>
      </c>
      <c r="T460" s="14">
        <v>-0.72805488848103761</v>
      </c>
      <c r="U460" s="14">
        <v>-1.1010029288046845</v>
      </c>
      <c r="V460" s="14">
        <v>-0.65040542937382462</v>
      </c>
      <c r="W460" s="14">
        <v>-1.392111459309564E-2</v>
      </c>
      <c r="X460" s="14">
        <v>1.0638408636537493</v>
      </c>
      <c r="Y460" s="14">
        <v>0.25252383766680309</v>
      </c>
      <c r="Z460" s="14">
        <v>-0.94886114226435558</v>
      </c>
      <c r="AA460" s="14">
        <v>-0.24713699104321063</v>
      </c>
      <c r="AB460" s="14">
        <v>0.77953417440630368</v>
      </c>
      <c r="AC460" s="14">
        <v>-0.30028028047686361</v>
      </c>
      <c r="AD460" s="14">
        <v>1.093133029367402</v>
      </c>
      <c r="AE460" s="14">
        <v>-0.62828021404880441</v>
      </c>
      <c r="AF460" s="14">
        <v>7.9066149852713097E-2</v>
      </c>
      <c r="AG460" s="14">
        <v>-0.51731429697636122</v>
      </c>
      <c r="AH460" s="14">
        <v>-0.17436559239370553</v>
      </c>
      <c r="AI460" s="14">
        <v>0.13038556965377479</v>
      </c>
      <c r="AJ460" s="14">
        <v>1.5331178189844721</v>
      </c>
      <c r="AK460" s="14">
        <v>-0.94092388121771897</v>
      </c>
      <c r="AM460" s="14">
        <v>-0.18008710725940277</v>
      </c>
      <c r="AN460" s="14">
        <v>0.87543186421309094</v>
      </c>
      <c r="AO460" s="14">
        <v>0.48982325067042565</v>
      </c>
      <c r="AP460" s="14">
        <v>-0.24275245138327542</v>
      </c>
      <c r="AQ460" s="14">
        <v>0.29767732022578935</v>
      </c>
      <c r="AR460" s="14">
        <v>0.77173553031499398</v>
      </c>
      <c r="AS460" s="14">
        <v>-0.77754395093870621</v>
      </c>
      <c r="AT460" s="14">
        <v>-0.96315282428406812</v>
      </c>
      <c r="AU460" s="14">
        <v>-0.82095944137745935</v>
      </c>
      <c r="AV460" s="14">
        <v>0.63995622452350631</v>
      </c>
      <c r="AW460" s="14">
        <v>0.74657320493648116</v>
      </c>
      <c r="AX460" s="14">
        <v>-0.18411158331946093</v>
      </c>
      <c r="AY460" s="14">
        <v>-0.78618315944126349</v>
      </c>
      <c r="AZ460" s="14">
        <v>0.77335726274037619</v>
      </c>
      <c r="BA460" s="14">
        <v>-0.57148154765414405</v>
      </c>
      <c r="BB460" s="14">
        <v>0.10004591114711008</v>
      </c>
      <c r="BC460" s="14">
        <v>-0.66404178725877661</v>
      </c>
      <c r="BD460" s="14">
        <v>-0.86273977751957265</v>
      </c>
      <c r="BE460" s="14">
        <v>-0.79130354787814838</v>
      </c>
      <c r="BF460" s="14">
        <v>0.64430188792204635</v>
      </c>
      <c r="BK460" s="16">
        <v>0.45653147762326163</v>
      </c>
      <c r="BL460" s="16">
        <v>-0.55021118007335212</v>
      </c>
      <c r="BN460" s="17">
        <f t="shared" si="20"/>
        <v>0</v>
      </c>
    </row>
    <row r="461" spans="1:66" x14ac:dyDescent="0.2">
      <c r="R461" s="14">
        <v>-0.79370253258783618</v>
      </c>
      <c r="S461" s="14">
        <v>-1.1172942903016763</v>
      </c>
      <c r="T461" s="14">
        <v>-0.53541627220220733</v>
      </c>
      <c r="U461" s="14">
        <v>-0.23460709868874774</v>
      </c>
      <c r="V461" s="14">
        <v>-0.60966019007415628</v>
      </c>
      <c r="W461" s="14">
        <v>1.0883271833490131</v>
      </c>
      <c r="X461" s="14">
        <v>1.0635812148699049</v>
      </c>
      <c r="Y461" s="14">
        <v>0.78651061518740994</v>
      </c>
      <c r="Z461" s="14">
        <v>-0.99665486479805565</v>
      </c>
      <c r="AA461" s="14">
        <v>-0.24593596915096805</v>
      </c>
      <c r="AB461" s="14">
        <v>-1.2172335329583839E-2</v>
      </c>
      <c r="AC461" s="14">
        <v>-0.38320543385641992</v>
      </c>
      <c r="AD461" s="14">
        <v>0.93626844912562557</v>
      </c>
      <c r="AE461" s="14">
        <v>-0.66220461692962407</v>
      </c>
      <c r="AF461" s="14">
        <v>-0.18334208349381997</v>
      </c>
      <c r="AG461" s="14">
        <v>1.1840327300157438E-2</v>
      </c>
      <c r="AH461" s="14">
        <v>-9.6047184015429776E-2</v>
      </c>
      <c r="AI461" s="14">
        <v>0.25634219051634488</v>
      </c>
      <c r="AJ461" s="14">
        <v>1.446644079571815</v>
      </c>
      <c r="AK461" s="14">
        <v>-0.27936993759408885</v>
      </c>
      <c r="AM461" s="14">
        <v>1.6541407811413163E-2</v>
      </c>
      <c r="AN461" s="14">
        <v>-0.42762922137824516</v>
      </c>
      <c r="AO461" s="14">
        <v>-0.39895076300354593</v>
      </c>
      <c r="AP461" s="14">
        <v>-0.41107669161006638</v>
      </c>
      <c r="AQ461" s="14">
        <v>-0.36294750496605033</v>
      </c>
      <c r="AR461" s="14">
        <v>0.16400777469016056</v>
      </c>
      <c r="AS461" s="14">
        <v>0.71834582273790093</v>
      </c>
      <c r="AT461" s="14">
        <v>0.1555625926304687</v>
      </c>
      <c r="AU461" s="14">
        <v>-0.63765792789874143</v>
      </c>
      <c r="AV461" s="14">
        <v>-0.15848070389135999</v>
      </c>
      <c r="AW461" s="14">
        <v>0.17142015339445435</v>
      </c>
      <c r="AX461" s="14">
        <v>-0.36493048265014089</v>
      </c>
      <c r="AY461" s="14">
        <v>0.59545131613700042</v>
      </c>
      <c r="AZ461" s="14">
        <v>-0.50911624651085408</v>
      </c>
      <c r="BA461" s="14">
        <v>-1.2187237901040829E-2</v>
      </c>
      <c r="BB461" s="14">
        <v>0.22424347270901579</v>
      </c>
      <c r="BC461" s="14">
        <v>7.5803428279017024E-2</v>
      </c>
      <c r="BD461" s="14">
        <v>0.44450036422838024</v>
      </c>
      <c r="BE461" s="14">
        <v>0.53411545275499928</v>
      </c>
      <c r="BF461" s="14">
        <v>8.0388773110988812E-2</v>
      </c>
      <c r="BK461" s="16">
        <v>0.54608525151745424</v>
      </c>
      <c r="BL461" s="16">
        <v>-0.44877109935812265</v>
      </c>
      <c r="BN461" s="17">
        <f t="shared" si="20"/>
        <v>0</v>
      </c>
    </row>
    <row r="462" spans="1:66" x14ac:dyDescent="0.2">
      <c r="R462" s="14">
        <v>-0.43641315352112864</v>
      </c>
      <c r="S462" s="14">
        <v>-1.1299385010751104</v>
      </c>
      <c r="T462" s="14">
        <v>-0.76539855600801532</v>
      </c>
      <c r="U462" s="14">
        <v>-0.7966548110458731</v>
      </c>
      <c r="V462" s="14">
        <v>-0.60874551477305894</v>
      </c>
      <c r="W462" s="14">
        <v>2.5064219588110725E-2</v>
      </c>
      <c r="X462" s="14">
        <v>1.0652624904873822</v>
      </c>
      <c r="Y462" s="14">
        <v>1.2491443912518969</v>
      </c>
      <c r="Z462" s="14">
        <v>-9.4912655880422303E-2</v>
      </c>
      <c r="AA462" s="14">
        <v>-0.28636224161140622</v>
      </c>
      <c r="AB462" s="14">
        <v>0.35267277113412321</v>
      </c>
      <c r="AC462" s="14">
        <v>-0.26104738728356369</v>
      </c>
      <c r="AD462" s="14">
        <v>1.1283046163244868</v>
      </c>
      <c r="AE462" s="14">
        <v>-0.66159903555740263</v>
      </c>
      <c r="AF462" s="14">
        <v>-0.2288954066408293</v>
      </c>
      <c r="AG462" s="14">
        <v>-0.55077180260505465</v>
      </c>
      <c r="AH462" s="14">
        <v>7.2054897787589778E-2</v>
      </c>
      <c r="AI462" s="14">
        <v>0.33846517907432794</v>
      </c>
      <c r="AJ462" s="14">
        <v>1.5661730451175773</v>
      </c>
      <c r="AK462" s="14">
        <v>-1.1159662204739629</v>
      </c>
      <c r="AM462" s="14">
        <v>0.64035343391554045</v>
      </c>
      <c r="AN462" s="14">
        <v>0.84640336566150798</v>
      </c>
      <c r="AO462" s="14">
        <v>0.60647303743794601</v>
      </c>
      <c r="AP462" s="14">
        <v>-6.8352056165085412E-2</v>
      </c>
      <c r="AQ462" s="14">
        <v>0.80457553860839792</v>
      </c>
      <c r="AR462" s="14">
        <v>-5.0257626824319904E-2</v>
      </c>
      <c r="AS462" s="14">
        <v>-0.90821516938933144</v>
      </c>
      <c r="AT462" s="14">
        <v>-0.75625076503320932</v>
      </c>
      <c r="AU462" s="14">
        <v>0.75483826819238975</v>
      </c>
      <c r="AV462" s="14">
        <v>0.6980296242321069</v>
      </c>
      <c r="AW462" s="14">
        <v>-9.0017455801079518E-2</v>
      </c>
      <c r="AX462" s="14">
        <v>0.75339781055064359</v>
      </c>
      <c r="AY462" s="14">
        <v>-0.78370686686223889</v>
      </c>
      <c r="AZ462" s="14">
        <v>0.89748968767849358</v>
      </c>
      <c r="BA462" s="14">
        <v>-0.1678904535392865</v>
      </c>
      <c r="BB462" s="14">
        <v>-7.3602981242810908E-2</v>
      </c>
      <c r="BC462" s="14">
        <v>-0.60380348407208884</v>
      </c>
      <c r="BD462" s="14">
        <v>-0.74531253508909101</v>
      </c>
      <c r="BE462" s="14">
        <v>-0.76975431516342052</v>
      </c>
      <c r="BF462" s="14">
        <v>-2.02026656667816E-2</v>
      </c>
      <c r="BK462" s="16">
        <v>-0.39407702669332118</v>
      </c>
      <c r="BL462" s="16">
        <v>0.17956481140545302</v>
      </c>
      <c r="BN462" s="17">
        <f t="shared" si="20"/>
        <v>1</v>
      </c>
    </row>
    <row r="463" spans="1:66" x14ac:dyDescent="0.2">
      <c r="R463" s="14">
        <v>-0.32611316429002601</v>
      </c>
      <c r="S463" s="14">
        <v>-1.1261553854972897</v>
      </c>
      <c r="T463" s="14">
        <v>-0.68939138904261665</v>
      </c>
      <c r="U463" s="14">
        <v>-0.69839671929581604</v>
      </c>
      <c r="V463" s="14">
        <v>-0.31666691015126036</v>
      </c>
      <c r="W463" s="14">
        <v>-6.4707109046520828E-2</v>
      </c>
      <c r="X463" s="14">
        <v>1.0633571330207219</v>
      </c>
      <c r="Y463" s="14">
        <v>1.2944679202056417</v>
      </c>
      <c r="Z463" s="14">
        <v>0.36680244713714516</v>
      </c>
      <c r="AA463" s="14">
        <v>-0.24844359838305363</v>
      </c>
      <c r="AB463" s="14">
        <v>-0.57163339276451863</v>
      </c>
      <c r="AC463" s="14">
        <v>-0.10032108164091436</v>
      </c>
      <c r="AD463" s="14">
        <v>1.1156984094721327</v>
      </c>
      <c r="AE463" s="14">
        <v>-0.65864445027559038</v>
      </c>
      <c r="AF463" s="14">
        <v>-8.6395457512079554E-2</v>
      </c>
      <c r="AG463" s="14">
        <v>-0.35828432233529883</v>
      </c>
      <c r="AH463" s="14">
        <v>-6.5090903851675819E-2</v>
      </c>
      <c r="AI463" s="14">
        <v>0.33611871392849524</v>
      </c>
      <c r="AJ463" s="14">
        <v>1.5586803518158145</v>
      </c>
      <c r="AK463" s="14">
        <v>-1.0170531433299606</v>
      </c>
      <c r="AM463" s="14">
        <v>3.8008496471032438E-2</v>
      </c>
      <c r="AN463" s="14">
        <v>0.71731084643166676</v>
      </c>
      <c r="AO463" s="14">
        <v>0.47909650859203906</v>
      </c>
      <c r="AP463" s="14">
        <v>0.25294332653397766</v>
      </c>
      <c r="AQ463" s="14">
        <v>0.79307750277256128</v>
      </c>
      <c r="AR463" s="14">
        <v>-0.16996494414550284</v>
      </c>
      <c r="AS463" s="14">
        <v>-0.83897519270404874</v>
      </c>
      <c r="AT463" s="14">
        <v>-0.3929625273527953</v>
      </c>
      <c r="AU463" s="14">
        <v>0.73895471900440046</v>
      </c>
      <c r="AV463" s="14">
        <v>0.58751377321881015</v>
      </c>
      <c r="AW463" s="14">
        <v>-0.39638158221331671</v>
      </c>
      <c r="AX463" s="14">
        <v>0.50312349964043213</v>
      </c>
      <c r="AY463" s="14">
        <v>-0.69730456722582757</v>
      </c>
      <c r="AZ463" s="14">
        <v>0.78755266116717648</v>
      </c>
      <c r="BA463" s="14">
        <v>2.2175797495693875E-2</v>
      </c>
      <c r="BB463" s="14">
        <v>0.3171506709273299</v>
      </c>
      <c r="BC463" s="14">
        <v>-0.44329659723350745</v>
      </c>
      <c r="BD463" s="14">
        <v>-0.65614941879785194</v>
      </c>
      <c r="BE463" s="14">
        <v>-0.75406295996257355</v>
      </c>
      <c r="BF463" s="14">
        <v>0.29485027631147587</v>
      </c>
      <c r="BK463" s="16">
        <v>0.73019364485312366</v>
      </c>
      <c r="BL463" s="16">
        <v>0.28881409746496312</v>
      </c>
      <c r="BN463" s="17">
        <f t="shared" si="20"/>
        <v>0</v>
      </c>
    </row>
    <row r="464" spans="1:66" x14ac:dyDescent="0.2">
      <c r="R464" s="14">
        <v>-0.52965565087948618</v>
      </c>
      <c r="S464" s="14">
        <v>1.0358686275596403</v>
      </c>
      <c r="T464" s="14">
        <v>0.31584952501640429</v>
      </c>
      <c r="U464" s="14">
        <v>-1.1666754153304133</v>
      </c>
      <c r="V464" s="14">
        <v>0.85546283249678756</v>
      </c>
      <c r="W464" s="14">
        <v>0.70709496973954722</v>
      </c>
      <c r="X464" s="14">
        <v>-1.4655793911252424</v>
      </c>
      <c r="Y464" s="14">
        <v>-1.1221886166452473</v>
      </c>
      <c r="Z464" s="14">
        <v>-0.24680252064663133</v>
      </c>
      <c r="AA464" s="14">
        <v>1.2047795688917362</v>
      </c>
      <c r="AB464" s="14">
        <v>1.7074837390372157</v>
      </c>
      <c r="AC464" s="14">
        <v>-0.1809792200236624</v>
      </c>
      <c r="AD464" s="14">
        <v>-0.81063691591846165</v>
      </c>
      <c r="AE464" s="14">
        <v>1.6888363205167662</v>
      </c>
      <c r="AF464" s="14">
        <v>-1.3505191050367595</v>
      </c>
      <c r="AG464" s="14">
        <v>-0.22155329520136724</v>
      </c>
      <c r="AH464" s="14">
        <v>-1.3266668846526233</v>
      </c>
      <c r="AI464" s="14">
        <v>-1.6034786303681046</v>
      </c>
      <c r="AJ464" s="14">
        <v>-0.55536763138834422</v>
      </c>
      <c r="AK464" s="14">
        <v>0.25282960678923128</v>
      </c>
      <c r="AM464" s="14">
        <v>0.37377478716464407</v>
      </c>
      <c r="AN464" s="14">
        <v>-0.34107653091706008</v>
      </c>
      <c r="AO464" s="14">
        <v>-1.5219311257230351E-2</v>
      </c>
      <c r="AP464" s="14">
        <v>0.1702722107961421</v>
      </c>
      <c r="AQ464" s="14">
        <v>0.13283321699477327</v>
      </c>
      <c r="AR464" s="14">
        <v>-0.47746083152822277</v>
      </c>
      <c r="AS464" s="14">
        <v>0.23416963569173782</v>
      </c>
      <c r="AT464" s="14">
        <v>0.55217870488367238</v>
      </c>
      <c r="AU464" s="14">
        <v>0.44189724005054187</v>
      </c>
      <c r="AV464" s="14">
        <v>-3.0991609606739867E-3</v>
      </c>
      <c r="AW464" s="14">
        <v>-0.54657646857216458</v>
      </c>
      <c r="AX464" s="14">
        <v>0.22476458906051722</v>
      </c>
      <c r="AY464" s="14">
        <v>0.32395210853496165</v>
      </c>
      <c r="AZ464" s="14">
        <v>-0.12650687614665898</v>
      </c>
      <c r="BA464" s="14">
        <v>0.33975406444456979</v>
      </c>
      <c r="BB464" s="14">
        <v>8.240087236866657E-2</v>
      </c>
      <c r="BC464" s="14">
        <v>0.15734352249757913</v>
      </c>
      <c r="BD464" s="14">
        <v>0.3828612468322769</v>
      </c>
      <c r="BE464" s="14">
        <v>0.23886136191961449</v>
      </c>
      <c r="BF464" s="14">
        <v>-0.4654875737642003</v>
      </c>
      <c r="BK464" s="16">
        <v>-0.64410949062778933</v>
      </c>
      <c r="BL464" s="16">
        <v>0.40335487518413776</v>
      </c>
      <c r="BN464" s="17">
        <f t="shared" si="20"/>
        <v>1</v>
      </c>
    </row>
    <row r="465" spans="18:66" x14ac:dyDescent="0.2">
      <c r="R465" s="14">
        <v>-0.27090925877601446</v>
      </c>
      <c r="S465" s="14">
        <v>-0.50594944023661181</v>
      </c>
      <c r="T465" s="14">
        <v>-0.76060416232979056</v>
      </c>
      <c r="U465" s="14">
        <v>-1.1669510631915578</v>
      </c>
      <c r="V465" s="14">
        <v>-0.2144665535376109</v>
      </c>
      <c r="W465" s="14">
        <v>0.17862598537578439</v>
      </c>
      <c r="X465" s="14">
        <v>1.0499796429951844</v>
      </c>
      <c r="Y465" s="14">
        <v>-4.4196804273337775E-2</v>
      </c>
      <c r="Z465" s="14">
        <v>-0.80149391431384642</v>
      </c>
      <c r="AA465" s="14">
        <v>0.20182510687887584</v>
      </c>
      <c r="AB465" s="14">
        <v>0.74718824495889369</v>
      </c>
      <c r="AC465" s="14">
        <v>-0.33245473948722737</v>
      </c>
      <c r="AD465" s="14">
        <v>1.0638601215092982</v>
      </c>
      <c r="AE465" s="14">
        <v>-0.41750598868008421</v>
      </c>
      <c r="AF465" s="14">
        <v>-0.16551515273535877</v>
      </c>
      <c r="AG465" s="14">
        <v>7.2306389189046361E-2</v>
      </c>
      <c r="AH465" s="14">
        <v>-0.5403296710344383</v>
      </c>
      <c r="AI465" s="14">
        <v>1.128429012557064E-2</v>
      </c>
      <c r="AJ465" s="14">
        <v>1.31772392541099</v>
      </c>
      <c r="AK465" s="14">
        <v>-0.43606967245102496</v>
      </c>
      <c r="AM465" s="14">
        <v>9.9954489820371362E-2</v>
      </c>
      <c r="AN465" s="14">
        <v>0.49994029721804395</v>
      </c>
      <c r="AO465" s="14">
        <v>0.31202345966878192</v>
      </c>
      <c r="AP465" s="14">
        <v>0.3529664475969192</v>
      </c>
      <c r="AQ465" s="14">
        <v>5.4457991536314324E-2</v>
      </c>
      <c r="AR465" s="14">
        <v>9.6907912329964957E-2</v>
      </c>
      <c r="AS465" s="14">
        <v>-0.61652644851121985</v>
      </c>
      <c r="AT465" s="14">
        <v>-0.59289729171821437</v>
      </c>
      <c r="AU465" s="14">
        <v>-7.354977744979381E-2</v>
      </c>
      <c r="AV465" s="14">
        <v>0.26970824484934725</v>
      </c>
      <c r="AW465" s="14">
        <v>0.35904271317598635</v>
      </c>
      <c r="AX465" s="14">
        <v>6.6850669899193804E-2</v>
      </c>
      <c r="AY465" s="14">
        <v>-0.53717760654479418</v>
      </c>
      <c r="AZ465" s="14">
        <v>0.4931985681850572</v>
      </c>
      <c r="BA465" s="14">
        <v>-2.6633691749277932E-2</v>
      </c>
      <c r="BB465" s="14">
        <v>-0.23098725322623642</v>
      </c>
      <c r="BC465" s="14">
        <v>-0.16204053835190182</v>
      </c>
      <c r="BD465" s="14">
        <v>-0.51249847653901659</v>
      </c>
      <c r="BE465" s="14">
        <v>-0.50880765484742696</v>
      </c>
      <c r="BF465" s="14">
        <v>-7.4471519104706549E-2</v>
      </c>
      <c r="BK465" s="16">
        <v>0.64839809428683104</v>
      </c>
      <c r="BL465" s="16">
        <v>-0.13675522830237583</v>
      </c>
      <c r="BN465" s="17">
        <f t="shared" si="20"/>
        <v>0</v>
      </c>
    </row>
    <row r="466" spans="18:66" x14ac:dyDescent="0.2">
      <c r="R466" s="14">
        <v>0.49487469614070234</v>
      </c>
      <c r="S466" s="14">
        <v>1.0356474239350337</v>
      </c>
      <c r="T466" s="14">
        <v>0.43692175067879591</v>
      </c>
      <c r="U466" s="14">
        <v>-0.85803298013650209</v>
      </c>
      <c r="V466" s="14">
        <v>1.4979638303267957</v>
      </c>
      <c r="W466" s="14">
        <v>0.24229640206034969</v>
      </c>
      <c r="X466" s="14">
        <v>-1.4659112398043712</v>
      </c>
      <c r="Y466" s="14">
        <v>-1.0052708307745064</v>
      </c>
      <c r="Z466" s="14">
        <v>1.4027872802347199</v>
      </c>
      <c r="AA466" s="14">
        <v>1.2132602318516374</v>
      </c>
      <c r="AB466" s="14">
        <v>-0.21454639188420177</v>
      </c>
      <c r="AC466" s="14">
        <v>1.0639212111400633</v>
      </c>
      <c r="AD466" s="14">
        <v>-0.81220899113941525</v>
      </c>
      <c r="AE466" s="14">
        <v>1.6894012709028745</v>
      </c>
      <c r="AF466" s="14">
        <v>-0.12821676640107837</v>
      </c>
      <c r="AG466" s="14">
        <v>-0.14626261260513818</v>
      </c>
      <c r="AH466" s="14">
        <v>-1.2922714423684603</v>
      </c>
      <c r="AI466" s="14">
        <v>-1.5985149481409873</v>
      </c>
      <c r="AJ466" s="14">
        <v>-0.54922939104122448</v>
      </c>
      <c r="AK466" s="14">
        <v>-0.64479716335419324</v>
      </c>
      <c r="AM466" s="14">
        <v>-0.15984125741595515</v>
      </c>
      <c r="AN466" s="14">
        <v>-0.53720421219232195</v>
      </c>
      <c r="AO466" s="14">
        <v>-0.27398323961295357</v>
      </c>
      <c r="AP466" s="14">
        <v>0.17408497060238498</v>
      </c>
      <c r="AQ466" s="14">
        <v>-0.20993714882968356</v>
      </c>
      <c r="AR466" s="14">
        <v>-2.7433926636145089E-2</v>
      </c>
      <c r="AS466" s="14">
        <v>0.53807220000050726</v>
      </c>
      <c r="AT466" s="14">
        <v>0.4571130886940713</v>
      </c>
      <c r="AU466" s="14">
        <v>-0.15592510835120615</v>
      </c>
      <c r="AV466" s="14">
        <v>-0.21521979250194101</v>
      </c>
      <c r="AW466" s="14">
        <v>-0.28000673738394516</v>
      </c>
      <c r="AX466" s="14">
        <v>-0.28358317883128109</v>
      </c>
      <c r="AY466" s="14">
        <v>0.46454237685162414</v>
      </c>
      <c r="AZ466" s="14">
        <v>-0.53021870049852893</v>
      </c>
      <c r="BA466" s="14">
        <v>8.1849500503643632E-2</v>
      </c>
      <c r="BB466" s="14">
        <v>0.19273373721499809</v>
      </c>
      <c r="BC466" s="14">
        <v>0.2627714829093824</v>
      </c>
      <c r="BD466" s="14">
        <v>0.50758035318116268</v>
      </c>
      <c r="BE466" s="14">
        <v>0.37969341692888908</v>
      </c>
      <c r="BF466" s="14">
        <v>-7.0229888938025106E-2</v>
      </c>
      <c r="BK466" s="16">
        <v>0.40330963801571018</v>
      </c>
      <c r="BL466" s="16">
        <v>6.9314037334457651E-2</v>
      </c>
      <c r="BN466" s="17">
        <f t="shared" si="20"/>
        <v>0</v>
      </c>
    </row>
    <row r="467" spans="18:66" x14ac:dyDescent="0.2">
      <c r="R467" s="14">
        <v>-9.0626211669325718E-4</v>
      </c>
      <c r="S467" s="14">
        <v>1.0241548846948423</v>
      </c>
      <c r="T467" s="14">
        <v>0.40934311101193754</v>
      </c>
      <c r="U467" s="14">
        <v>-0.31130191839674354</v>
      </c>
      <c r="V467" s="14">
        <v>1.4913833483526866</v>
      </c>
      <c r="W467" s="14">
        <v>-7.8526769825843501E-3</v>
      </c>
      <c r="X467" s="14">
        <v>-1.4658447311368015</v>
      </c>
      <c r="Y467" s="14">
        <v>-0.41565306145546677</v>
      </c>
      <c r="Z467" s="14">
        <v>1.4052857542499693</v>
      </c>
      <c r="AA467" s="14">
        <v>1.1960162770571099</v>
      </c>
      <c r="AB467" s="14">
        <v>-0.27406539573684752</v>
      </c>
      <c r="AC467" s="14">
        <v>1.0339092192585251</v>
      </c>
      <c r="AD467" s="14">
        <v>-0.80737820865549692</v>
      </c>
      <c r="AE467" s="14">
        <v>1.688507050028075</v>
      </c>
      <c r="AF467" s="14">
        <v>0.10822733569622822</v>
      </c>
      <c r="AG467" s="14">
        <v>0.21619847881317356</v>
      </c>
      <c r="AH467" s="14">
        <v>-1.1078401915685741</v>
      </c>
      <c r="AI467" s="14">
        <v>-1.5898648501836594</v>
      </c>
      <c r="AJ467" s="14">
        <v>-0.55435932208479044</v>
      </c>
      <c r="AK467" s="14">
        <v>-0.19612853888924375</v>
      </c>
      <c r="AM467" s="14">
        <v>0.33524627863602241</v>
      </c>
      <c r="AN467" s="14">
        <v>-0.48050403447871259</v>
      </c>
      <c r="AO467" s="14">
        <v>-7.0659123796235249E-2</v>
      </c>
      <c r="AP467" s="14">
        <v>6.7642205111001262E-3</v>
      </c>
      <c r="AQ467" s="14">
        <v>-0.11001782517953858</v>
      </c>
      <c r="AR467" s="14">
        <v>-0.44941157659014747</v>
      </c>
      <c r="AS467" s="14">
        <v>0.40274039858641192</v>
      </c>
      <c r="AT467" s="14">
        <v>0.62840976352363298</v>
      </c>
      <c r="AU467" s="14">
        <v>0.36732018421906698</v>
      </c>
      <c r="AV467" s="14">
        <v>-0.24144762815504611</v>
      </c>
      <c r="AW467" s="14">
        <v>-0.4104352390311154</v>
      </c>
      <c r="AX467" s="14">
        <v>0.23086747346521924</v>
      </c>
      <c r="AY467" s="14">
        <v>0.42063702621672294</v>
      </c>
      <c r="AZ467" s="14">
        <v>-0.31786250067460592</v>
      </c>
      <c r="BA467" s="14">
        <v>0.29079030289202268</v>
      </c>
      <c r="BB467" s="14">
        <v>-0.14867356947109295</v>
      </c>
      <c r="BC467" s="14">
        <v>0.28028808735708283</v>
      </c>
      <c r="BD467" s="14">
        <v>0.48395491258029116</v>
      </c>
      <c r="BE467" s="14">
        <v>0.43361013037806373</v>
      </c>
      <c r="BF467" s="14">
        <v>-0.51524411645906609</v>
      </c>
      <c r="BK467" s="16">
        <v>-0.41361028264655642</v>
      </c>
      <c r="BL467" s="16">
        <v>0.57718708160044874</v>
      </c>
      <c r="BN467" s="17">
        <f t="shared" ref="BN467:BN472" si="23">IF(BK467&gt;BL467,0,1)</f>
        <v>1</v>
      </c>
    </row>
    <row r="468" spans="18:66" x14ac:dyDescent="0.2">
      <c r="R468" s="14">
        <v>0.63093888346005755</v>
      </c>
      <c r="S468" s="14">
        <v>-1.0592568321983351</v>
      </c>
      <c r="T468" s="14">
        <v>-0.14952875473999225</v>
      </c>
      <c r="U468" s="14">
        <v>-0.40324281354084557</v>
      </c>
      <c r="V468" s="14">
        <v>0.33229116636535455</v>
      </c>
      <c r="W468" s="14">
        <v>-0.27616029376188628</v>
      </c>
      <c r="X468" s="14">
        <v>0.98807262564903242</v>
      </c>
      <c r="Y468" s="14">
        <v>1.2062433555100522</v>
      </c>
      <c r="Z468" s="14">
        <v>0.41621765437958858</v>
      </c>
      <c r="AA468" s="14">
        <v>0.32597652340320005</v>
      </c>
      <c r="AB468" s="14">
        <v>-1.0101535555798025</v>
      </c>
      <c r="AC468" s="14">
        <v>0.60676584447502169</v>
      </c>
      <c r="AD468" s="14">
        <v>1.0555167667353138</v>
      </c>
      <c r="AE468" s="14">
        <v>-0.42406344460757411</v>
      </c>
      <c r="AF468" s="14">
        <v>0.64660944796461983</v>
      </c>
      <c r="AG468" s="14">
        <v>7.5087303031411035E-2</v>
      </c>
      <c r="AH468" s="14">
        <v>-0.31422723739523239</v>
      </c>
      <c r="AI468" s="14">
        <v>0.29680805326719351</v>
      </c>
      <c r="AJ468" s="14">
        <v>1.4362174009422326</v>
      </c>
      <c r="AK468" s="14">
        <v>-1.2562809119848599</v>
      </c>
      <c r="AM468" s="14">
        <v>-0.10144381993549834</v>
      </c>
      <c r="AN468" s="14">
        <v>-0.54423089705701022</v>
      </c>
      <c r="AO468" s="14">
        <v>-0.16971769615306542</v>
      </c>
      <c r="AP468" s="14">
        <v>0.24932162669059899</v>
      </c>
      <c r="AQ468" s="14">
        <v>1.5672106133000077E-3</v>
      </c>
      <c r="AR468" s="14">
        <v>-0.16650226485522202</v>
      </c>
      <c r="AS468" s="14">
        <v>0.44504677374628754</v>
      </c>
      <c r="AT468" s="14">
        <v>0.60363315499598691</v>
      </c>
      <c r="AU468" s="14">
        <v>0.21235810784890546</v>
      </c>
      <c r="AV468" s="14">
        <v>-0.18814045250767694</v>
      </c>
      <c r="AW468" s="14">
        <v>-0.52758913864003565</v>
      </c>
      <c r="AX468" s="14">
        <v>-6.9965842281987559E-2</v>
      </c>
      <c r="AY468" s="14">
        <v>0.42506239208703817</v>
      </c>
      <c r="AZ468" s="14">
        <v>-0.46848152212381894</v>
      </c>
      <c r="BA468" s="14">
        <v>0.13317753684900449</v>
      </c>
      <c r="BB468" s="14">
        <v>0.19412644477362123</v>
      </c>
      <c r="BC468" s="14">
        <v>0.2773404335236343</v>
      </c>
      <c r="BD468" s="14">
        <v>0.53284849004303414</v>
      </c>
      <c r="BE468" s="14">
        <v>0.34312886256885322</v>
      </c>
      <c r="BF468" s="14">
        <v>-0.17613577866387481</v>
      </c>
      <c r="BK468" s="16">
        <v>0.69601984292112373</v>
      </c>
      <c r="BL468" s="16">
        <v>-0.24456625110709479</v>
      </c>
      <c r="BN468" s="17">
        <f t="shared" si="23"/>
        <v>0</v>
      </c>
    </row>
    <row r="469" spans="18:66" x14ac:dyDescent="0.2">
      <c r="R469" s="14">
        <v>-1.1375749012009051E-2</v>
      </c>
      <c r="S469" s="14">
        <v>0.65740469812109825</v>
      </c>
      <c r="T469" s="14">
        <v>0.13484124335151648</v>
      </c>
      <c r="U469" s="14">
        <v>-0.1252064528907591</v>
      </c>
      <c r="V469" s="14">
        <v>-2.3597918594582046E-2</v>
      </c>
      <c r="W469" s="14">
        <v>0.27049259175911428</v>
      </c>
      <c r="X469" s="14">
        <v>-1.1571739665605276</v>
      </c>
      <c r="Y469" s="14">
        <v>-0.86534931657703096</v>
      </c>
      <c r="Z469" s="14">
        <v>5.2864830995034029E-2</v>
      </c>
      <c r="AA469" s="14">
        <v>0.76958931784517048</v>
      </c>
      <c r="AB469" s="14">
        <v>1.1475615292828054</v>
      </c>
      <c r="AC469" s="14">
        <v>0.22506883248397297</v>
      </c>
      <c r="AD469" s="14">
        <v>-0.54386114509250905</v>
      </c>
      <c r="AE469" s="14">
        <v>1.1078862308766171</v>
      </c>
      <c r="AF469" s="14">
        <v>-0.28030363748923492</v>
      </c>
      <c r="AG469" s="14">
        <v>-0.78061928911044864</v>
      </c>
      <c r="AH469" s="14">
        <v>-0.64066433125045885</v>
      </c>
      <c r="AI469" s="14">
        <v>-1.3961929962225996</v>
      </c>
      <c r="AJ469" s="14">
        <v>-0.10981145905708828</v>
      </c>
      <c r="AK469" s="14">
        <v>-0.73107604302614737</v>
      </c>
      <c r="AM469" s="14">
        <v>0.51842751097082473</v>
      </c>
      <c r="AN469" s="14">
        <v>-0.55969085049020939</v>
      </c>
      <c r="AO469" s="14">
        <v>-9.1916919966514687E-2</v>
      </c>
      <c r="AP469" s="14">
        <v>0.15396308704667167</v>
      </c>
      <c r="AQ469" s="14">
        <v>-0.2289136850746642</v>
      </c>
      <c r="AR469" s="14">
        <v>-0.41442200996946532</v>
      </c>
      <c r="AS469" s="14">
        <v>0.57803913383790362</v>
      </c>
      <c r="AT469" s="14">
        <v>0.63089336636659299</v>
      </c>
      <c r="AU469" s="14">
        <v>0.13864008606773595</v>
      </c>
      <c r="AV469" s="14">
        <v>-0.18154636813514435</v>
      </c>
      <c r="AW469" s="14">
        <v>-0.45243883760576092</v>
      </c>
      <c r="AX469" s="14">
        <v>0.19820075271059684</v>
      </c>
      <c r="AY469" s="14">
        <v>0.54759016849212561</v>
      </c>
      <c r="AZ469" s="14">
        <v>-0.41691126738510553</v>
      </c>
      <c r="BA469" s="14">
        <v>0.34939262781441288</v>
      </c>
      <c r="BB469" s="14">
        <v>-6.603853222675328E-2</v>
      </c>
      <c r="BC469" s="14">
        <v>0.3561370514754717</v>
      </c>
      <c r="BD469" s="14">
        <v>0.5837282454342283</v>
      </c>
      <c r="BE469" s="14">
        <v>0.53814801825373404</v>
      </c>
      <c r="BF469" s="14">
        <v>-0.65025131672631642</v>
      </c>
      <c r="BK469" s="16">
        <v>-0.51031861914836896</v>
      </c>
      <c r="BL469" s="16">
        <v>0.57801701056759103</v>
      </c>
      <c r="BN469" s="17">
        <f t="shared" si="23"/>
        <v>1</v>
      </c>
    </row>
    <row r="470" spans="18:66" x14ac:dyDescent="0.2">
      <c r="R470" s="14">
        <v>-0.3156213668908483</v>
      </c>
      <c r="S470" s="14">
        <v>-1.093450246303739</v>
      </c>
      <c r="T470" s="14">
        <v>-0.62213785362172036</v>
      </c>
      <c r="U470" s="14">
        <v>-0.29824354226668381</v>
      </c>
      <c r="V470" s="14">
        <v>-0.17820058088143842</v>
      </c>
      <c r="W470" s="14">
        <v>0.21463545674584628</v>
      </c>
      <c r="X470" s="14">
        <v>1.0582563741186208</v>
      </c>
      <c r="Y470" s="14">
        <v>1.0212443112360756</v>
      </c>
      <c r="Z470" s="14">
        <v>-0.14819224728745156</v>
      </c>
      <c r="AA470" s="14">
        <v>3.9905846727896543E-2</v>
      </c>
      <c r="AB470" s="14">
        <v>-0.52491696625215789</v>
      </c>
      <c r="AC470" s="14">
        <v>-0.27272720225212466</v>
      </c>
      <c r="AD470" s="14">
        <v>1.0621076317267282</v>
      </c>
      <c r="AE470" s="14">
        <v>-0.65063125464159177</v>
      </c>
      <c r="AF470" s="14">
        <v>0.18662527251942729</v>
      </c>
      <c r="AG470" s="14">
        <v>0.37864898492588717</v>
      </c>
      <c r="AH470" s="14">
        <v>-0.23657418007827269</v>
      </c>
      <c r="AI470" s="14">
        <v>0.29756296363417978</v>
      </c>
      <c r="AJ470" s="14">
        <v>1.431389075536454</v>
      </c>
      <c r="AK470" s="14">
        <v>-0.73244933110446697</v>
      </c>
      <c r="AM470" s="14">
        <v>7.8864966554364646E-2</v>
      </c>
      <c r="AN470" s="14">
        <v>-0.11970651539752146</v>
      </c>
      <c r="AO470" s="14">
        <v>-8.8951968260783429E-2</v>
      </c>
      <c r="AP470" s="14">
        <v>8.3820971819752177E-2</v>
      </c>
      <c r="AQ470" s="14">
        <v>-0.72810267600420309</v>
      </c>
      <c r="AR470" s="14">
        <v>0.29576995857634319</v>
      </c>
      <c r="AS470" s="14">
        <v>0.44209370769630452</v>
      </c>
      <c r="AT470" s="14">
        <v>-0.41042654817645419</v>
      </c>
      <c r="AU470" s="14">
        <v>-0.84275361307399921</v>
      </c>
      <c r="AV470" s="14">
        <v>-0.20381694096028397</v>
      </c>
      <c r="AW470" s="14">
        <v>0.6209225231814901</v>
      </c>
      <c r="AX470" s="14">
        <v>-0.48962426607741366</v>
      </c>
      <c r="AY470" s="14">
        <v>0.15867810541052635</v>
      </c>
      <c r="AZ470" s="14">
        <v>-0.3508640567739858</v>
      </c>
      <c r="BA470" s="14">
        <v>-1.9172091618915612E-2</v>
      </c>
      <c r="BB470" s="14">
        <v>-0.25821691028905602</v>
      </c>
      <c r="BC470" s="14">
        <v>0.20816760616187197</v>
      </c>
      <c r="BD470" s="14">
        <v>-2.1470314856052237E-2</v>
      </c>
      <c r="BE470" s="14">
        <v>0.24016634540276527</v>
      </c>
      <c r="BF470" s="14">
        <v>-0.22997738228876544</v>
      </c>
      <c r="BK470" s="16">
        <v>0.76295821057728841</v>
      </c>
      <c r="BL470" s="16">
        <v>3.4657493204802103E-2</v>
      </c>
      <c r="BN470" s="17">
        <f t="shared" si="23"/>
        <v>0</v>
      </c>
    </row>
    <row r="471" spans="18:66" x14ac:dyDescent="0.2">
      <c r="R471" s="14">
        <v>0.53458305141518248</v>
      </c>
      <c r="S471" s="14">
        <v>-1.0944960746330183</v>
      </c>
      <c r="T471" s="14">
        <v>-0.29897412422563718</v>
      </c>
      <c r="U471" s="14">
        <v>-0.62800188710314797</v>
      </c>
      <c r="V471" s="14">
        <v>-8.8823900818769064E-2</v>
      </c>
      <c r="W471" s="14">
        <v>-0.28815663275763687</v>
      </c>
      <c r="X471" s="14">
        <v>1.030786295714873</v>
      </c>
      <c r="Y471" s="14">
        <v>1.2544936849388106</v>
      </c>
      <c r="Z471" s="14">
        <v>0.44302503940046623</v>
      </c>
      <c r="AA471" s="14">
        <v>-8.254235226224671E-2</v>
      </c>
      <c r="AB471" s="14">
        <v>-0.73621878724839962</v>
      </c>
      <c r="AC471" s="14">
        <v>0.68730249125457532</v>
      </c>
      <c r="AD471" s="14">
        <v>1.0731320853049793</v>
      </c>
      <c r="AE471" s="14">
        <v>-0.54666143639782372</v>
      </c>
      <c r="AF471" s="14">
        <v>0.53797701885920723</v>
      </c>
      <c r="AG471" s="14">
        <v>-0.31955769919438992</v>
      </c>
      <c r="AH471" s="14">
        <v>-0.19450789710884892</v>
      </c>
      <c r="AI471" s="14">
        <v>0.31177683656574884</v>
      </c>
      <c r="AJ471" s="14">
        <v>1.5291245337941319</v>
      </c>
      <c r="AK471" s="14">
        <v>-1.3023720147824551</v>
      </c>
      <c r="AM471" s="14">
        <v>-0.38264571212775378</v>
      </c>
      <c r="AN471" s="14">
        <v>0.5896306116297011</v>
      </c>
      <c r="AO471" s="14">
        <v>0.54549604232480098</v>
      </c>
      <c r="AP471" s="14">
        <v>0.74704129797233843</v>
      </c>
      <c r="AQ471" s="14">
        <v>0.66725558599315182</v>
      </c>
      <c r="AR471" s="14">
        <v>0.25081190808587928</v>
      </c>
      <c r="AS471" s="14">
        <v>-0.75716702813039993</v>
      </c>
      <c r="AT471" s="14">
        <v>-0.43622172527486608</v>
      </c>
      <c r="AU471" s="14">
        <v>0.24012944666117039</v>
      </c>
      <c r="AV471" s="14">
        <v>0.58028123852151714</v>
      </c>
      <c r="AW471" s="14">
        <v>-0.63522955875132436</v>
      </c>
      <c r="AX471" s="14">
        <v>5.1157354886049696E-3</v>
      </c>
      <c r="AY471" s="14">
        <v>-0.69476421581643</v>
      </c>
      <c r="AZ471" s="14">
        <v>0.57929466656616968</v>
      </c>
      <c r="BA471" s="14">
        <v>-0.10082543570778908</v>
      </c>
      <c r="BB471" s="14">
        <v>0.53709374335334714</v>
      </c>
      <c r="BC471" s="14">
        <v>-0.27033142848909075</v>
      </c>
      <c r="BD471" s="14">
        <v>-0.59823113581277998</v>
      </c>
      <c r="BE471" s="14">
        <v>-0.78415619832016947</v>
      </c>
      <c r="BF471" s="14">
        <v>0.32132546967637016</v>
      </c>
      <c r="BK471" s="16">
        <v>0.37241571267082491</v>
      </c>
      <c r="BL471" s="16">
        <v>-8.7780584863287381E-2</v>
      </c>
      <c r="BN471" s="17">
        <f t="shared" si="23"/>
        <v>0</v>
      </c>
    </row>
    <row r="472" spans="18:66" x14ac:dyDescent="0.2">
      <c r="R472" s="14">
        <v>-0.20506699338183601</v>
      </c>
      <c r="S472" s="14">
        <v>-1.1072169503483993</v>
      </c>
      <c r="T472" s="14">
        <v>-0.45543072865644285</v>
      </c>
      <c r="U472" s="14">
        <v>-0.22213353364429539</v>
      </c>
      <c r="V472" s="14">
        <v>0.20685462912682592</v>
      </c>
      <c r="W472" s="14">
        <v>6.0991436243372943E-2</v>
      </c>
      <c r="X472" s="14">
        <v>1.0455615872482913</v>
      </c>
      <c r="Y472" s="14">
        <v>1.2346056782128589</v>
      </c>
      <c r="Z472" s="14">
        <v>0.31462564083053057</v>
      </c>
      <c r="AA472" s="14">
        <v>7.3141677409955697E-2</v>
      </c>
      <c r="AB472" s="14">
        <v>-1.0670729003200701</v>
      </c>
      <c r="AC472" s="14">
        <v>-5.2812697635367889E-2</v>
      </c>
      <c r="AD472" s="14">
        <v>1.0403332571327992</v>
      </c>
      <c r="AE472" s="14">
        <v>-0.64512636078992558</v>
      </c>
      <c r="AF472" s="14">
        <v>0.37379666519757526</v>
      </c>
      <c r="AG472" s="14">
        <v>0.44029128593151046</v>
      </c>
      <c r="AH472" s="14">
        <v>-0.21878830240161468</v>
      </c>
      <c r="AI472" s="14">
        <v>0.31428488912118979</v>
      </c>
      <c r="AJ472" s="14">
        <v>1.4298465485752521</v>
      </c>
      <c r="AK472" s="14">
        <v>-0.88278047627653233</v>
      </c>
      <c r="AM472" s="14">
        <v>0.22271051204717698</v>
      </c>
      <c r="AN472" s="14">
        <v>-0.70155634614899742</v>
      </c>
      <c r="AO472" s="14">
        <v>-0.26898043977467628</v>
      </c>
      <c r="AP472" s="14">
        <v>-0.10556494005600797</v>
      </c>
      <c r="AQ472" s="14">
        <v>-0.12102321923121521</v>
      </c>
      <c r="AR472" s="14">
        <v>-0.58617287393049966</v>
      </c>
      <c r="AS472" s="14">
        <v>0.68578989062697815</v>
      </c>
      <c r="AT472" s="14">
        <v>0.8043306374696173</v>
      </c>
      <c r="AU472" s="14">
        <v>0.33384301434528163</v>
      </c>
      <c r="AV472" s="14">
        <v>-0.33870178195886097</v>
      </c>
      <c r="AW472" s="14">
        <v>-0.55296102814574066</v>
      </c>
      <c r="AX472" s="14">
        <v>6.9806988100943185E-2</v>
      </c>
      <c r="AY472" s="14">
        <v>0.67447439506212148</v>
      </c>
      <c r="AZ472" s="14">
        <v>-0.56351280722516039</v>
      </c>
      <c r="BA472" s="14">
        <v>0.41611815995231088</v>
      </c>
      <c r="BB472" s="14">
        <v>0.11837839444335997</v>
      </c>
      <c r="BC472" s="14">
        <v>0.37050966558736664</v>
      </c>
      <c r="BD472" s="14">
        <v>0.68414476299391558</v>
      </c>
      <c r="BE472" s="14">
        <v>0.59561237538467704</v>
      </c>
      <c r="BF472" s="14">
        <v>-0.45619302693860198</v>
      </c>
      <c r="BK472" s="16">
        <v>0.76264675028127393</v>
      </c>
      <c r="BL472" s="16">
        <v>1.4667180417218539E-2</v>
      </c>
      <c r="BN472" s="17">
        <f t="shared" si="23"/>
        <v>0</v>
      </c>
    </row>
    <row r="473" spans="18:66" x14ac:dyDescent="0.2">
      <c r="R473" s="14">
        <v>0.73154164967831059</v>
      </c>
      <c r="S473" s="14">
        <v>-1.1039435357194656</v>
      </c>
      <c r="T473" s="14">
        <v>-0.3313494899080246</v>
      </c>
      <c r="U473" s="14">
        <v>-0.34076205597571946</v>
      </c>
      <c r="V473" s="14">
        <v>-0.16506676542340715</v>
      </c>
      <c r="W473" s="14">
        <v>-0.3205722624572534</v>
      </c>
      <c r="X473" s="14">
        <v>1.0484718558191177</v>
      </c>
      <c r="Y473" s="14">
        <v>1.2257761474724915</v>
      </c>
      <c r="Z473" s="14">
        <v>0.33656120718732363</v>
      </c>
      <c r="AA473" s="14">
        <v>4.5660583624000384E-2</v>
      </c>
      <c r="AB473" s="14">
        <v>-0.84641971204842559</v>
      </c>
      <c r="AC473" s="14">
        <v>0.60235103775316601</v>
      </c>
      <c r="AD473" s="14">
        <v>1.1017807615203412</v>
      </c>
      <c r="AE473" s="14">
        <v>-0.55829520739410099</v>
      </c>
      <c r="AF473" s="14">
        <v>0.56056054503114938</v>
      </c>
      <c r="AG473" s="14">
        <v>-0.28211172604696078</v>
      </c>
      <c r="AH473" s="14">
        <v>-8.4743074480392311E-2</v>
      </c>
      <c r="AI473" s="14">
        <v>0.3263939004037536</v>
      </c>
      <c r="AJ473" s="14">
        <v>1.5403349882649846</v>
      </c>
      <c r="AK473" s="14">
        <v>-1.4309035588754204</v>
      </c>
      <c r="AM473" s="14">
        <v>-0.42437301310667069</v>
      </c>
      <c r="AN473" s="14">
        <v>-0.80755593402090797</v>
      </c>
      <c r="AO473" s="14">
        <v>-0.53196181032591539</v>
      </c>
      <c r="AP473" s="14">
        <v>-0.31199421567499497</v>
      </c>
      <c r="AQ473" s="14">
        <v>-0.71190803530967339</v>
      </c>
      <c r="AR473" s="14">
        <v>0.37737906714354341</v>
      </c>
      <c r="AS473" s="14">
        <v>0.88911863169220151</v>
      </c>
      <c r="AT473" s="14">
        <v>0.70515224490179496</v>
      </c>
      <c r="AU473" s="14">
        <v>-0.59249556243250356</v>
      </c>
      <c r="AV473" s="14">
        <v>-0.68181841587701275</v>
      </c>
      <c r="AW473" s="14">
        <v>-0.13741738063396272</v>
      </c>
      <c r="AX473" s="14">
        <v>-0.50730959336855874</v>
      </c>
      <c r="AY473" s="14">
        <v>0.7533306384518853</v>
      </c>
      <c r="AZ473" s="14">
        <v>-0.87367752184587166</v>
      </c>
      <c r="BA473" s="14">
        <v>-0.24377028975973411</v>
      </c>
      <c r="BB473" s="14">
        <v>-0.13067272555045942</v>
      </c>
      <c r="BC473" s="14">
        <v>0.4802155776007776</v>
      </c>
      <c r="BD473" s="14">
        <v>0.7718938007208429</v>
      </c>
      <c r="BE473" s="14">
        <v>0.82304766191091394</v>
      </c>
      <c r="BF473" s="14">
        <v>-1.7588199262278198E-2</v>
      </c>
    </row>
    <row r="474" spans="18:66" x14ac:dyDescent="0.2">
      <c r="R474" s="14">
        <v>0.10626101457224178</v>
      </c>
      <c r="S474" s="14">
        <v>-0.43303349668509616</v>
      </c>
      <c r="T474" s="14">
        <v>-0.24320015901725969</v>
      </c>
      <c r="U474" s="14">
        <v>-0.55674248370077084</v>
      </c>
      <c r="V474" s="14">
        <v>-0.64808344825707209</v>
      </c>
      <c r="W474" s="14">
        <v>0.74202748574897093</v>
      </c>
      <c r="X474" s="14">
        <v>1.0360354792631337</v>
      </c>
      <c r="Y474" s="14">
        <v>-0.47996158829429847</v>
      </c>
      <c r="Z474" s="14">
        <v>-1.2123765194300709</v>
      </c>
      <c r="AA474" s="14">
        <v>0.11469369860955902</v>
      </c>
      <c r="AB474" s="14">
        <v>0.77159459449828538</v>
      </c>
      <c r="AC474" s="14">
        <v>-0.26571791510090559</v>
      </c>
      <c r="AD474" s="14">
        <v>0.72910717836216588</v>
      </c>
      <c r="AE474" s="14">
        <v>-0.50488874913878412</v>
      </c>
      <c r="AF474" s="14">
        <v>0.22421085513603556</v>
      </c>
      <c r="AG474" s="14">
        <v>-0.35312482275676227</v>
      </c>
      <c r="AH474" s="14">
        <v>-0.30395590360759106</v>
      </c>
      <c r="AI474" s="14">
        <v>-0.74279945346204357</v>
      </c>
      <c r="AJ474" s="14">
        <v>1.2325444058499877</v>
      </c>
      <c r="AK474" s="14">
        <v>-0.93723997216534793</v>
      </c>
      <c r="AM474" s="14">
        <v>0.68099929498852385</v>
      </c>
      <c r="AN474" s="14">
        <v>0.41690705436526126</v>
      </c>
      <c r="AO474" s="14">
        <v>0.36778597583812844</v>
      </c>
      <c r="AP474" s="14">
        <v>0.2315429978393469</v>
      </c>
      <c r="AQ474" s="14">
        <v>0.61252863057499707</v>
      </c>
      <c r="AR474" s="14">
        <v>-0.61735184624739636</v>
      </c>
      <c r="AS474" s="14">
        <v>-0.49964537828888339</v>
      </c>
      <c r="AT474" s="14">
        <v>3.8674788737233928E-2</v>
      </c>
      <c r="AU474" s="14">
        <v>0.6555777681193532</v>
      </c>
      <c r="AV474" s="14">
        <v>0.53618047086781351</v>
      </c>
      <c r="AW474" s="14">
        <v>-0.48695836892933214</v>
      </c>
      <c r="AX474" s="14">
        <v>0.58475332607334696</v>
      </c>
      <c r="AY474" s="14">
        <v>-0.23442573657944865</v>
      </c>
      <c r="AZ474" s="14">
        <v>0.65363917544641792</v>
      </c>
      <c r="BA474" s="14">
        <v>0.47361609058311366</v>
      </c>
      <c r="BB474" s="14">
        <v>0.24353851241539898</v>
      </c>
      <c r="BC474" s="14">
        <v>-0.20969486499003118</v>
      </c>
      <c r="BD474" s="14">
        <v>-0.28294379975997841</v>
      </c>
      <c r="BE474" s="14">
        <v>-0.40095620437017071</v>
      </c>
      <c r="BF474" s="14">
        <v>-0.47100773781456462</v>
      </c>
    </row>
    <row r="475" spans="18:66" x14ac:dyDescent="0.2">
      <c r="R475" s="14">
        <v>-0.84502936049861599</v>
      </c>
      <c r="S475" s="14">
        <v>0.85761729704354284</v>
      </c>
      <c r="T475" s="14">
        <v>0.40970813627955516</v>
      </c>
      <c r="U475" s="14">
        <v>0.31997273126360193</v>
      </c>
      <c r="V475" s="14">
        <v>1.406670230523916</v>
      </c>
      <c r="W475" s="14">
        <v>0.47964407520039171</v>
      </c>
      <c r="X475" s="14">
        <v>-1.4617201391747394</v>
      </c>
      <c r="Y475" s="14">
        <v>-0.57091483358995232</v>
      </c>
      <c r="Z475" s="14">
        <v>0.31562179395137746</v>
      </c>
      <c r="AA475" s="14">
        <v>1.182338704677476</v>
      </c>
      <c r="AB475" s="14">
        <v>-0.28425226356983957</v>
      </c>
      <c r="AC475" s="14">
        <v>0.36904194763986908</v>
      </c>
      <c r="AD475" s="14">
        <v>-0.78971523573601676</v>
      </c>
      <c r="AE475" s="14">
        <v>1.4768022800049174</v>
      </c>
      <c r="AF475" s="14">
        <v>-0.11332947563152218</v>
      </c>
      <c r="AG475" s="14">
        <v>0.25082088493416355</v>
      </c>
      <c r="AH475" s="14">
        <v>-0.80088026323529082</v>
      </c>
      <c r="AI475" s="14">
        <v>-1.5343034345868976</v>
      </c>
      <c r="AJ475" s="14">
        <v>-0.55354064007322412</v>
      </c>
      <c r="AK475" s="14">
        <v>-0.15571904605535791</v>
      </c>
      <c r="AM475" s="14">
        <v>-0.56808904174264785</v>
      </c>
      <c r="AN475" s="14">
        <v>-0.17081214815526446</v>
      </c>
      <c r="AO475" s="14">
        <v>-0.17864278042783543</v>
      </c>
      <c r="AP475" s="14">
        <v>0.47890023611113997</v>
      </c>
      <c r="AQ475" s="14">
        <v>-0.34367483248922526</v>
      </c>
      <c r="AR475" s="14">
        <v>0.79062353110529182</v>
      </c>
      <c r="AS475" s="14">
        <v>0.30234473604654477</v>
      </c>
      <c r="AT475" s="14">
        <v>-0.42331638253126819</v>
      </c>
      <c r="AU475" s="14">
        <v>-0.77305859051153536</v>
      </c>
      <c r="AV475" s="14">
        <v>-9.6256399093288102E-3</v>
      </c>
      <c r="AW475" s="14">
        <v>0.10863490662866448</v>
      </c>
      <c r="AX475" s="14">
        <v>-0.62324967565892153</v>
      </c>
      <c r="AY475" s="14">
        <v>3.1971258325513834E-2</v>
      </c>
      <c r="AZ475" s="14">
        <v>-0.4833667725460829</v>
      </c>
      <c r="BA475" s="14">
        <v>-0.50437745154269198</v>
      </c>
      <c r="BB475" s="14">
        <v>0.26177020497846348</v>
      </c>
      <c r="BC475" s="14">
        <v>8.0451316141358864E-2</v>
      </c>
      <c r="BD475" s="14">
        <v>0.1478261310643818</v>
      </c>
      <c r="BE475" s="14">
        <v>4.2943142740867329E-2</v>
      </c>
      <c r="BF475" s="14">
        <v>0.43838468967730182</v>
      </c>
    </row>
    <row r="476" spans="18:66" x14ac:dyDescent="0.2">
      <c r="R476" s="14">
        <v>0.182482230364958</v>
      </c>
      <c r="S476" s="14">
        <v>-1.122567207952019</v>
      </c>
      <c r="T476" s="14">
        <v>-0.6822774146262689</v>
      </c>
      <c r="U476" s="14">
        <v>-0.72270222853460531</v>
      </c>
      <c r="V476" s="14">
        <v>5.1146124317672514E-2</v>
      </c>
      <c r="W476" s="14">
        <v>-0.4383486969125327</v>
      </c>
      <c r="X476" s="14">
        <v>1.0617687967331755</v>
      </c>
      <c r="Y476" s="14">
        <v>1.3142954118900776</v>
      </c>
      <c r="Z476" s="14">
        <v>0.54881611843274669</v>
      </c>
      <c r="AA476" s="14">
        <v>-0.17230010728107503</v>
      </c>
      <c r="AB476" s="14">
        <v>-0.74701388206021513</v>
      </c>
      <c r="AC476" s="14">
        <v>4.2431539460189627E-2</v>
      </c>
      <c r="AD476" s="14">
        <v>1.1283255889579296</v>
      </c>
      <c r="AE476" s="14">
        <v>-0.626325012306999</v>
      </c>
      <c r="AF476" s="14">
        <v>0.40956874741071136</v>
      </c>
      <c r="AG476" s="14">
        <v>-8.7453787925215798E-2</v>
      </c>
      <c r="AH476" s="14">
        <v>-0.10322593704885308</v>
      </c>
      <c r="AI476" s="14">
        <v>0.33359158456208682</v>
      </c>
      <c r="AJ476" s="14">
        <v>1.5357607902308805</v>
      </c>
      <c r="AK476" s="14">
        <v>-1.2127310330619641</v>
      </c>
      <c r="AM476" s="14">
        <v>-0.63641046349870123</v>
      </c>
      <c r="AN476" s="14">
        <v>0.76586497388860009</v>
      </c>
      <c r="AO476" s="14">
        <v>0.62422647624710503</v>
      </c>
      <c r="AP476" s="14">
        <v>0.67618470393225705</v>
      </c>
      <c r="AQ476" s="14">
        <v>0.77688094067775959</v>
      </c>
      <c r="AR476" s="14">
        <v>0.59076992956443675</v>
      </c>
      <c r="AS476" s="14">
        <v>-0.88982972730939269</v>
      </c>
      <c r="AT476" s="14">
        <v>-0.72505975323929484</v>
      </c>
      <c r="AU476" s="14">
        <v>0.25028208411094838</v>
      </c>
      <c r="AV476" s="14">
        <v>0.62713100857844106</v>
      </c>
      <c r="AW476" s="14">
        <v>-0.44839997580403601</v>
      </c>
      <c r="AX476" s="14">
        <v>5.8508769033406835E-2</v>
      </c>
      <c r="AY476" s="14">
        <v>-0.84708288463774517</v>
      </c>
      <c r="AZ476" s="14">
        <v>0.71734096226629063</v>
      </c>
      <c r="BA476" s="14">
        <v>-0.44391031236753109</v>
      </c>
      <c r="BB476" s="14">
        <v>0.48675167465983116</v>
      </c>
      <c r="BC476" s="14">
        <v>-0.44950276883990753</v>
      </c>
      <c r="BD476" s="14">
        <v>-0.76536330927195728</v>
      </c>
      <c r="BE476" s="14">
        <v>-0.87904608532392159</v>
      </c>
      <c r="BF476" s="14">
        <v>0.65820599078590192</v>
      </c>
    </row>
    <row r="477" spans="18:66" x14ac:dyDescent="0.2">
      <c r="R477" s="14">
        <v>-0.73926264265929509</v>
      </c>
      <c r="S477" s="14">
        <v>-1.1294797163272028</v>
      </c>
      <c r="T477" s="14">
        <v>-0.80714511799186761</v>
      </c>
      <c r="U477" s="14">
        <v>-0.9767599187361875</v>
      </c>
      <c r="V477" s="14">
        <v>-0.60490614870189185</v>
      </c>
      <c r="W477" s="14">
        <v>0.40885861405659463</v>
      </c>
      <c r="X477" s="14">
        <v>1.0653786111336772</v>
      </c>
      <c r="Y477" s="14">
        <v>1.2112862220973779</v>
      </c>
      <c r="Z477" s="14">
        <v>-0.32695362790762839</v>
      </c>
      <c r="AA477" s="14">
        <v>-0.29187308297878745</v>
      </c>
      <c r="AB477" s="14">
        <v>0.52109665764840274</v>
      </c>
      <c r="AC477" s="14">
        <v>-0.36334103134988738</v>
      </c>
      <c r="AD477" s="14">
        <v>1.1262591769569072</v>
      </c>
      <c r="AE477" s="14">
        <v>-0.66224739595379578</v>
      </c>
      <c r="AF477" s="14">
        <v>-0.3340896460092464</v>
      </c>
      <c r="AG477" s="14">
        <v>-0.51657680340726364</v>
      </c>
      <c r="AH477" s="14">
        <v>3.425964899935674E-2</v>
      </c>
      <c r="AI477" s="14">
        <v>0.33762015514321775</v>
      </c>
      <c r="AJ477" s="14">
        <v>1.5656135315484132</v>
      </c>
      <c r="AK477" s="14">
        <v>-0.63703671600385114</v>
      </c>
      <c r="AM477" s="14">
        <v>0.26353786023272741</v>
      </c>
      <c r="AN477" s="14">
        <v>-0.4181317802012583</v>
      </c>
      <c r="AO477" s="14">
        <v>-1.3592407605419462E-2</v>
      </c>
      <c r="AP477" s="14">
        <v>0.21781309238428148</v>
      </c>
      <c r="AQ477" s="14">
        <v>9.32167536022354E-2</v>
      </c>
      <c r="AR477" s="14">
        <v>-0.45174656136402852</v>
      </c>
      <c r="AS477" s="14">
        <v>0.38498177717576271</v>
      </c>
      <c r="AT477" s="14">
        <v>0.53517655116140539</v>
      </c>
      <c r="AU477" s="14">
        <v>0.1763874905443541</v>
      </c>
      <c r="AV477" s="14">
        <v>1.1662412436019188E-2</v>
      </c>
      <c r="AW477" s="14">
        <v>-0.53068817384535782</v>
      </c>
      <c r="AX477" s="14">
        <v>7.5475975462364342E-2</v>
      </c>
      <c r="AY477" s="14">
        <v>0.40176358202744594</v>
      </c>
      <c r="AZ477" s="14">
        <v>-0.24407503331930921</v>
      </c>
      <c r="BA477" s="14">
        <v>0.37361576747220748</v>
      </c>
      <c r="BB477" s="14">
        <v>0.27712294322765096</v>
      </c>
      <c r="BC477" s="14">
        <v>0.21398217612348147</v>
      </c>
      <c r="BD477" s="14">
        <v>0.40745862348214529</v>
      </c>
      <c r="BE477" s="14">
        <v>0.22058042685533594</v>
      </c>
      <c r="BF477" s="14">
        <v>-0.39464880726672663</v>
      </c>
    </row>
    <row r="478" spans="18:66" x14ac:dyDescent="0.2">
      <c r="R478" s="14">
        <v>0.44670212511843843</v>
      </c>
      <c r="S478" s="14">
        <v>0.85393531846584547</v>
      </c>
      <c r="T478" s="14">
        <v>0.27761486497409726</v>
      </c>
      <c r="U478" s="14">
        <v>-0.2382787101851257</v>
      </c>
      <c r="V478" s="14">
        <v>1.421160051985547</v>
      </c>
      <c r="W478" s="14">
        <v>-1.026232423287182</v>
      </c>
      <c r="X478" s="14">
        <v>-1.4547958333413971</v>
      </c>
      <c r="Y478" s="14">
        <v>9.0167862583072245E-2</v>
      </c>
      <c r="Z478" s="14">
        <v>1.4663900703851087</v>
      </c>
      <c r="AA478" s="14">
        <v>1.1543196402331108</v>
      </c>
      <c r="AB478" s="14">
        <v>-0.23317732262547497</v>
      </c>
      <c r="AC478" s="14">
        <v>1.008901706303003</v>
      </c>
      <c r="AD478" s="14">
        <v>-0.32745987316780445</v>
      </c>
      <c r="AE478" s="14">
        <v>1.6860002739332274</v>
      </c>
      <c r="AF478" s="14">
        <v>0.11230546398303809</v>
      </c>
      <c r="AG478" s="14">
        <v>-7.8732038093478729E-2</v>
      </c>
      <c r="AH478" s="14">
        <v>-0.70383135194538982</v>
      </c>
      <c r="AI478" s="14">
        <v>-1.2147694713635926</v>
      </c>
      <c r="AJ478" s="14">
        <v>-0.45044174536088827</v>
      </c>
      <c r="AK478" s="14">
        <v>-1.2067439799303763</v>
      </c>
      <c r="AM478" s="14">
        <v>-0.1757596420419</v>
      </c>
      <c r="AN478" s="14">
        <v>-0.25691690739817469</v>
      </c>
      <c r="AO478" s="14">
        <v>0.17969867613407192</v>
      </c>
      <c r="AP478" s="14">
        <v>0.14049402942273165</v>
      </c>
      <c r="AQ478" s="14">
        <v>7.0929026360866065E-2</v>
      </c>
      <c r="AR478" s="14">
        <v>-9.2626501457617832E-2</v>
      </c>
      <c r="AS478" s="14">
        <v>0.16323848718517572</v>
      </c>
      <c r="AT478" s="14">
        <v>0.39016752821241485</v>
      </c>
      <c r="AU478" s="14">
        <v>5.7479719514322639E-2</v>
      </c>
      <c r="AV478" s="14">
        <v>-0.11793221325185438</v>
      </c>
      <c r="AW478" s="14">
        <v>-0.52616295218370668</v>
      </c>
      <c r="AX478" s="14">
        <v>1.4256639363060798E-2</v>
      </c>
      <c r="AY478" s="14">
        <v>9.2210817518775356E-2</v>
      </c>
      <c r="AZ478" s="14">
        <v>-0.21918036179352965</v>
      </c>
      <c r="BA478" s="14">
        <v>3.4673199051828342E-2</v>
      </c>
      <c r="BB478" s="14">
        <v>0.10146656221836514</v>
      </c>
      <c r="BC478" s="14">
        <v>0.14314862370065823</v>
      </c>
      <c r="BD478" s="14">
        <v>0.17837069204318218</v>
      </c>
      <c r="BE478" s="14">
        <v>6.0486072121389116E-2</v>
      </c>
      <c r="BF478" s="14">
        <v>-0.1406181667804916</v>
      </c>
    </row>
    <row r="479" spans="18:66" x14ac:dyDescent="0.2">
      <c r="R479" s="14">
        <v>-0.70368188034641066</v>
      </c>
      <c r="S479" s="14">
        <v>-0.66829573289292665</v>
      </c>
      <c r="T479" s="14">
        <v>-0.29621909853887785</v>
      </c>
      <c r="U479" s="14">
        <v>3.2336974345913316E-2</v>
      </c>
      <c r="V479" s="14">
        <v>-0.35235537682981444</v>
      </c>
      <c r="W479" s="14">
        <v>1.3913431146681081</v>
      </c>
      <c r="X479" s="14">
        <v>1.0038880669900716</v>
      </c>
      <c r="Y479" s="14">
        <v>-0.3738262652235913</v>
      </c>
      <c r="Z479" s="14">
        <v>-1.1710049460787175</v>
      </c>
      <c r="AA479" s="14">
        <v>0.8171428635375857</v>
      </c>
      <c r="AB479" s="14">
        <v>-0.16354006594975298</v>
      </c>
      <c r="AC479" s="14">
        <v>-0.3723656803273574</v>
      </c>
      <c r="AD479" s="14">
        <v>0.11249261920981815</v>
      </c>
      <c r="AE479" s="14">
        <v>-0.65623901619574254</v>
      </c>
      <c r="AF479" s="14">
        <v>-0.19202350846790528</v>
      </c>
      <c r="AG479" s="14">
        <v>0.82527362034555973</v>
      </c>
      <c r="AH479" s="14">
        <v>-0.50556704817930354</v>
      </c>
      <c r="AI479" s="14">
        <v>-0.189416202941534</v>
      </c>
      <c r="AJ479" s="14">
        <v>0.76344148170856951</v>
      </c>
      <c r="AK479" s="14">
        <v>-6.1373757260073769E-2</v>
      </c>
      <c r="AM479" s="14">
        <v>0.59935680851301276</v>
      </c>
      <c r="AN479" s="14">
        <v>0.83420398167594623</v>
      </c>
      <c r="AO479" s="14">
        <v>0.67281003596502564</v>
      </c>
      <c r="AP479" s="14">
        <v>0.58761954148465478</v>
      </c>
      <c r="AQ479" s="14">
        <v>0.8384361169954454</v>
      </c>
      <c r="AR479" s="14">
        <v>-0.48352305898058678</v>
      </c>
      <c r="AS479" s="14">
        <v>-0.93564746604491977</v>
      </c>
      <c r="AT479" s="14">
        <v>-0.46718055932603481</v>
      </c>
      <c r="AU479" s="14">
        <v>0.9046881467454212</v>
      </c>
      <c r="AV479" s="14">
        <v>0.71742327687174501</v>
      </c>
      <c r="AW479" s="14">
        <v>-0.43919088044410598</v>
      </c>
      <c r="AX479" s="14">
        <v>0.78317799505498442</v>
      </c>
      <c r="AY479" s="14">
        <v>-0.82751972915145522</v>
      </c>
      <c r="AZ479" s="14">
        <v>0.91008849516218082</v>
      </c>
      <c r="BA479" s="14">
        <v>0.27616401854503841</v>
      </c>
      <c r="BB479" s="14">
        <v>0.11250769811671016</v>
      </c>
      <c r="BC479" s="14">
        <v>-0.39845724469441773</v>
      </c>
      <c r="BD479" s="14">
        <v>-0.7688249585521465</v>
      </c>
      <c r="BE479" s="14">
        <v>-0.84334725419387024</v>
      </c>
      <c r="BF479" s="14">
        <v>-0.23552931248209877</v>
      </c>
    </row>
    <row r="480" spans="18:66" x14ac:dyDescent="0.2">
      <c r="R480" s="14">
        <v>-1.1268927802257895</v>
      </c>
      <c r="S480" s="14">
        <v>1.0249011716909016</v>
      </c>
      <c r="T480" s="14">
        <v>0.43357870041683166</v>
      </c>
      <c r="U480" s="14">
        <v>0.21319520631142208</v>
      </c>
      <c r="V480" s="14">
        <v>1.4717741587468578</v>
      </c>
      <c r="W480" s="14">
        <v>0.69431457934113427</v>
      </c>
      <c r="X480" s="14">
        <v>-1.4658287111669046</v>
      </c>
      <c r="Y480" s="14">
        <v>-0.96087442911789855</v>
      </c>
      <c r="Z480" s="14">
        <v>0.1735514385239274</v>
      </c>
      <c r="AA480" s="14">
        <v>1.204830948780907</v>
      </c>
      <c r="AB480" s="14">
        <v>-0.28165973497610386</v>
      </c>
      <c r="AC480" s="14">
        <v>0.66511507813536852</v>
      </c>
      <c r="AD480" s="14">
        <v>-0.81446805745235717</v>
      </c>
      <c r="AE480" s="14">
        <v>1.6574327625324667</v>
      </c>
      <c r="AF480" s="14">
        <v>-0.18990734237321583</v>
      </c>
      <c r="AG480" s="14">
        <v>0.26829287717609906</v>
      </c>
      <c r="AH480" s="14">
        <v>-1.1362731967124011</v>
      </c>
      <c r="AI480" s="14">
        <v>-1.5992118503258679</v>
      </c>
      <c r="AJ480" s="14">
        <v>-0.55651643247476179</v>
      </c>
      <c r="AK480" s="14">
        <v>0.22547814352950124</v>
      </c>
      <c r="AM480" s="14">
        <v>-0.55926661605598638</v>
      </c>
      <c r="AN480" s="14">
        <v>-0.27822947680518245</v>
      </c>
      <c r="AO480" s="14">
        <v>-0.22795346828687277</v>
      </c>
      <c r="AP480" s="14">
        <v>-3.4974598814333034E-2</v>
      </c>
      <c r="AQ480" s="14">
        <v>-0.38789077913014125</v>
      </c>
      <c r="AR480" s="14">
        <v>0.57075648835994541</v>
      </c>
      <c r="AS480" s="14">
        <v>0.5363589116409303</v>
      </c>
      <c r="AT480" s="14">
        <v>-3.282126319282954E-2</v>
      </c>
      <c r="AU480" s="14">
        <v>-0.73645353982376227</v>
      </c>
      <c r="AV480" s="14">
        <v>-0.20274950810320647</v>
      </c>
      <c r="AW480" s="14">
        <v>-1.2136532009147829E-2</v>
      </c>
      <c r="AX480" s="14">
        <v>-0.59468041543502104</v>
      </c>
      <c r="AY480" s="14">
        <v>0.26262018527143699</v>
      </c>
      <c r="AZ480" s="14">
        <v>-0.53402167578154291</v>
      </c>
      <c r="BA480" s="14">
        <v>-0.32905406289697658</v>
      </c>
      <c r="BB480" s="14">
        <v>0.2475698854238069</v>
      </c>
      <c r="BC480" s="14">
        <v>6.3490327275666822E-2</v>
      </c>
      <c r="BD480" s="14">
        <v>0.19825876194925288</v>
      </c>
      <c r="BE480" s="14">
        <v>0.26809195117037132</v>
      </c>
      <c r="BF480" s="14">
        <v>0.40217226703388398</v>
      </c>
    </row>
    <row r="481" spans="18:58" x14ac:dyDescent="0.2">
      <c r="R481" s="14">
        <v>0.3890074449067461</v>
      </c>
      <c r="S481" s="14">
        <v>-1.0053531008266519</v>
      </c>
      <c r="T481" s="14">
        <v>-0.18353033991126524</v>
      </c>
      <c r="U481" s="14">
        <v>-0.31973080756346695</v>
      </c>
      <c r="V481" s="14">
        <v>0.47294041123485209</v>
      </c>
      <c r="W481" s="14">
        <v>-0.28681445333413097</v>
      </c>
      <c r="X481" s="14">
        <v>0.963967615332464</v>
      </c>
      <c r="Y481" s="14">
        <v>1.0924380084330569</v>
      </c>
      <c r="Z481" s="14">
        <v>0.21641432859754217</v>
      </c>
      <c r="AA481" s="14">
        <v>0.59699914641737462</v>
      </c>
      <c r="AB481" s="14">
        <v>-0.98740461015086822</v>
      </c>
      <c r="AC481" s="14">
        <v>0.23882559428553285</v>
      </c>
      <c r="AD481" s="14">
        <v>1.0273628952350471</v>
      </c>
      <c r="AE481" s="14">
        <v>-0.29956428170190202</v>
      </c>
      <c r="AF481" s="14">
        <v>0.7956238504563834</v>
      </c>
      <c r="AG481" s="14">
        <v>0.57527523706619887</v>
      </c>
      <c r="AH481" s="14">
        <v>-0.31862454860992812</v>
      </c>
      <c r="AI481" s="14">
        <v>0.23287187936168674</v>
      </c>
      <c r="AJ481" s="14">
        <v>1.0573289233230727</v>
      </c>
      <c r="AK481" s="14">
        <v>-1.1325333005406761</v>
      </c>
      <c r="AM481" s="14">
        <v>-0.28251968304408087</v>
      </c>
      <c r="AN481" s="14">
        <v>0.64210935427388205</v>
      </c>
      <c r="AO481" s="14">
        <v>0.54199523479291933</v>
      </c>
      <c r="AP481" s="14">
        <v>0.30763453205447233</v>
      </c>
      <c r="AQ481" s="14">
        <v>0.83771602977086901</v>
      </c>
      <c r="AR481" s="14">
        <v>0.35616002562383819</v>
      </c>
      <c r="AS481" s="14">
        <v>-0.82506601002172308</v>
      </c>
      <c r="AT481" s="14">
        <v>-0.31452041908664596</v>
      </c>
      <c r="AU481" s="14">
        <v>0.75576297315774599</v>
      </c>
      <c r="AV481" s="14">
        <v>0.5278822081798783</v>
      </c>
      <c r="AW481" s="14">
        <v>-0.76376047307146966</v>
      </c>
      <c r="AX481" s="14">
        <v>0.46558871595108742</v>
      </c>
      <c r="AY481" s="14">
        <v>-0.71991128182192476</v>
      </c>
      <c r="AZ481" s="14">
        <v>0.66897693570377537</v>
      </c>
      <c r="BA481" s="14">
        <v>-0.435048086569916</v>
      </c>
      <c r="BB481" s="14">
        <v>0.36587940922206569</v>
      </c>
      <c r="BC481" s="14">
        <v>-0.4671874740888286</v>
      </c>
      <c r="BD481" s="14">
        <v>-0.5357972875977941</v>
      </c>
      <c r="BE481" s="14">
        <v>-0.71907579071381678</v>
      </c>
      <c r="BF481" s="14">
        <v>0.45975529132487802</v>
      </c>
    </row>
    <row r="482" spans="18:58" x14ac:dyDescent="0.2">
      <c r="R482" s="14">
        <v>-0.29303543264721521</v>
      </c>
      <c r="S482" s="14">
        <v>-0.87726512203353157</v>
      </c>
      <c r="T482" s="14">
        <v>0.32052782456521023</v>
      </c>
      <c r="U482" s="14">
        <v>-0.62445861905927846</v>
      </c>
      <c r="V482" s="14">
        <v>0.26247927941139837</v>
      </c>
      <c r="W482" s="14">
        <v>0.24481459951814857</v>
      </c>
      <c r="X482" s="14">
        <v>0.66764092743190373</v>
      </c>
      <c r="Y482" s="14">
        <v>0.95539050605173748</v>
      </c>
      <c r="Z482" s="14">
        <v>-0.19358769738825959</v>
      </c>
      <c r="AA482" s="14">
        <v>0.20121103014611524</v>
      </c>
      <c r="AB482" s="14">
        <v>-0.88811398892328053</v>
      </c>
      <c r="AC482" s="14">
        <v>0.26093757231597936</v>
      </c>
      <c r="AD482" s="14">
        <v>0.65796452036510467</v>
      </c>
      <c r="AE482" s="14">
        <v>-0.4244356127499806</v>
      </c>
      <c r="AF482" s="14">
        <v>0.24790565653675284</v>
      </c>
      <c r="AG482" s="14">
        <v>0.18403833279770776</v>
      </c>
      <c r="AH482" s="14">
        <v>-0.44273066489514767</v>
      </c>
      <c r="AI482" s="14">
        <v>-2.8887760336866575E-2</v>
      </c>
      <c r="AJ482" s="14">
        <v>0.85392267015665402</v>
      </c>
      <c r="AK482" s="14">
        <v>-0.76894064464534151</v>
      </c>
      <c r="AM482" s="14">
        <v>-0.88118252624396609</v>
      </c>
      <c r="AN482" s="14">
        <v>-0.44171743374366901</v>
      </c>
      <c r="AO482" s="14">
        <v>-0.17538170266144501</v>
      </c>
      <c r="AP482" s="14">
        <v>0.58205905727484097</v>
      </c>
      <c r="AQ482" s="14">
        <v>-0.20466247408689919</v>
      </c>
      <c r="AR482" s="14">
        <v>0.85270869477163103</v>
      </c>
      <c r="AS482" s="14">
        <v>0.45241748760250283</v>
      </c>
      <c r="AT482" s="14">
        <v>2.7732112360087473E-2</v>
      </c>
      <c r="AU482" s="14">
        <v>-0.73402677974806574</v>
      </c>
      <c r="AV482" s="14">
        <v>-0.2093376422333342</v>
      </c>
      <c r="AW482" s="14">
        <v>-0.50408815682412111</v>
      </c>
      <c r="AX482" s="14">
        <v>-0.7551842554809568</v>
      </c>
      <c r="AY482" s="14">
        <v>9.3440066041630743E-2</v>
      </c>
      <c r="AZ482" s="14">
        <v>-0.7228858931992227</v>
      </c>
      <c r="BA482" s="14">
        <v>-0.63054483612630041</v>
      </c>
      <c r="BB482" s="14">
        <v>0.51686459359875436</v>
      </c>
      <c r="BC482" s="14">
        <v>0.18010094800901738</v>
      </c>
      <c r="BD482" s="14">
        <v>0.33397536397834116</v>
      </c>
      <c r="BE482" s="14">
        <v>6.701048101650664E-2</v>
      </c>
      <c r="BF482" s="14">
        <v>0.68743908651203689</v>
      </c>
    </row>
    <row r="483" spans="18:58" x14ac:dyDescent="0.2">
      <c r="R483" s="14">
        <v>0.4944425659213274</v>
      </c>
      <c r="S483" s="14">
        <v>1.0325918011080468</v>
      </c>
      <c r="T483" s="14">
        <v>0.44783317937262135</v>
      </c>
      <c r="U483" s="14">
        <v>0.19466687243554126</v>
      </c>
      <c r="V483" s="14">
        <v>1.5019541936233316</v>
      </c>
      <c r="W483" s="14">
        <v>-0.31646951952363894</v>
      </c>
      <c r="X483" s="14">
        <v>-1.4659123045638507</v>
      </c>
      <c r="Y483" s="14">
        <v>-0.10261616587191237</v>
      </c>
      <c r="Z483" s="14">
        <v>1.6685046959267873</v>
      </c>
      <c r="AA483" s="14">
        <v>1.2139723480335221</v>
      </c>
      <c r="AB483" s="14">
        <v>-0.28809583031606234</v>
      </c>
      <c r="AC483" s="14">
        <v>1.0648857600194925</v>
      </c>
      <c r="AD483" s="14">
        <v>-0.81509934495512826</v>
      </c>
      <c r="AE483" s="14">
        <v>1.6893963343377942</v>
      </c>
      <c r="AF483" s="14">
        <v>0.24095566205965868</v>
      </c>
      <c r="AG483" s="14">
        <v>0.24301817392935809</v>
      </c>
      <c r="AH483" s="14">
        <v>-1.0695292235109404</v>
      </c>
      <c r="AI483" s="14">
        <v>-1.5985638173178338</v>
      </c>
      <c r="AJ483" s="14">
        <v>-0.55621468193643864</v>
      </c>
      <c r="AK483" s="14">
        <v>-1.0084541281405033</v>
      </c>
      <c r="AM483" s="14">
        <v>0.71050292861536846</v>
      </c>
      <c r="AN483" s="14">
        <v>-8.2860332495654457E-2</v>
      </c>
      <c r="AO483" s="14">
        <v>-0.12470160922931399</v>
      </c>
      <c r="AP483" s="14">
        <v>-0.3923175975729814</v>
      </c>
      <c r="AQ483" s="14">
        <v>1.5335227495518557E-2</v>
      </c>
      <c r="AR483" s="14">
        <v>-0.40694035178218885</v>
      </c>
      <c r="AS483" s="14">
        <v>8.4269094137361431E-2</v>
      </c>
      <c r="AT483" s="14">
        <v>0.18792391484851231</v>
      </c>
      <c r="AU483" s="14">
        <v>0.48434526169352721</v>
      </c>
      <c r="AV483" s="14">
        <v>-7.9350549819372576E-3</v>
      </c>
      <c r="AW483" s="14">
        <v>0.17237308114646796</v>
      </c>
      <c r="AX483" s="14">
        <v>0.52571190019098124</v>
      </c>
      <c r="AY483" s="14">
        <v>0.27681387320561912</v>
      </c>
      <c r="AZ483" s="14">
        <v>0.16501400926790982</v>
      </c>
      <c r="BA483" s="14">
        <v>0.21256759470528841</v>
      </c>
      <c r="BB483" s="14">
        <v>-0.4165484201701985</v>
      </c>
      <c r="BC483" s="14">
        <v>-1.8631831690023082E-2</v>
      </c>
      <c r="BD483" s="14">
        <v>0.27436598099008047</v>
      </c>
      <c r="BE483" s="14">
        <v>0.38238541860129033</v>
      </c>
      <c r="BF483" s="14">
        <v>-0.53976314016583871</v>
      </c>
    </row>
    <row r="484" spans="18:58" x14ac:dyDescent="0.2">
      <c r="R484" s="14">
        <v>-0.7573488534538545</v>
      </c>
      <c r="S484" s="14">
        <v>-0.75965372838138179</v>
      </c>
      <c r="T484" s="14">
        <v>-0.56194170494349649</v>
      </c>
      <c r="U484" s="14">
        <v>-0.76128448610212496</v>
      </c>
      <c r="V484" s="14">
        <v>-0.41736939954997998</v>
      </c>
      <c r="W484" s="14">
        <v>1.0736516201585897</v>
      </c>
      <c r="X484" s="14">
        <v>1.0444446504104756</v>
      </c>
      <c r="Y484" s="14">
        <v>-0.10481883976288064</v>
      </c>
      <c r="Z484" s="14">
        <v>-1.1234167221391465</v>
      </c>
      <c r="AA484" s="14">
        <v>1.528589626468535E-2</v>
      </c>
      <c r="AB484" s="14">
        <v>0.59649434339867358</v>
      </c>
      <c r="AC484" s="14">
        <v>-0.38230534732598431</v>
      </c>
      <c r="AD484" s="14">
        <v>0.78980429569842392</v>
      </c>
      <c r="AE484" s="14">
        <v>-0.6459249697769518</v>
      </c>
      <c r="AF484" s="14">
        <v>-0.27245602848773742</v>
      </c>
      <c r="AG484" s="14">
        <v>0.26928869399365635</v>
      </c>
      <c r="AH484" s="14">
        <v>-0.47956520481390497</v>
      </c>
      <c r="AI484" s="14">
        <v>-0.21600077883439101</v>
      </c>
      <c r="AJ484" s="14">
        <v>0.98497450353489135</v>
      </c>
      <c r="AK484" s="14">
        <v>-5.764342315279336E-2</v>
      </c>
      <c r="AM484" s="14">
        <v>0.14683200114655756</v>
      </c>
      <c r="AN484" s="14">
        <v>-0.50666014140619697</v>
      </c>
      <c r="AO484" s="14">
        <v>-4.7032919332074603E-2</v>
      </c>
      <c r="AP484" s="14">
        <v>0.29728692708362953</v>
      </c>
      <c r="AQ484" s="14">
        <v>-0.45203409974963249</v>
      </c>
      <c r="AR484" s="14">
        <v>-0.19497827152340005</v>
      </c>
      <c r="AS484" s="14">
        <v>0.48574654956215257</v>
      </c>
      <c r="AT484" s="14">
        <v>0.45649313462035662</v>
      </c>
      <c r="AU484" s="14">
        <v>-0.20137625521811081</v>
      </c>
      <c r="AV484" s="14">
        <v>-0.30882543489128228</v>
      </c>
      <c r="AW484" s="14">
        <v>-0.19405671681362854</v>
      </c>
      <c r="AX484" s="14">
        <v>-0.10955670692307194</v>
      </c>
      <c r="AY484" s="14">
        <v>0.36996418267328673</v>
      </c>
      <c r="AZ484" s="14">
        <v>-0.47926154168559787</v>
      </c>
      <c r="BA484" s="14">
        <v>0.21059529936465712</v>
      </c>
      <c r="BB484" s="14">
        <v>-0.17725288191165459</v>
      </c>
      <c r="BC484" s="14">
        <v>0.39729013540087715</v>
      </c>
      <c r="BD484" s="14">
        <v>0.42832484561477674</v>
      </c>
      <c r="BE484" s="14">
        <v>0.40109203468631527</v>
      </c>
      <c r="BF484" s="14">
        <v>-0.50050706033025183</v>
      </c>
    </row>
    <row r="485" spans="18:58" x14ac:dyDescent="0.2">
      <c r="R485" s="14">
        <v>-0.56478087119053866</v>
      </c>
      <c r="S485" s="14">
        <v>1.0151328737069429</v>
      </c>
      <c r="T485" s="14">
        <v>0.42436109637914832</v>
      </c>
      <c r="U485" s="14">
        <v>-0.33121653414376018</v>
      </c>
      <c r="V485" s="14">
        <v>1.4993516814276202</v>
      </c>
      <c r="W485" s="14">
        <v>0.55346612211346868</v>
      </c>
      <c r="X485" s="14">
        <v>-1.4658575492023342</v>
      </c>
      <c r="Y485" s="14">
        <v>-0.15898700829195872</v>
      </c>
      <c r="Z485" s="14">
        <v>1.4620176784666179</v>
      </c>
      <c r="AA485" s="14">
        <v>1.1884321595502396</v>
      </c>
      <c r="AB485" s="14">
        <v>-0.28715068772392316</v>
      </c>
      <c r="AC485" s="14">
        <v>1.0353553928301371</v>
      </c>
      <c r="AD485" s="14">
        <v>-0.80668951202404937</v>
      </c>
      <c r="AE485" s="14">
        <v>1.6806576179893107</v>
      </c>
      <c r="AF485" s="14">
        <v>-0.89781642663903338</v>
      </c>
      <c r="AG485" s="14">
        <v>0.15580813982858055</v>
      </c>
      <c r="AH485" s="14">
        <v>-1.1341217118112867</v>
      </c>
      <c r="AI485" s="14">
        <v>-1.5179992173159262</v>
      </c>
      <c r="AJ485" s="14">
        <v>-0.54589858931811985</v>
      </c>
      <c r="AK485" s="14">
        <v>2.6079634920856964E-3</v>
      </c>
    </row>
    <row r="486" spans="18:58" x14ac:dyDescent="0.2">
      <c r="R486" s="14">
        <v>-0.85175107392378779</v>
      </c>
      <c r="S486" s="14">
        <v>-1.0760353242707672</v>
      </c>
      <c r="T486" s="14">
        <v>-0.37278558129365869</v>
      </c>
      <c r="U486" s="14">
        <v>8.5362201955436978E-2</v>
      </c>
      <c r="V486" s="14">
        <v>-0.16880657792812037</v>
      </c>
      <c r="W486" s="14">
        <v>1.4192607718176971</v>
      </c>
      <c r="X486" s="14">
        <v>1.0514840950344952</v>
      </c>
      <c r="Y486" s="14">
        <v>0.33430919385433128</v>
      </c>
      <c r="Z486" s="14">
        <v>-1.1324806936376204</v>
      </c>
      <c r="AA486" s="14">
        <v>0.14788254749135499</v>
      </c>
      <c r="AB486" s="14">
        <v>-1.0700943057490981</v>
      </c>
      <c r="AC486" s="14">
        <v>-0.40278181979385475</v>
      </c>
      <c r="AD486" s="14">
        <v>0.31203601058436486</v>
      </c>
      <c r="AE486" s="14">
        <v>-0.66238233571678906</v>
      </c>
      <c r="AF486" s="14">
        <v>-0.3310664149872774</v>
      </c>
      <c r="AG486" s="14">
        <v>1.0866093813386934</v>
      </c>
      <c r="AH486" s="14">
        <v>-0.34272141908033205</v>
      </c>
      <c r="AI486" s="14">
        <v>0.17578391775293656</v>
      </c>
      <c r="AJ486" s="14">
        <v>0.62733044157845586</v>
      </c>
      <c r="AK486" s="14">
        <v>0.20420840326274148</v>
      </c>
    </row>
    <row r="487" spans="18:58" x14ac:dyDescent="0.2">
      <c r="R487" s="14">
        <v>1.0436004700291561</v>
      </c>
      <c r="S487" s="14">
        <v>-0.39779516548916932</v>
      </c>
      <c r="T487" s="14">
        <v>-0.32559440819542063</v>
      </c>
      <c r="U487" s="14">
        <v>-1.1582675988577862</v>
      </c>
      <c r="V487" s="14">
        <v>0.15009393042017313</v>
      </c>
      <c r="W487" s="14">
        <v>-0.21428132277550987</v>
      </c>
      <c r="X487" s="14">
        <v>0.61849258106193539</v>
      </c>
      <c r="Y487" s="14">
        <v>0.80565654359527006</v>
      </c>
      <c r="Z487" s="14">
        <v>0.48633916112434616</v>
      </c>
      <c r="AA487" s="14">
        <v>0.44196257325715438</v>
      </c>
      <c r="AB487" s="14">
        <v>0.48506579715619402</v>
      </c>
      <c r="AC487" s="14">
        <v>1.3847377178970413</v>
      </c>
      <c r="AD487" s="14">
        <v>0.95284441317030522</v>
      </c>
      <c r="AE487" s="14">
        <v>0.93528518545027595</v>
      </c>
      <c r="AF487" s="14">
        <v>0.6037533247607908</v>
      </c>
      <c r="AG487" s="14">
        <v>-0.50550480115555751</v>
      </c>
      <c r="AH487" s="14">
        <v>-0.65066555854954466</v>
      </c>
      <c r="AI487" s="14">
        <v>0.18063184785825959</v>
      </c>
      <c r="AJ487" s="14">
        <v>1.539678117813942</v>
      </c>
      <c r="AK487" s="14">
        <v>-1.343741479984111</v>
      </c>
    </row>
    <row r="488" spans="18:58" x14ac:dyDescent="0.2">
      <c r="R488" s="14">
        <v>0.20657087177736833</v>
      </c>
      <c r="S488" s="14">
        <v>-1.1103958941169205</v>
      </c>
      <c r="T488" s="14">
        <v>-0.22106067563483459</v>
      </c>
      <c r="U488" s="14">
        <v>-0.21411777852287406</v>
      </c>
      <c r="V488" s="14">
        <v>-0.53569157868297967</v>
      </c>
      <c r="W488" s="14">
        <v>8.2196384219566654E-3</v>
      </c>
      <c r="X488" s="14">
        <v>1.0565731440517416</v>
      </c>
      <c r="Y488" s="14">
        <v>1.0824864138031165</v>
      </c>
      <c r="Z488" s="14">
        <v>-0.32149885371038595</v>
      </c>
      <c r="AA488" s="14">
        <v>-0.130342959153537</v>
      </c>
      <c r="AB488" s="14">
        <v>-0.43379403539952882</v>
      </c>
      <c r="AC488" s="14">
        <v>4.7962676702308693E-2</v>
      </c>
      <c r="AD488" s="14">
        <v>1.0492465934819586</v>
      </c>
      <c r="AE488" s="14">
        <v>-0.64500667120111732</v>
      </c>
      <c r="AF488" s="14">
        <v>0.52184255472732644</v>
      </c>
      <c r="AG488" s="14">
        <v>-0.29614003418150392</v>
      </c>
      <c r="AH488" s="14">
        <v>-4.7587986263560533E-2</v>
      </c>
      <c r="AI488" s="14">
        <v>0.29687488193933242</v>
      </c>
      <c r="AJ488" s="14">
        <v>1.516751124553869</v>
      </c>
      <c r="AK488" s="14">
        <v>-1.2885669444476902</v>
      </c>
    </row>
  </sheetData>
  <mergeCells count="12">
    <mergeCell ref="BH17:BI17"/>
    <mergeCell ref="BK17:BL17"/>
    <mergeCell ref="AN7:AO7"/>
    <mergeCell ref="AN6:AO6"/>
    <mergeCell ref="AN5:AO5"/>
    <mergeCell ref="O1:P1"/>
    <mergeCell ref="R17:AK17"/>
    <mergeCell ref="R29:AK29"/>
    <mergeCell ref="R33:AK33"/>
    <mergeCell ref="AM17:BF17"/>
    <mergeCell ref="AM29:BF29"/>
    <mergeCell ref="AT4:AU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0AC4-FFFB-394D-AD78-A973F56F23BE}">
  <dimension ref="A1:AP142"/>
  <sheetViews>
    <sheetView topLeftCell="A97" zoomScale="125" workbookViewId="0">
      <selection activeCell="A115" sqref="A115"/>
    </sheetView>
  </sheetViews>
  <sheetFormatPr baseColWidth="10" defaultRowHeight="16" x14ac:dyDescent="0.2"/>
  <cols>
    <col min="1" max="1" width="11.5" style="3" bestFit="1" customWidth="1"/>
    <col min="2" max="2" width="12.33203125" style="3" bestFit="1" customWidth="1"/>
    <col min="3" max="3" width="14.5" style="3" bestFit="1" customWidth="1"/>
    <col min="4" max="4" width="10.1640625" style="3" bestFit="1" customWidth="1"/>
    <col min="5" max="5" width="17.5" style="3" bestFit="1" customWidth="1"/>
    <col min="6" max="6" width="14.33203125" style="3" bestFit="1" customWidth="1"/>
    <col min="7" max="7" width="19.33203125" style="3" bestFit="1" customWidth="1"/>
    <col min="8" max="8" width="11.5" style="3" bestFit="1" customWidth="1"/>
    <col min="9" max="9" width="10.1640625" style="3" bestFit="1" customWidth="1"/>
    <col min="10" max="10" width="19.33203125" style="3" bestFit="1" customWidth="1"/>
    <col min="13" max="13" width="15" style="3" customWidth="1"/>
    <col min="15" max="16" width="10.83203125" style="2"/>
    <col min="19" max="19" width="20.1640625" customWidth="1"/>
    <col min="20" max="20" width="13.5" customWidth="1"/>
    <col min="42" max="42" width="14.83203125" customWidth="1"/>
  </cols>
  <sheetData>
    <row r="1" spans="1:40" x14ac:dyDescent="0.2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M1" s="11" t="s">
        <v>0</v>
      </c>
      <c r="N1" s="4"/>
      <c r="O1" s="18" t="s">
        <v>18</v>
      </c>
      <c r="P1" s="19"/>
      <c r="W1" s="19" t="s">
        <v>27</v>
      </c>
      <c r="X1" s="19"/>
    </row>
    <row r="2" spans="1:40" x14ac:dyDescent="0.2">
      <c r="A2">
        <v>-0.24783464521276749</v>
      </c>
      <c r="B2">
        <v>2.8750789769353311</v>
      </c>
      <c r="C2">
        <v>-0.26719492144363999</v>
      </c>
      <c r="D2">
        <v>-0.31035248569260621</v>
      </c>
      <c r="E2">
        <v>-0.57173093616947124</v>
      </c>
      <c r="F2">
        <v>-0.78463944860285673</v>
      </c>
      <c r="G2">
        <v>-0.45495949097434851</v>
      </c>
      <c r="H2">
        <v>-0.29288998431943969</v>
      </c>
      <c r="I2">
        <v>-0.3451208509890224</v>
      </c>
      <c r="J2">
        <v>-0.59462991763333128</v>
      </c>
      <c r="M2" s="13">
        <v>0</v>
      </c>
      <c r="O2" s="10">
        <f>IF(M2=0,1,0)</f>
        <v>1</v>
      </c>
      <c r="P2" s="10">
        <f>IF(M2=1,1,0)</f>
        <v>0</v>
      </c>
      <c r="S2" s="7" t="s">
        <v>17</v>
      </c>
      <c r="T2" s="7" cm="1">
        <f t="array" ref="T2">SUMPRODUCT(--(AP29:AP142=M2:M115))/114*100</f>
        <v>96.491228070175438</v>
      </c>
      <c r="W2" s="10" cm="1">
        <f t="array" ref="W2">SUMPRODUCT(--(M2:M115=1),--(AP29:AP142=1))</f>
        <v>26</v>
      </c>
      <c r="X2" s="10" cm="1">
        <f t="array" ref="X2">SUMPRODUCT(--(M2:M115=1),--(AP29:AP142=0))</f>
        <v>0</v>
      </c>
      <c r="Z2" s="7" t="s">
        <v>28</v>
      </c>
      <c r="AA2" s="7">
        <f>W2/(W2+W3)*100</f>
        <v>86.666666666666671</v>
      </c>
      <c r="AC2" s="7" t="s">
        <v>31</v>
      </c>
      <c r="AD2" s="8">
        <f>2*((AA2*AA3)/(AA2+AA3))</f>
        <v>92.857142857142861</v>
      </c>
    </row>
    <row r="3" spans="1:40" x14ac:dyDescent="0.2">
      <c r="A3">
        <v>-0.74612275812646889</v>
      </c>
      <c r="B3">
        <v>2.5244939460839939</v>
      </c>
      <c r="C3">
        <v>-0.74137726390484937</v>
      </c>
      <c r="D3">
        <v>-0.71747159483108591</v>
      </c>
      <c r="E3">
        <v>-0.35839289525776402</v>
      </c>
      <c r="F3">
        <v>-0.24683897914801831</v>
      </c>
      <c r="G3">
        <v>-0.77272792017277236</v>
      </c>
      <c r="H3">
        <v>-0.6908929448688923</v>
      </c>
      <c r="I3">
        <v>-0.65868558781040709</v>
      </c>
      <c r="J3">
        <v>-0.73318369099770775</v>
      </c>
      <c r="M3" s="13">
        <v>0</v>
      </c>
      <c r="O3" s="10">
        <f t="shared" ref="O3:O66" si="0">IF(M3=0,1,0)</f>
        <v>1</v>
      </c>
      <c r="P3" s="10">
        <f t="shared" ref="P3:P66" si="1">IF(M3=1,1,0)</f>
        <v>0</v>
      </c>
      <c r="S3" s="7" t="s">
        <v>26</v>
      </c>
      <c r="T3" s="7" cm="1">
        <f t="array" ref="T3">SUMPRODUCT(--(AP29:AP142=M2:M115))</f>
        <v>110</v>
      </c>
      <c r="U3" s="4">
        <v>114</v>
      </c>
      <c r="W3" s="10" cm="1">
        <f t="array" ref="W3">SUMPRODUCT(--(M2:M115=0),--(AP29:AP142=1))</f>
        <v>4</v>
      </c>
      <c r="X3" s="10" cm="1">
        <f t="array" ref="X3">SUMPRODUCT(--(M2:M115=0),--(AP29:AP142=0))</f>
        <v>84</v>
      </c>
      <c r="Z3" s="7" t="s">
        <v>29</v>
      </c>
      <c r="AA3" s="7">
        <f>W2/(W2+X2)*100</f>
        <v>100</v>
      </c>
    </row>
    <row r="4" spans="1:40" x14ac:dyDescent="0.2">
      <c r="A4">
        <v>-0.29623977618152708</v>
      </c>
      <c r="B4">
        <v>1.534029942839658</v>
      </c>
      <c r="C4">
        <v>-0.35979897088680601</v>
      </c>
      <c r="D4">
        <v>-0.36564734006539079</v>
      </c>
      <c r="E4">
        <v>-0.98446942821206895</v>
      </c>
      <c r="F4">
        <v>-0.79046221341842393</v>
      </c>
      <c r="G4">
        <v>-0.75973177751910781</v>
      </c>
      <c r="H4">
        <v>-0.43724338970007032</v>
      </c>
      <c r="I4">
        <v>-0.47333320400878992</v>
      </c>
      <c r="J4">
        <v>-0.85710570812317355</v>
      </c>
      <c r="M4" s="13">
        <v>0</v>
      </c>
      <c r="O4" s="10">
        <f t="shared" si="0"/>
        <v>1</v>
      </c>
      <c r="P4" s="10">
        <f t="shared" si="1"/>
        <v>0</v>
      </c>
    </row>
    <row r="5" spans="1:40" x14ac:dyDescent="0.2">
      <c r="A5">
        <v>-0.35603434973117148</v>
      </c>
      <c r="B5">
        <v>1.5046102199710141</v>
      </c>
      <c r="C5">
        <v>-0.42139720020391142</v>
      </c>
      <c r="D5">
        <v>-0.41635816506012019</v>
      </c>
      <c r="E5">
        <v>-1.008999586226307</v>
      </c>
      <c r="F5">
        <v>-0.98447178152860071</v>
      </c>
      <c r="G5">
        <v>-0.8377086334410947</v>
      </c>
      <c r="H5">
        <v>-0.43930558120550778</v>
      </c>
      <c r="I5">
        <v>-0.48109296127546092</v>
      </c>
      <c r="J5">
        <v>-0.86964721347081109</v>
      </c>
      <c r="M5" s="13">
        <v>0</v>
      </c>
      <c r="O5" s="10">
        <f t="shared" si="0"/>
        <v>1</v>
      </c>
      <c r="P5" s="10">
        <f t="shared" si="1"/>
        <v>0</v>
      </c>
      <c r="R5" s="18" t="s">
        <v>19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M5" s="18" t="s">
        <v>14</v>
      </c>
      <c r="AN5" s="18"/>
    </row>
    <row r="6" spans="1:40" x14ac:dyDescent="0.2">
      <c r="A6">
        <v>-1.280002879105435</v>
      </c>
      <c r="B6">
        <v>2.2572647966938142</v>
      </c>
      <c r="C6">
        <v>-1.28666628718849</v>
      </c>
      <c r="D6">
        <v>-1.073306875302579</v>
      </c>
      <c r="E6">
        <v>-1.0920676213199769</v>
      </c>
      <c r="F6">
        <v>-0.94296909614104707</v>
      </c>
      <c r="G6">
        <v>-1.02092876222511</v>
      </c>
      <c r="H6">
        <v>-1.196129863701098</v>
      </c>
      <c r="I6">
        <v>-0.97242668275148858</v>
      </c>
      <c r="J6">
        <v>-1.0271625484917351</v>
      </c>
      <c r="M6" s="13">
        <v>0</v>
      </c>
      <c r="O6" s="10">
        <f t="shared" si="0"/>
        <v>1</v>
      </c>
      <c r="P6" s="10">
        <f t="shared" si="1"/>
        <v>0</v>
      </c>
      <c r="R6" s="14">
        <v>1.2959810837282733</v>
      </c>
      <c r="S6" s="14">
        <v>3.0160502843625827</v>
      </c>
      <c r="T6" s="14">
        <v>-0.26303740294311023</v>
      </c>
      <c r="U6" s="14">
        <v>0.10332552509017234</v>
      </c>
      <c r="V6" s="14">
        <v>1.9657699018499954</v>
      </c>
      <c r="W6" s="14">
        <v>0.6983258628436595</v>
      </c>
      <c r="X6" s="14">
        <v>-1.4331876638399728</v>
      </c>
      <c r="Y6" s="14">
        <v>-0.31770619857941496</v>
      </c>
      <c r="Z6" s="14">
        <v>1.4099213923561227</v>
      </c>
      <c r="AA6" s="14">
        <v>2.3811995865260602</v>
      </c>
      <c r="AB6" s="14">
        <v>-1.8653342216337523</v>
      </c>
      <c r="AC6" s="14">
        <v>0.75822432728917588</v>
      </c>
      <c r="AD6" s="14">
        <v>-0.98677381373355466</v>
      </c>
      <c r="AE6" s="14">
        <v>2.760234355391213</v>
      </c>
      <c r="AF6" s="14">
        <v>0.10354945329191224</v>
      </c>
      <c r="AG6" s="14">
        <v>1.0607133205269934</v>
      </c>
      <c r="AH6" s="14">
        <v>-2.1509147278430092</v>
      </c>
      <c r="AI6" s="14">
        <v>-1.6215049643970312</v>
      </c>
      <c r="AJ6" s="14">
        <v>-0.42329859419693289</v>
      </c>
      <c r="AK6" s="14">
        <v>0.38633783823030454</v>
      </c>
      <c r="AM6" s="14">
        <v>-1.2055448532490529</v>
      </c>
      <c r="AN6" s="14">
        <v>-0.7722038880035158</v>
      </c>
    </row>
    <row r="7" spans="1:40" x14ac:dyDescent="0.2">
      <c r="A7">
        <v>0.80568879351905753</v>
      </c>
      <c r="B7">
        <v>1.9998422215931819</v>
      </c>
      <c r="C7">
        <v>0.76054466300149226</v>
      </c>
      <c r="D7">
        <v>0.76030487591928553</v>
      </c>
      <c r="E7">
        <v>0.1110251285601567</v>
      </c>
      <c r="F7">
        <v>0.11367688496476221</v>
      </c>
      <c r="G7">
        <v>0.35207548518556192</v>
      </c>
      <c r="H7">
        <v>1.338303496481684</v>
      </c>
      <c r="I7">
        <v>1.3168780690361339</v>
      </c>
      <c r="J7">
        <v>0.56799748881968393</v>
      </c>
      <c r="M7" s="13">
        <v>1</v>
      </c>
      <c r="O7" s="10">
        <f t="shared" si="0"/>
        <v>0</v>
      </c>
      <c r="P7" s="10">
        <f t="shared" si="1"/>
        <v>1</v>
      </c>
      <c r="R7" s="14">
        <v>-0.4966829820784146</v>
      </c>
      <c r="S7" s="14">
        <v>7.7910526225991317E-2</v>
      </c>
      <c r="T7" s="14">
        <v>2.6539708695285748E-2</v>
      </c>
      <c r="U7" s="14">
        <v>0.26679659291569735</v>
      </c>
      <c r="V7" s="14">
        <v>0.13734194163396832</v>
      </c>
      <c r="W7" s="14">
        <v>0.46946062996641008</v>
      </c>
      <c r="X7" s="14">
        <v>-0.12638455782813812</v>
      </c>
      <c r="Y7" s="14">
        <v>-0.19809772978508075</v>
      </c>
      <c r="Z7" s="14">
        <v>-0.19835009163637329</v>
      </c>
      <c r="AA7" s="14">
        <v>8.9408773791093674E-2</v>
      </c>
      <c r="AB7" s="14">
        <v>-0.15809331453456202</v>
      </c>
      <c r="AC7" s="14">
        <v>-0.26817193321177013</v>
      </c>
      <c r="AD7" s="14">
        <v>-0.18562333551217911</v>
      </c>
      <c r="AE7" s="14">
        <v>-6.3731548668891552E-2</v>
      </c>
      <c r="AF7" s="14">
        <v>-0.29310382288983766</v>
      </c>
      <c r="AG7" s="14">
        <v>0.25974424694341669</v>
      </c>
      <c r="AH7" s="14">
        <v>-7.1564200742670669E-2</v>
      </c>
      <c r="AI7" s="14">
        <v>-9.4499671133554827E-2</v>
      </c>
      <c r="AJ7" s="14">
        <v>-0.22151455662935804</v>
      </c>
      <c r="AK7" s="14">
        <v>0.42418414882755012</v>
      </c>
      <c r="AM7" s="14">
        <v>0.89687653829019909</v>
      </c>
      <c r="AN7" s="14">
        <v>0.53681233686347685</v>
      </c>
    </row>
    <row r="8" spans="1:40" x14ac:dyDescent="0.2">
      <c r="A8">
        <v>3.749859700677729</v>
      </c>
      <c r="B8">
        <v>1.7840975872231291</v>
      </c>
      <c r="C8">
        <v>3.8900654410584719</v>
      </c>
      <c r="D8">
        <v>5.2586702049715504</v>
      </c>
      <c r="E8">
        <v>1.742652305567814</v>
      </c>
      <c r="F8">
        <v>3.3694696371585331</v>
      </c>
      <c r="G8">
        <v>3.0173040344929509</v>
      </c>
      <c r="H8">
        <v>4.0356499855940342</v>
      </c>
      <c r="I8">
        <v>5.9127706683416914</v>
      </c>
      <c r="J8">
        <v>2.1655463842925569</v>
      </c>
      <c r="M8" s="13">
        <v>1</v>
      </c>
      <c r="O8" s="10">
        <f t="shared" si="0"/>
        <v>0</v>
      </c>
      <c r="P8" s="10">
        <f t="shared" si="1"/>
        <v>1</v>
      </c>
      <c r="R8" s="14">
        <v>-0.10008753581682275</v>
      </c>
      <c r="S8" s="14">
        <v>-3.2579561799630827</v>
      </c>
      <c r="T8" s="14">
        <v>0.62286737931279956</v>
      </c>
      <c r="U8" s="14">
        <v>-3.6684745453267158E-3</v>
      </c>
      <c r="V8" s="14">
        <v>-0.91980990405114282</v>
      </c>
      <c r="W8" s="14">
        <v>-0.33373669133048112</v>
      </c>
      <c r="X8" s="14">
        <v>2.2363380177634768</v>
      </c>
      <c r="Y8" s="14">
        <v>0.90744092495753026</v>
      </c>
      <c r="Z8" s="14">
        <v>-1.5176852907916438</v>
      </c>
      <c r="AA8" s="14">
        <v>-1.5466388367509487</v>
      </c>
      <c r="AB8" s="14">
        <v>0.43851345045755052</v>
      </c>
      <c r="AC8" s="14">
        <v>0.38929056033954218</v>
      </c>
      <c r="AD8" s="14">
        <v>1.7702391135580879</v>
      </c>
      <c r="AE8" s="14">
        <v>-2.6708479909835274</v>
      </c>
      <c r="AF8" s="14">
        <v>-4.4396517715056399E-3</v>
      </c>
      <c r="AG8" s="14">
        <v>-0.3510331274808553</v>
      </c>
      <c r="AH8" s="14">
        <v>2.0690360230407374</v>
      </c>
      <c r="AI8" s="14">
        <v>2.4250134752490164</v>
      </c>
      <c r="AJ8" s="14">
        <v>1.1032679185639873</v>
      </c>
      <c r="AK8" s="14">
        <v>-1.281005185969768</v>
      </c>
      <c r="AM8" s="14">
        <v>0.49870178453091385</v>
      </c>
      <c r="AN8" s="14">
        <v>0.16822345917790724</v>
      </c>
    </row>
    <row r="9" spans="1:40" x14ac:dyDescent="0.2">
      <c r="A9">
        <v>4.2596140599789743E-2</v>
      </c>
      <c r="B9">
        <v>1.9606159244349901</v>
      </c>
      <c r="C9">
        <v>-2.286905885028807E-2</v>
      </c>
      <c r="D9">
        <v>-5.5652353374444151E-2</v>
      </c>
      <c r="E9">
        <v>-0.98112440666467282</v>
      </c>
      <c r="F9">
        <v>-0.7032446297980125</v>
      </c>
      <c r="G9">
        <v>-0.84407929160465567</v>
      </c>
      <c r="H9">
        <v>-0.2207132816291246</v>
      </c>
      <c r="I9">
        <v>-0.29397699627687313</v>
      </c>
      <c r="J9">
        <v>-0.92309791483336134</v>
      </c>
      <c r="M9" s="13">
        <v>0</v>
      </c>
      <c r="O9" s="10">
        <f t="shared" si="0"/>
        <v>1</v>
      </c>
      <c r="P9" s="10">
        <f t="shared" si="1"/>
        <v>0</v>
      </c>
      <c r="R9" s="14">
        <v>-0.4957954830282551</v>
      </c>
      <c r="S9" s="14">
        <v>-5.5012323033062867E-2</v>
      </c>
      <c r="T9" s="14">
        <v>-0.19197911813696142</v>
      </c>
      <c r="U9" s="14">
        <v>0.14381511560955901</v>
      </c>
      <c r="V9" s="14">
        <v>-0.743665064442246</v>
      </c>
      <c r="W9" s="14">
        <v>-0.43893788996188876</v>
      </c>
      <c r="X9" s="14">
        <v>-0.32739143830219086</v>
      </c>
      <c r="Y9" s="14">
        <v>-0.38166481876113567</v>
      </c>
      <c r="Z9" s="14">
        <v>-1.3388140253353652E-2</v>
      </c>
      <c r="AA9" s="14">
        <v>-0.46587376033895878</v>
      </c>
      <c r="AB9" s="14">
        <v>0.51009307572721507</v>
      </c>
      <c r="AC9" s="14">
        <v>-0.93782154000852147</v>
      </c>
      <c r="AD9" s="14">
        <v>-0.36036501557572931</v>
      </c>
      <c r="AE9" s="14">
        <v>-0.24646076795384514</v>
      </c>
      <c r="AF9" s="14">
        <v>2.7893969266395886E-2</v>
      </c>
      <c r="AG9" s="14">
        <v>-0.11809825729300065</v>
      </c>
      <c r="AH9" s="14">
        <v>0.14099908123335084</v>
      </c>
      <c r="AI9" s="14">
        <v>-0.36051738359424307</v>
      </c>
      <c r="AJ9" s="14">
        <v>-0.49537969338302512</v>
      </c>
      <c r="AK9" s="14">
        <v>0.40388847924343074</v>
      </c>
      <c r="AM9" s="14">
        <v>0.58496489429933962</v>
      </c>
      <c r="AN9" s="14">
        <v>4.53029280227287E-2</v>
      </c>
    </row>
    <row r="10" spans="1:40" x14ac:dyDescent="0.2">
      <c r="A10">
        <v>-0.75466484006213275</v>
      </c>
      <c r="B10">
        <v>-0.15515247853496589</v>
      </c>
      <c r="C10">
        <v>-0.78230494647124882</v>
      </c>
      <c r="D10">
        <v>-0.724347638898168</v>
      </c>
      <c r="E10">
        <v>-0.86367698344498733</v>
      </c>
      <c r="F10">
        <v>-0.7167484886256047</v>
      </c>
      <c r="G10">
        <v>-0.83388623854295807</v>
      </c>
      <c r="H10">
        <v>-0.76306964755920748</v>
      </c>
      <c r="I10">
        <v>-0.71635469295134768</v>
      </c>
      <c r="J10">
        <v>-0.51624550921059698</v>
      </c>
      <c r="M10" s="13">
        <v>0</v>
      </c>
      <c r="O10" s="10">
        <f t="shared" si="0"/>
        <v>1</v>
      </c>
      <c r="P10" s="10">
        <f t="shared" si="1"/>
        <v>0</v>
      </c>
      <c r="R10" s="14">
        <v>0.11434445778997437</v>
      </c>
      <c r="S10" s="14">
        <v>0.29040489322149587</v>
      </c>
      <c r="T10" s="14">
        <v>-0.25029884725429868</v>
      </c>
      <c r="U10" s="14">
        <v>-0.13598700592992707</v>
      </c>
      <c r="V10" s="14">
        <v>0.13160112017219078</v>
      </c>
      <c r="W10" s="14">
        <v>-5.5573195521375685E-2</v>
      </c>
      <c r="X10" s="14">
        <v>-4.1743907943952427E-2</v>
      </c>
      <c r="Y10" s="14">
        <v>-0.32163518560789561</v>
      </c>
      <c r="Z10" s="14">
        <v>-0.16000462139712449</v>
      </c>
      <c r="AA10" s="14">
        <v>0.32584933553114892</v>
      </c>
      <c r="AB10" s="14">
        <v>0.28507865677112043</v>
      </c>
      <c r="AC10" s="14">
        <v>-0.20667727404440064</v>
      </c>
      <c r="AD10" s="14">
        <v>3.3036735820413346E-2</v>
      </c>
      <c r="AE10" s="14">
        <v>0.26539428986254854</v>
      </c>
      <c r="AF10" s="14">
        <v>0.13665228792119943</v>
      </c>
      <c r="AG10" s="14">
        <v>0.35228304620386236</v>
      </c>
      <c r="AH10" s="14">
        <v>-0.27485527211218591</v>
      </c>
      <c r="AI10" s="14">
        <v>-0.19603173634211957</v>
      </c>
      <c r="AJ10" s="14">
        <v>-0.14042662707448392</v>
      </c>
      <c r="AK10" s="14">
        <v>0.29311917237723889</v>
      </c>
      <c r="AM10" s="14">
        <v>-0.8887808161570655</v>
      </c>
      <c r="AN10" s="14">
        <v>-1.3729225369557927</v>
      </c>
    </row>
    <row r="11" spans="1:40" x14ac:dyDescent="0.2">
      <c r="A11">
        <v>-0.30762921876241189</v>
      </c>
      <c r="B11">
        <v>-0.18947548854838361</v>
      </c>
      <c r="C11">
        <v>-0.35235757405655133</v>
      </c>
      <c r="D11">
        <v>-0.36736635108216131</v>
      </c>
      <c r="E11">
        <v>-0.83784598371787289</v>
      </c>
      <c r="F11">
        <v>-0.53190667788461887</v>
      </c>
      <c r="G11">
        <v>-0.55536106363207027</v>
      </c>
      <c r="H11">
        <v>-0.32382285690100338</v>
      </c>
      <c r="I11">
        <v>-0.3768653125344944</v>
      </c>
      <c r="J11">
        <v>-0.193451050144022</v>
      </c>
      <c r="M11" s="13">
        <v>0</v>
      </c>
      <c r="O11" s="10">
        <f t="shared" si="0"/>
        <v>1</v>
      </c>
      <c r="P11" s="10">
        <f t="shared" si="1"/>
        <v>0</v>
      </c>
      <c r="R11" s="14">
        <v>-0.44231253120244535</v>
      </c>
      <c r="S11" s="14">
        <v>0.26586797189603811</v>
      </c>
      <c r="T11" s="14">
        <v>0.23771468180230418</v>
      </c>
      <c r="U11" s="14">
        <v>-0.42589969273686784</v>
      </c>
      <c r="V11" s="14">
        <v>6.7389576403459953E-2</v>
      </c>
      <c r="W11" s="14">
        <v>0.19604276772055187</v>
      </c>
      <c r="X11" s="14">
        <v>-0.24294132701575005</v>
      </c>
      <c r="Y11" s="14">
        <v>-4.4191427739784191E-2</v>
      </c>
      <c r="Z11" s="14">
        <v>5.009783132409797E-3</v>
      </c>
      <c r="AA11" s="14">
        <v>-0.16352237933425026</v>
      </c>
      <c r="AB11" s="14">
        <v>-0.10278882709395055</v>
      </c>
      <c r="AC11" s="14">
        <v>2.8212263740478225E-2</v>
      </c>
      <c r="AD11" s="14">
        <v>-0.32724659220979663</v>
      </c>
      <c r="AE11" s="14">
        <v>0.13460975189317939</v>
      </c>
      <c r="AF11" s="14">
        <v>-0.29141519375795027</v>
      </c>
      <c r="AG11" s="14">
        <v>-0.201675839495568</v>
      </c>
      <c r="AH11" s="14">
        <v>-0.18361942209526355</v>
      </c>
      <c r="AI11" s="14">
        <v>-0.34341698650225932</v>
      </c>
      <c r="AJ11" s="14">
        <v>-0.14015914293830301</v>
      </c>
      <c r="AK11" s="14">
        <v>0.29990908615022766</v>
      </c>
      <c r="AM11" s="14">
        <v>-2.2419411125537172</v>
      </c>
      <c r="AN11" s="14">
        <v>-1.573201548020851</v>
      </c>
    </row>
    <row r="12" spans="1:40" x14ac:dyDescent="0.2">
      <c r="A12">
        <v>-0.28769769424586378</v>
      </c>
      <c r="B12">
        <v>0.27878843377752799</v>
      </c>
      <c r="C12">
        <v>-0.24528414188789091</v>
      </c>
      <c r="D12">
        <v>-0.35132224825897002</v>
      </c>
      <c r="E12">
        <v>0.32101814792446798</v>
      </c>
      <c r="F12">
        <v>0.1173935433576776</v>
      </c>
      <c r="G12">
        <v>-0.56478963771414048</v>
      </c>
      <c r="H12">
        <v>-0.21246451560737439</v>
      </c>
      <c r="I12">
        <v>-0.29591693559354088</v>
      </c>
      <c r="J12">
        <v>0.2723762913396568</v>
      </c>
      <c r="M12" s="13">
        <v>0</v>
      </c>
      <c r="O12" s="10">
        <f t="shared" si="0"/>
        <v>1</v>
      </c>
      <c r="P12" s="10">
        <f t="shared" si="1"/>
        <v>0</v>
      </c>
      <c r="R12" s="14">
        <v>0.17409376857982237</v>
      </c>
      <c r="S12" s="14">
        <v>0.20125898743959608</v>
      </c>
      <c r="T12" s="14">
        <v>-0.20839259874629684</v>
      </c>
      <c r="U12" s="14">
        <v>-0.401185863568368</v>
      </c>
      <c r="V12" s="14">
        <v>0.12480824937945066</v>
      </c>
      <c r="W12" s="14">
        <v>0.29654916176066848</v>
      </c>
      <c r="X12" s="14">
        <v>-0.28574192291022943</v>
      </c>
      <c r="Y12" s="14">
        <v>-0.30671001289861677</v>
      </c>
      <c r="Z12" s="14">
        <v>0.4045714377799926</v>
      </c>
      <c r="AA12" s="14">
        <v>-4.6713719256033384E-3</v>
      </c>
      <c r="AB12" s="14">
        <v>0.5149101164673684</v>
      </c>
      <c r="AC12" s="14">
        <v>0.31867056583498193</v>
      </c>
      <c r="AD12" s="14">
        <v>-0.11009389467401763</v>
      </c>
      <c r="AE12" s="14">
        <v>0.21629920967515237</v>
      </c>
      <c r="AF12" s="14">
        <v>-0.33377620088670568</v>
      </c>
      <c r="AG12" s="14">
        <v>-0.40163836530425878</v>
      </c>
      <c r="AH12" s="14">
        <v>-0.20183814054517973</v>
      </c>
      <c r="AI12" s="14">
        <v>-1.4554814282832669E-3</v>
      </c>
      <c r="AJ12" s="14">
        <v>0.10154950218909982</v>
      </c>
      <c r="AK12" s="14">
        <v>0.18099810438883987</v>
      </c>
      <c r="AM12" s="14">
        <v>4.9887016603587755</v>
      </c>
      <c r="AN12" s="14">
        <v>-0.86237095896906146</v>
      </c>
    </row>
    <row r="13" spans="1:40" x14ac:dyDescent="0.2">
      <c r="A13">
        <v>-0.3161713006980752</v>
      </c>
      <c r="B13">
        <v>0.4283386916931331</v>
      </c>
      <c r="C13">
        <v>-0.2820777151041487</v>
      </c>
      <c r="D13">
        <v>-0.36851235842667501</v>
      </c>
      <c r="E13">
        <v>7.1999877173868659E-2</v>
      </c>
      <c r="F13">
        <v>0.21031000318055909</v>
      </c>
      <c r="G13">
        <v>-0.39227221464490808</v>
      </c>
      <c r="H13">
        <v>-0.34444477195537909</v>
      </c>
      <c r="I13">
        <v>-0.37421994073903841</v>
      </c>
      <c r="J13">
        <v>9.6018935796328992E-3</v>
      </c>
      <c r="M13" s="13">
        <v>0</v>
      </c>
      <c r="O13" s="10">
        <f t="shared" si="0"/>
        <v>1</v>
      </c>
      <c r="P13" s="10">
        <f t="shared" si="1"/>
        <v>0</v>
      </c>
      <c r="R13" s="14">
        <v>-0.76079932290899766</v>
      </c>
      <c r="S13" s="14">
        <v>0.67070239877580473</v>
      </c>
      <c r="T13" s="14">
        <v>0.46700225039654703</v>
      </c>
      <c r="U13" s="14">
        <v>0.17491202443858384</v>
      </c>
      <c r="V13" s="14">
        <v>0.62621133793778094</v>
      </c>
      <c r="W13" s="14">
        <v>-1.250663503491684</v>
      </c>
      <c r="X13" s="14">
        <v>-2.1657559350464033</v>
      </c>
      <c r="Y13" s="14">
        <v>-0.42369740894741897</v>
      </c>
      <c r="Z13" s="14">
        <v>1.8515334086310773</v>
      </c>
      <c r="AA13" s="14">
        <v>-0.14644111940502899</v>
      </c>
      <c r="AB13" s="14">
        <v>0.44678295526710066</v>
      </c>
      <c r="AC13" s="14">
        <v>0.1201897893514705</v>
      </c>
      <c r="AD13" s="14">
        <v>-1.3985500851766641</v>
      </c>
      <c r="AE13" s="14">
        <v>1.0627299315910645</v>
      </c>
      <c r="AF13" s="14">
        <v>0.27085802654744784</v>
      </c>
      <c r="AG13" s="14">
        <v>-0.69425782723937357</v>
      </c>
      <c r="AH13" s="14">
        <v>-0.30881539415976367</v>
      </c>
      <c r="AI13" s="14">
        <v>-1.0721896657599068</v>
      </c>
      <c r="AJ13" s="14">
        <v>-1.587875936352716</v>
      </c>
      <c r="AK13" s="14">
        <v>0.44367979987516315</v>
      </c>
      <c r="AM13" s="14">
        <v>1.0704401058603947</v>
      </c>
      <c r="AN13" s="14">
        <v>1.3476274167628415</v>
      </c>
    </row>
    <row r="14" spans="1:40" x14ac:dyDescent="0.2">
      <c r="A14">
        <v>-1.3047749167188589</v>
      </c>
      <c r="B14">
        <v>-0.21889521141702659</v>
      </c>
      <c r="C14">
        <v>-1.3122977651593659</v>
      </c>
      <c r="D14">
        <v>-1.086485959764486</v>
      </c>
      <c r="E14">
        <v>-0.94302832793043934</v>
      </c>
      <c r="F14">
        <v>-0.95065019015307184</v>
      </c>
      <c r="G14">
        <v>-1.139703313026541</v>
      </c>
      <c r="H14">
        <v>-1.097144671440095</v>
      </c>
      <c r="I14">
        <v>-0.91899017248327752</v>
      </c>
      <c r="J14">
        <v>-1.380414949116858</v>
      </c>
      <c r="M14" s="13">
        <v>0</v>
      </c>
      <c r="O14" s="10">
        <f t="shared" si="0"/>
        <v>1</v>
      </c>
      <c r="P14" s="10">
        <f t="shared" si="1"/>
        <v>0</v>
      </c>
      <c r="R14" s="14">
        <v>0.25968964200777794</v>
      </c>
      <c r="S14" s="14">
        <v>-0.40498633072531137</v>
      </c>
      <c r="T14" s="14">
        <v>-0.30896390906088916</v>
      </c>
      <c r="U14" s="14">
        <v>-0.12292921738261162</v>
      </c>
      <c r="V14" s="14">
        <v>-0.29001108258599945</v>
      </c>
      <c r="W14" s="14">
        <v>0.60521314665206738</v>
      </c>
      <c r="X14" s="14">
        <v>1.4045823587950996</v>
      </c>
      <c r="Y14" s="14">
        <v>0.71413418976736376</v>
      </c>
      <c r="Z14" s="14">
        <v>-0.87730206896338969</v>
      </c>
      <c r="AA14" s="14">
        <v>-1.040261627186429E-2</v>
      </c>
      <c r="AB14" s="14">
        <v>-0.26187442835516339</v>
      </c>
      <c r="AC14" s="14">
        <v>0.14201730475173086</v>
      </c>
      <c r="AD14" s="14">
        <v>0.89724836986106871</v>
      </c>
      <c r="AE14" s="14">
        <v>-0.62600374882072574</v>
      </c>
      <c r="AF14" s="14">
        <v>4.2484193057848549E-2</v>
      </c>
      <c r="AG14" s="14">
        <v>0.45218574559450747</v>
      </c>
      <c r="AH14" s="14">
        <v>0.32913273995306236</v>
      </c>
      <c r="AI14" s="14">
        <v>0.6288834091844745</v>
      </c>
      <c r="AJ14" s="14">
        <v>1.0846798313854225</v>
      </c>
      <c r="AK14" s="14">
        <v>-0.20443410302125617</v>
      </c>
      <c r="AM14" s="14">
        <v>-0.57867546176926565</v>
      </c>
      <c r="AN14" s="14">
        <v>-0.19739202648142409</v>
      </c>
    </row>
    <row r="15" spans="1:40" x14ac:dyDescent="0.2">
      <c r="A15">
        <v>0.95375154707055831</v>
      </c>
      <c r="B15">
        <v>1.0633143769413591</v>
      </c>
      <c r="C15">
        <v>1.083005192312515</v>
      </c>
      <c r="D15">
        <v>0.90240978663898008</v>
      </c>
      <c r="E15">
        <v>1.7723858304335569</v>
      </c>
      <c r="F15">
        <v>1.512379326831873</v>
      </c>
      <c r="G15">
        <v>1.266647171146382</v>
      </c>
      <c r="H15">
        <v>1.0516588772258599</v>
      </c>
      <c r="I15">
        <v>0.9447624364753231</v>
      </c>
      <c r="J15">
        <v>1.226426519570653</v>
      </c>
      <c r="M15" s="13">
        <v>1</v>
      </c>
      <c r="O15" s="10">
        <f t="shared" si="0"/>
        <v>0</v>
      </c>
      <c r="P15" s="10">
        <f t="shared" si="1"/>
        <v>1</v>
      </c>
      <c r="R15" s="14">
        <v>0.32104905286532831</v>
      </c>
      <c r="S15" s="14">
        <v>0.24651566371886741</v>
      </c>
      <c r="T15" s="14">
        <v>0.2893253283728614</v>
      </c>
      <c r="U15" s="14">
        <v>0.62530217612047523</v>
      </c>
      <c r="V15" s="14">
        <v>-0.20072353457610731</v>
      </c>
      <c r="W15" s="14">
        <v>5.5527063288194883E-3</v>
      </c>
      <c r="X15" s="14">
        <v>-0.20964074524231646</v>
      </c>
      <c r="Y15" s="14">
        <v>-0.43190269894669336</v>
      </c>
      <c r="Z15" s="14">
        <v>-0.44728336383386619</v>
      </c>
      <c r="AA15" s="14">
        <v>0.26543623334616373</v>
      </c>
      <c r="AB15" s="14">
        <v>0.11659178657199629</v>
      </c>
      <c r="AC15" s="14">
        <v>-8.5359196626970377E-2</v>
      </c>
      <c r="AD15" s="14">
        <v>-0.26012442943208619</v>
      </c>
      <c r="AE15" s="14">
        <v>0.21674053547102676</v>
      </c>
      <c r="AF15" s="14">
        <v>0.18115908809859754</v>
      </c>
      <c r="AG15" s="14">
        <v>1.1037361847307541E-2</v>
      </c>
      <c r="AH15" s="14">
        <v>7.3411047112120376E-2</v>
      </c>
      <c r="AI15" s="14">
        <v>-0.29817255892828209</v>
      </c>
      <c r="AJ15" s="14">
        <v>-0.31101149201464368</v>
      </c>
      <c r="AK15" s="14">
        <v>-0.3837363177280842</v>
      </c>
      <c r="AM15" s="14">
        <v>3.0454942645817402</v>
      </c>
      <c r="AN15" s="14">
        <v>3.6270874032048934</v>
      </c>
    </row>
    <row r="16" spans="1:40" x14ac:dyDescent="0.2">
      <c r="A16">
        <v>-0.74897011877169051</v>
      </c>
      <c r="B16">
        <v>-0.19928206283793129</v>
      </c>
      <c r="C16">
        <v>-0.67895221271771589</v>
      </c>
      <c r="D16">
        <v>-0.73552121050717623</v>
      </c>
      <c r="E16">
        <v>0.80418792699279451</v>
      </c>
      <c r="F16">
        <v>0.12978240466739499</v>
      </c>
      <c r="G16">
        <v>0.13114106007326559</v>
      </c>
      <c r="H16">
        <v>-0.64140034873839047</v>
      </c>
      <c r="I16">
        <v>-0.65815651345131576</v>
      </c>
      <c r="J16">
        <v>0.36046543604330139</v>
      </c>
      <c r="M16" s="13">
        <v>0</v>
      </c>
      <c r="O16" s="10">
        <f t="shared" si="0"/>
        <v>1</v>
      </c>
      <c r="P16" s="10">
        <f t="shared" si="1"/>
        <v>0</v>
      </c>
      <c r="AM16" s="14">
        <v>0.41564590257970691</v>
      </c>
      <c r="AN16" s="14">
        <v>0.50238653516515364</v>
      </c>
    </row>
    <row r="17" spans="1:42" x14ac:dyDescent="0.2">
      <c r="A17">
        <v>-1.3050596527833811</v>
      </c>
      <c r="B17">
        <v>-0.1232811120939355</v>
      </c>
      <c r="C17">
        <v>-1.294521094953758</v>
      </c>
      <c r="D17">
        <v>-1.0784639083528911</v>
      </c>
      <c r="E17">
        <v>-0.78878566768939662</v>
      </c>
      <c r="F17">
        <v>-0.76865781751332118</v>
      </c>
      <c r="G17">
        <v>-0.90090556242362008</v>
      </c>
      <c r="H17">
        <v>-1.099206862945532</v>
      </c>
      <c r="I17">
        <v>-0.91017226649842409</v>
      </c>
      <c r="J17">
        <v>-0.77424219064771127</v>
      </c>
      <c r="M17" s="13">
        <v>0</v>
      </c>
      <c r="O17" s="10">
        <f t="shared" si="0"/>
        <v>1</v>
      </c>
      <c r="P17" s="10">
        <f t="shared" si="1"/>
        <v>0</v>
      </c>
      <c r="R17" s="18" t="s">
        <v>24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M17" s="14">
        <v>0.30702914982960783</v>
      </c>
      <c r="AN17" s="14">
        <v>0.39388132106383072</v>
      </c>
    </row>
    <row r="18" spans="1:42" x14ac:dyDescent="0.2">
      <c r="A18">
        <v>-0.62938097167240226</v>
      </c>
      <c r="B18">
        <v>2.2425549352594918</v>
      </c>
      <c r="C18">
        <v>-0.6595218987720517</v>
      </c>
      <c r="D18">
        <v>-0.6177689558583972</v>
      </c>
      <c r="E18">
        <v>-0.83673097653540751</v>
      </c>
      <c r="F18">
        <v>-0.84063710172278006</v>
      </c>
      <c r="G18">
        <v>-0.68099044261749364</v>
      </c>
      <c r="H18">
        <v>-0.59190775260788853</v>
      </c>
      <c r="I18">
        <v>-0.58849505617097442</v>
      </c>
      <c r="J18">
        <v>-0.92548677299481619</v>
      </c>
      <c r="M18" s="13">
        <v>0</v>
      </c>
      <c r="O18" s="10">
        <f t="shared" si="0"/>
        <v>1</v>
      </c>
      <c r="P18" s="10">
        <f t="shared" si="1"/>
        <v>0</v>
      </c>
      <c r="R18" s="15" cm="1">
        <f t="array" ref="R18:AK131">TANH(MMULT(A2:J115,R6:AK15))</f>
        <v>-0.89038914089219245</v>
      </c>
      <c r="S18" s="15">
        <v>-0.29621671480871076</v>
      </c>
      <c r="T18" s="15">
        <v>-0.1156311611506608</v>
      </c>
      <c r="U18" s="15">
        <v>0.72190962197503128</v>
      </c>
      <c r="V18" s="15">
        <v>0.23113130694974268</v>
      </c>
      <c r="W18" s="15">
        <v>0.8615250006427867</v>
      </c>
      <c r="X18" s="15">
        <v>0.11412206692661259</v>
      </c>
      <c r="Y18" s="15">
        <v>-0.12165529461508104</v>
      </c>
      <c r="Z18" s="15">
        <v>-0.52273366277258537</v>
      </c>
      <c r="AA18" s="15">
        <v>5.7467485467877992E-2</v>
      </c>
      <c r="AB18" s="15">
        <v>-0.60062338898941414</v>
      </c>
      <c r="AC18" s="15">
        <v>-0.69331140442732275</v>
      </c>
      <c r="AD18" s="15">
        <v>-0.1072588690337308</v>
      </c>
      <c r="AE18" s="15">
        <v>-0.57639434394762845</v>
      </c>
      <c r="AF18" s="15">
        <v>-0.64992261756030945</v>
      </c>
      <c r="AG18" s="15">
        <v>0.6610240703764193</v>
      </c>
      <c r="AH18" s="15">
        <v>5.6913996291718456E-2</v>
      </c>
      <c r="AI18" s="15">
        <v>0.24548309604903706</v>
      </c>
      <c r="AJ18" s="15">
        <v>-0.24800435629550188</v>
      </c>
      <c r="AK18" s="15">
        <v>0.77160362537670901</v>
      </c>
      <c r="AM18" s="14">
        <v>-3.5594026781385883</v>
      </c>
      <c r="AN18" s="14">
        <v>-0.76842766086212344</v>
      </c>
    </row>
    <row r="19" spans="1:42" x14ac:dyDescent="0.2">
      <c r="A19">
        <v>0.1906588941512895</v>
      </c>
      <c r="B19">
        <v>-0.99606622386369692</v>
      </c>
      <c r="C19">
        <v>0.1507635338556475</v>
      </c>
      <c r="D19">
        <v>6.1240395765949592E-2</v>
      </c>
      <c r="E19">
        <v>-0.36303875851803641</v>
      </c>
      <c r="F19">
        <v>-0.44766242097853959</v>
      </c>
      <c r="G19">
        <v>-0.46591702301567339</v>
      </c>
      <c r="H19">
        <v>0.146356806338764</v>
      </c>
      <c r="I19">
        <v>9.358969602081579E-3</v>
      </c>
      <c r="J19">
        <v>-4.1161342351280827E-2</v>
      </c>
      <c r="M19" s="13">
        <v>0</v>
      </c>
      <c r="O19" s="10">
        <f t="shared" si="0"/>
        <v>1</v>
      </c>
      <c r="P19" s="10">
        <f t="shared" si="1"/>
        <v>0</v>
      </c>
      <c r="R19" s="15">
        <v>-0.94000014788531883</v>
      </c>
      <c r="S19" s="15">
        <v>-0.29259777583441521</v>
      </c>
      <c r="T19" s="15">
        <v>-0.19736653863011944</v>
      </c>
      <c r="U19" s="15">
        <v>0.4313117623436542</v>
      </c>
      <c r="V19" s="15">
        <v>-0.15786444926567514</v>
      </c>
      <c r="W19" s="15">
        <v>0.89170685005009376</v>
      </c>
      <c r="X19" s="15">
        <v>0.33438942412571515</v>
      </c>
      <c r="Y19" s="15">
        <v>-0.15843803958242456</v>
      </c>
      <c r="Z19" s="15">
        <v>-0.78096715524659166</v>
      </c>
      <c r="AA19" s="15">
        <v>-0.22551232210519059</v>
      </c>
      <c r="AB19" s="15">
        <v>-0.37546619455803626</v>
      </c>
      <c r="AC19" s="15">
        <v>-0.81828826222985673</v>
      </c>
      <c r="AD19" s="15">
        <v>-6.6144721538574466E-2</v>
      </c>
      <c r="AE19" s="15">
        <v>-0.68565828652039362</v>
      </c>
      <c r="AF19" s="15">
        <v>-0.71677763594901733</v>
      </c>
      <c r="AG19" s="15">
        <v>0.54895241549444973</v>
      </c>
      <c r="AH19" s="15">
        <v>3.1609578620688375E-2</v>
      </c>
      <c r="AI19" s="15">
        <v>0.13260043270229105</v>
      </c>
      <c r="AJ19" s="15">
        <v>-8.8591098884020433E-2</v>
      </c>
      <c r="AK19" s="15">
        <v>0.84346256499100092</v>
      </c>
      <c r="AM19" s="14">
        <v>1.5652535868899717</v>
      </c>
      <c r="AN19" s="14">
        <v>-1.634928934255151</v>
      </c>
    </row>
    <row r="20" spans="1:42" x14ac:dyDescent="0.2">
      <c r="A20">
        <v>-0.56389167683231567</v>
      </c>
      <c r="B20">
        <v>2.691205709006308</v>
      </c>
      <c r="C20">
        <v>-0.63595747547624581</v>
      </c>
      <c r="D20">
        <v>-0.57336117125849262</v>
      </c>
      <c r="E20">
        <v>-1.3202724246645561</v>
      </c>
      <c r="F20">
        <v>-1.1338814489237941</v>
      </c>
      <c r="G20">
        <v>-1.2867126208088751</v>
      </c>
      <c r="H20">
        <v>-0.62284062518945227</v>
      </c>
      <c r="I20">
        <v>-0.60383821258461923</v>
      </c>
      <c r="J20">
        <v>-1.753674036844165</v>
      </c>
      <c r="M20" s="13">
        <v>0</v>
      </c>
      <c r="O20" s="10">
        <f t="shared" si="0"/>
        <v>1</v>
      </c>
      <c r="P20" s="10">
        <f t="shared" si="1"/>
        <v>0</v>
      </c>
      <c r="R20" s="15">
        <v>-0.71099347676874436</v>
      </c>
      <c r="S20" s="15">
        <v>-0.49559161847159816</v>
      </c>
      <c r="T20" s="15">
        <v>-0.1237416860150948</v>
      </c>
      <c r="U20" s="15">
        <v>0.49938218734060658</v>
      </c>
      <c r="V20" s="15">
        <v>-1.0926932670442695E-2</v>
      </c>
      <c r="W20" s="15">
        <v>0.61934073165602044</v>
      </c>
      <c r="X20" s="15">
        <v>0.42828718929872717</v>
      </c>
      <c r="Y20" s="15">
        <v>0.38447342978381671</v>
      </c>
      <c r="Z20" s="15">
        <v>-0.32367290835321499</v>
      </c>
      <c r="AA20" s="15">
        <v>-0.18577715549755877</v>
      </c>
      <c r="AB20" s="15">
        <v>-0.66187844352235403</v>
      </c>
      <c r="AC20" s="15">
        <v>-0.49352041123524215</v>
      </c>
      <c r="AD20" s="15">
        <v>0.218389099576736</v>
      </c>
      <c r="AE20" s="15">
        <v>-0.63545306889548825</v>
      </c>
      <c r="AF20" s="15">
        <v>-0.40808959601617228</v>
      </c>
      <c r="AG20" s="15">
        <v>0.42314867159551534</v>
      </c>
      <c r="AH20" s="15">
        <v>0.21346844021742284</v>
      </c>
      <c r="AI20" s="15">
        <v>0.45178981826598102</v>
      </c>
      <c r="AJ20" s="15">
        <v>0.18687427941346704</v>
      </c>
      <c r="AK20" s="15">
        <v>0.39525639773980431</v>
      </c>
      <c r="AM20" s="14">
        <v>-1.9098034180021457</v>
      </c>
      <c r="AN20" s="14">
        <v>-1.8983738976700353</v>
      </c>
    </row>
    <row r="21" spans="1:42" x14ac:dyDescent="0.2">
      <c r="A21">
        <v>-0.95967480651805526</v>
      </c>
      <c r="B21">
        <v>-0.82690281736899607</v>
      </c>
      <c r="C21">
        <v>-0.92575854092115262</v>
      </c>
      <c r="D21">
        <v>-0.87848562673525599</v>
      </c>
      <c r="E21">
        <v>3.4832971091689653E-2</v>
      </c>
      <c r="F21">
        <v>-0.50019119293174197</v>
      </c>
      <c r="G21">
        <v>-0.88638046181070107</v>
      </c>
      <c r="H21">
        <v>-0.93423154251052631</v>
      </c>
      <c r="I21">
        <v>-0.82569672716352904</v>
      </c>
      <c r="J21">
        <v>-0.56432127970987411</v>
      </c>
      <c r="M21" s="13">
        <v>0</v>
      </c>
      <c r="O21" s="10">
        <f t="shared" si="0"/>
        <v>1</v>
      </c>
      <c r="P21" s="10">
        <f t="shared" si="1"/>
        <v>0</v>
      </c>
      <c r="R21" s="15">
        <v>-0.69408895316905828</v>
      </c>
      <c r="S21" s="15">
        <v>-0.53586537290921832</v>
      </c>
      <c r="T21" s="15">
        <v>-0.16253288238153107</v>
      </c>
      <c r="U21" s="15">
        <v>0.5631177055136376</v>
      </c>
      <c r="V21" s="15">
        <v>-6.0623490496364896E-2</v>
      </c>
      <c r="W21" s="15">
        <v>0.571132574124528</v>
      </c>
      <c r="X21" s="15">
        <v>0.45635238486435864</v>
      </c>
      <c r="Y21" s="15">
        <v>0.40924994641792301</v>
      </c>
      <c r="Z21" s="15">
        <v>-0.32751684148977556</v>
      </c>
      <c r="AA21" s="15">
        <v>-0.19056958640076146</v>
      </c>
      <c r="AB21" s="15">
        <v>-0.64130882253953303</v>
      </c>
      <c r="AC21" s="15">
        <v>-0.52274217382433097</v>
      </c>
      <c r="AD21" s="15">
        <v>0.25999847639377788</v>
      </c>
      <c r="AE21" s="15">
        <v>-0.65625579932802458</v>
      </c>
      <c r="AF21" s="15">
        <v>-0.34166365079692401</v>
      </c>
      <c r="AG21" s="15">
        <v>0.43630267023424046</v>
      </c>
      <c r="AH21" s="15">
        <v>0.2619388096725197</v>
      </c>
      <c r="AI21" s="15">
        <v>0.48401066923550684</v>
      </c>
      <c r="AJ21" s="15">
        <v>0.19695490795884235</v>
      </c>
      <c r="AK21" s="15">
        <v>0.35123791511306796</v>
      </c>
      <c r="AM21" s="14">
        <v>-1.1625399147953031</v>
      </c>
      <c r="AN21" s="14">
        <v>-0.56681491758364355</v>
      </c>
    </row>
    <row r="22" spans="1:42" x14ac:dyDescent="0.2">
      <c r="A22">
        <v>-0.40443948069993102</v>
      </c>
      <c r="B22">
        <v>-0.79993473807273907</v>
      </c>
      <c r="C22">
        <v>-0.40982169402351559</v>
      </c>
      <c r="D22">
        <v>-0.45446290926519978</v>
      </c>
      <c r="E22">
        <v>-0.41507242703308689</v>
      </c>
      <c r="F22">
        <v>-0.41099139150177572</v>
      </c>
      <c r="G22">
        <v>-0.5023571877112426</v>
      </c>
      <c r="H22">
        <v>-0.49086036884144718</v>
      </c>
      <c r="I22">
        <v>-0.52112625444669503</v>
      </c>
      <c r="J22">
        <v>-0.29303657474966738</v>
      </c>
      <c r="M22" s="13">
        <v>0</v>
      </c>
      <c r="O22" s="10">
        <f t="shared" si="0"/>
        <v>1</v>
      </c>
      <c r="P22" s="10">
        <f t="shared" si="1"/>
        <v>0</v>
      </c>
      <c r="R22" s="15">
        <v>-0.93245688247890079</v>
      </c>
      <c r="S22" s="15">
        <v>-0.70071218495104137</v>
      </c>
      <c r="T22" s="15">
        <v>-0.45593642767276449</v>
      </c>
      <c r="U22" s="15">
        <v>0.49907273746769376</v>
      </c>
      <c r="V22" s="15">
        <v>-0.67508543827983869</v>
      </c>
      <c r="W22" s="15">
        <v>0.91231500350746153</v>
      </c>
      <c r="X22" s="15">
        <v>0.77373753437117354</v>
      </c>
      <c r="Y22" s="15">
        <v>0.16216707563251581</v>
      </c>
      <c r="Z22" s="15">
        <v>-0.89176177127673006</v>
      </c>
      <c r="AA22" s="15">
        <v>-0.56513175223659406</v>
      </c>
      <c r="AB22" s="15">
        <v>-0.21702570999730916</v>
      </c>
      <c r="AC22" s="15">
        <v>-0.88330393272031116</v>
      </c>
      <c r="AD22" s="15">
        <v>0.38471327562863455</v>
      </c>
      <c r="AE22" s="15">
        <v>-0.90489209006983573</v>
      </c>
      <c r="AF22" s="15">
        <v>-0.71796546667279626</v>
      </c>
      <c r="AG22" s="15">
        <v>0.38155881296863492</v>
      </c>
      <c r="AH22" s="15">
        <v>0.40651955863869987</v>
      </c>
      <c r="AI22" s="15">
        <v>0.56869177802851201</v>
      </c>
      <c r="AJ22" s="15">
        <v>0.46196227748993279</v>
      </c>
      <c r="AK22" s="15">
        <v>0.74081047895753338</v>
      </c>
      <c r="AM22" s="14">
        <v>-1.375320245082581</v>
      </c>
      <c r="AN22" s="14">
        <v>-0.12507147792506335</v>
      </c>
    </row>
    <row r="23" spans="1:42" x14ac:dyDescent="0.2">
      <c r="A23">
        <v>-1.435107230463358E-2</v>
      </c>
      <c r="B23">
        <v>0.37685417667300741</v>
      </c>
      <c r="C23">
        <v>-1.6254483890062101E-2</v>
      </c>
      <c r="D23">
        <v>-0.13501336198201561</v>
      </c>
      <c r="E23">
        <v>0.1073084379519387</v>
      </c>
      <c r="F23">
        <v>-0.50663340081279506</v>
      </c>
      <c r="G23">
        <v>-0.5074537142420914</v>
      </c>
      <c r="H23">
        <v>-4.1831735581792312E-3</v>
      </c>
      <c r="I23">
        <v>-0.12837672188132751</v>
      </c>
      <c r="J23">
        <v>0.2455016370232907</v>
      </c>
      <c r="M23" s="13">
        <v>0</v>
      </c>
      <c r="O23" s="10">
        <f t="shared" si="0"/>
        <v>1</v>
      </c>
      <c r="P23" s="10">
        <f t="shared" si="1"/>
        <v>0</v>
      </c>
      <c r="R23" s="15">
        <v>-0.70256316376797612</v>
      </c>
      <c r="S23" s="15">
        <v>0.60676731021397923</v>
      </c>
      <c r="T23" s="15">
        <v>0.44402008516300029</v>
      </c>
      <c r="U23" s="15">
        <v>0.73795068970147082</v>
      </c>
      <c r="V23" s="15">
        <v>0.76236876839263434</v>
      </c>
      <c r="W23" s="15">
        <v>0.15946134411937696</v>
      </c>
      <c r="X23" s="15">
        <v>-0.85002402430755708</v>
      </c>
      <c r="Y23" s="15">
        <v>-0.26624199433155821</v>
      </c>
      <c r="Z23" s="15">
        <v>0.64614088730891961</v>
      </c>
      <c r="AA23" s="15">
        <v>0.48066198992861103</v>
      </c>
      <c r="AB23" s="15">
        <v>-0.52059345367633147</v>
      </c>
      <c r="AC23" s="15">
        <v>4.9436409995846753E-2</v>
      </c>
      <c r="AD23" s="15">
        <v>-0.76329105358288318</v>
      </c>
      <c r="AE23" s="15">
        <v>0.6167024310740512</v>
      </c>
      <c r="AF23" s="15">
        <v>-9.8713971593667821E-2</v>
      </c>
      <c r="AG23" s="15">
        <v>0.51144129596420862</v>
      </c>
      <c r="AH23" s="15">
        <v>-0.25046000096518745</v>
      </c>
      <c r="AI23" s="15">
        <v>-0.64261408922504804</v>
      </c>
      <c r="AJ23" s="15">
        <v>-0.83079255477680147</v>
      </c>
      <c r="AK23" s="15">
        <v>0.6226673144726147</v>
      </c>
      <c r="AM23" s="14">
        <v>3.0641931004289056</v>
      </c>
      <c r="AN23" s="14">
        <v>0.82451165846149355</v>
      </c>
    </row>
    <row r="24" spans="1:42" x14ac:dyDescent="0.2">
      <c r="A24">
        <v>-9.9771891661267806E-2</v>
      </c>
      <c r="B24">
        <v>-0.58173846013029851</v>
      </c>
      <c r="C24">
        <v>-0.15846784553492341</v>
      </c>
      <c r="D24">
        <v>-0.18944871084641471</v>
      </c>
      <c r="E24">
        <v>-0.96328429174522689</v>
      </c>
      <c r="F24">
        <v>-0.85835317339567618</v>
      </c>
      <c r="G24">
        <v>-0.94550016956854732</v>
      </c>
      <c r="H24">
        <v>-0.27433026077050149</v>
      </c>
      <c r="I24">
        <v>-0.32166522106931261</v>
      </c>
      <c r="J24">
        <v>-0.82470681930844336</v>
      </c>
      <c r="M24" s="13">
        <v>0</v>
      </c>
      <c r="O24" s="10">
        <f t="shared" si="0"/>
        <v>1</v>
      </c>
      <c r="P24" s="10">
        <f t="shared" si="1"/>
        <v>0</v>
      </c>
      <c r="R24" s="15">
        <v>-0.55691205902350638</v>
      </c>
      <c r="S24" s="15">
        <v>0.87190006698739764</v>
      </c>
      <c r="T24" s="15">
        <v>0.71376287623407841</v>
      </c>
      <c r="U24" s="15">
        <v>5.6012775839175785E-2</v>
      </c>
      <c r="V24" s="15">
        <v>0.87126185740570439</v>
      </c>
      <c r="W24" s="15">
        <v>-0.14745138611613093</v>
      </c>
      <c r="X24" s="15">
        <v>-0.85233348501902895</v>
      </c>
      <c r="Y24" s="15">
        <v>-7.918347268772194E-2</v>
      </c>
      <c r="Z24" s="15">
        <v>0.84368882651369614</v>
      </c>
      <c r="AA24" s="15">
        <v>0.49853907626756838</v>
      </c>
      <c r="AB24" s="15">
        <v>-0.58976627876060506</v>
      </c>
      <c r="AC24" s="15">
        <v>0.65487761017753809</v>
      </c>
      <c r="AD24" s="15">
        <v>-0.8666688022427933</v>
      </c>
      <c r="AE24" s="15">
        <v>0.8263143080726103</v>
      </c>
      <c r="AF24" s="15">
        <v>-1.9498390958900005E-2</v>
      </c>
      <c r="AG24" s="15">
        <v>0.79045591890724909</v>
      </c>
      <c r="AH24" s="15">
        <v>-0.24590209604938254</v>
      </c>
      <c r="AI24" s="15">
        <v>-0.89934426036067228</v>
      </c>
      <c r="AJ24" s="15">
        <v>-0.87971306813365246</v>
      </c>
      <c r="AK24" s="15">
        <v>0.82248553090830212</v>
      </c>
      <c r="AM24" s="14">
        <v>-0.11716885359038204</v>
      </c>
      <c r="AN24" s="14">
        <v>-0.17798859539147854</v>
      </c>
    </row>
    <row r="25" spans="1:42" x14ac:dyDescent="0.2">
      <c r="A25">
        <v>-0.78598580715956523</v>
      </c>
      <c r="B25">
        <v>-1.0794221053248541</v>
      </c>
      <c r="C25">
        <v>-0.77775742618609345</v>
      </c>
      <c r="D25">
        <v>-0.74669478211618456</v>
      </c>
      <c r="E25">
        <v>-0.42269164277993349</v>
      </c>
      <c r="F25">
        <v>-0.47628069060398709</v>
      </c>
      <c r="G25">
        <v>-0.78495958384680953</v>
      </c>
      <c r="H25">
        <v>-0.83937073326039768</v>
      </c>
      <c r="I25">
        <v>-0.76485317586804102</v>
      </c>
      <c r="J25">
        <v>-0.64419872448351767</v>
      </c>
      <c r="M25" s="13">
        <v>0</v>
      </c>
      <c r="O25" s="10">
        <f t="shared" si="0"/>
        <v>1</v>
      </c>
      <c r="P25" s="10">
        <f t="shared" si="1"/>
        <v>0</v>
      </c>
      <c r="R25" s="15">
        <v>-0.77851312776903214</v>
      </c>
      <c r="S25" s="15">
        <v>-0.49261982486815681</v>
      </c>
      <c r="T25" s="15">
        <v>1.225057049875183E-2</v>
      </c>
      <c r="U25" s="15">
        <v>0.61158497443364912</v>
      </c>
      <c r="V25" s="15">
        <v>0.25981063476311572</v>
      </c>
      <c r="W25" s="15">
        <v>0.63009817468427465</v>
      </c>
      <c r="X25" s="15">
        <v>0.35385563848770518</v>
      </c>
      <c r="Y25" s="15">
        <v>0.45131928752559686</v>
      </c>
      <c r="Z25" s="15">
        <v>-0.21582418220447117</v>
      </c>
      <c r="AA25" s="15">
        <v>-7.225403946425106E-2</v>
      </c>
      <c r="AB25" s="15">
        <v>-0.83338629542594911</v>
      </c>
      <c r="AC25" s="15">
        <v>-0.48210656282186909</v>
      </c>
      <c r="AD25" s="15">
        <v>0.14818129877811914</v>
      </c>
      <c r="AE25" s="15">
        <v>-0.61740743462901215</v>
      </c>
      <c r="AF25" s="15">
        <v>-0.42894747309061287</v>
      </c>
      <c r="AG25" s="15">
        <v>0.61340420684237129</v>
      </c>
      <c r="AH25" s="15">
        <v>0.18360042848264627</v>
      </c>
      <c r="AI25" s="15">
        <v>0.44008512987811832</v>
      </c>
      <c r="AJ25" s="15">
        <v>1.9314864340136049E-2</v>
      </c>
      <c r="AK25" s="15">
        <v>0.4777488273359935</v>
      </c>
      <c r="AM25" s="14">
        <v>4.9533174996821833E-2</v>
      </c>
      <c r="AN25" s="14">
        <v>-0.11956370041706253</v>
      </c>
    </row>
    <row r="26" spans="1:42" x14ac:dyDescent="0.2">
      <c r="A26">
        <v>0.56935785996570254</v>
      </c>
      <c r="B26">
        <v>0.1267865322895364</v>
      </c>
      <c r="C26">
        <v>0.70266713209951359</v>
      </c>
      <c r="D26">
        <v>0.4305412625354782</v>
      </c>
      <c r="E26">
        <v>1.566109501677464</v>
      </c>
      <c r="F26">
        <v>1.6362679399290481</v>
      </c>
      <c r="G26">
        <v>1.0561606254223259</v>
      </c>
      <c r="H26">
        <v>0.18966282795295331</v>
      </c>
      <c r="I26">
        <v>6.7733507221810679E-2</v>
      </c>
      <c r="J26">
        <v>0.89646548601971388</v>
      </c>
      <c r="M26" s="13">
        <v>1</v>
      </c>
      <c r="O26" s="10">
        <f t="shared" si="0"/>
        <v>0</v>
      </c>
      <c r="P26" s="10">
        <f t="shared" si="1"/>
        <v>1</v>
      </c>
      <c r="R26" s="15">
        <v>-0.16027982885971259</v>
      </c>
      <c r="S26" s="15">
        <v>-0.57688198942077162</v>
      </c>
      <c r="T26" s="15">
        <v>-0.21522543899489546</v>
      </c>
      <c r="U26" s="15">
        <v>0.16679102873831331</v>
      </c>
      <c r="V26" s="15">
        <v>-0.59091450353360775</v>
      </c>
      <c r="W26" s="15">
        <v>0.15602775173257738</v>
      </c>
      <c r="X26" s="15">
        <v>0.65951738737778964</v>
      </c>
      <c r="Y26" s="15">
        <v>0.41114546262081825</v>
      </c>
      <c r="Z26" s="15">
        <v>-0.53169102166791893</v>
      </c>
      <c r="AA26" s="15">
        <v>-0.41500631845630565</v>
      </c>
      <c r="AB26" s="15">
        <v>-9.5453853015288678E-2</v>
      </c>
      <c r="AC26" s="15">
        <v>-0.39073582297848192</v>
      </c>
      <c r="AD26" s="15">
        <v>0.46698186219758353</v>
      </c>
      <c r="AE26" s="15">
        <v>-0.65595230015642036</v>
      </c>
      <c r="AF26" s="15">
        <v>-1.0861200205120177E-2</v>
      </c>
      <c r="AG26" s="15">
        <v>-0.10488024558554492</v>
      </c>
      <c r="AH26" s="15">
        <v>0.39089204146698059</v>
      </c>
      <c r="AI26" s="15">
        <v>0.49347377206296367</v>
      </c>
      <c r="AJ26" s="15">
        <v>0.52398434184301568</v>
      </c>
      <c r="AK26" s="15">
        <v>-0.25508888139933056</v>
      </c>
    </row>
    <row r="27" spans="1:42" x14ac:dyDescent="0.2">
      <c r="A27">
        <v>-0.59521264392974815</v>
      </c>
      <c r="B27">
        <v>-0.23605671642373549</v>
      </c>
      <c r="C27">
        <v>-0.5999907241300162</v>
      </c>
      <c r="D27">
        <v>-0.60229785670746261</v>
      </c>
      <c r="E27">
        <v>-0.49516710964018251</v>
      </c>
      <c r="F27">
        <v>-0.77262225313243083</v>
      </c>
      <c r="G27">
        <v>-0.89759282017856834</v>
      </c>
      <c r="H27">
        <v>-0.6455247317492655</v>
      </c>
      <c r="I27">
        <v>-0.62411939634978197</v>
      </c>
      <c r="J27">
        <v>-0.90413635317681418</v>
      </c>
      <c r="M27" s="13">
        <v>0</v>
      </c>
      <c r="O27" s="10">
        <f t="shared" si="0"/>
        <v>1</v>
      </c>
      <c r="P27" s="10">
        <f t="shared" si="1"/>
        <v>0</v>
      </c>
      <c r="R27" s="15">
        <v>4.1978057344994588E-2</v>
      </c>
      <c r="S27" s="15">
        <v>-0.36545485729860111</v>
      </c>
      <c r="T27" s="15">
        <v>3.5173960428026028E-2</v>
      </c>
      <c r="U27" s="15">
        <v>0.28959338032231352</v>
      </c>
      <c r="V27" s="15">
        <v>-0.29453789625430293</v>
      </c>
      <c r="W27" s="15">
        <v>-7.1380581807300142E-2</v>
      </c>
      <c r="X27" s="15">
        <v>0.32080507096330629</v>
      </c>
      <c r="Y27" s="15">
        <v>0.35458749241870663</v>
      </c>
      <c r="Z27" s="15">
        <v>-0.13140541477868006</v>
      </c>
      <c r="AA27" s="15">
        <v>-0.21346335107085346</v>
      </c>
      <c r="AB27" s="15">
        <v>-0.26994024720503978</v>
      </c>
      <c r="AC27" s="15">
        <v>-6.9720611853810552E-2</v>
      </c>
      <c r="AD27" s="15">
        <v>0.21646964763535265</v>
      </c>
      <c r="AE27" s="15">
        <v>-0.35368344514128125</v>
      </c>
      <c r="AF27" s="15">
        <v>0.10175694871124651</v>
      </c>
      <c r="AG27" s="15">
        <v>-0.12042349156273477</v>
      </c>
      <c r="AH27" s="15">
        <v>0.28784427913670724</v>
      </c>
      <c r="AI27" s="15">
        <v>0.30070385345242934</v>
      </c>
      <c r="AJ27" s="15">
        <v>0.26066361447483338</v>
      </c>
      <c r="AK27" s="15">
        <v>-0.37501958888835774</v>
      </c>
    </row>
    <row r="28" spans="1:42" x14ac:dyDescent="0.2">
      <c r="A28">
        <v>-9.9771891661267806E-2</v>
      </c>
      <c r="B28">
        <v>6.0592155835087383E-2</v>
      </c>
      <c r="C28">
        <v>-0.1683897079752624</v>
      </c>
      <c r="D28">
        <v>-0.17942114658192021</v>
      </c>
      <c r="E28">
        <v>-0.96198345003235064</v>
      </c>
      <c r="F28">
        <v>-0.76283505269775387</v>
      </c>
      <c r="G28">
        <v>-0.75922212486602292</v>
      </c>
      <c r="H28">
        <v>-1.2431939579929359E-2</v>
      </c>
      <c r="I28">
        <v>-0.1248495594873862</v>
      </c>
      <c r="J28">
        <v>-0.53684941085314419</v>
      </c>
      <c r="M28" s="13">
        <v>0</v>
      </c>
      <c r="O28" s="10">
        <f t="shared" si="0"/>
        <v>1</v>
      </c>
      <c r="P28" s="10">
        <f t="shared" si="1"/>
        <v>0</v>
      </c>
      <c r="R28" s="15">
        <v>-0.24857019809261641</v>
      </c>
      <c r="S28" s="15">
        <v>2.7709094634985467E-2</v>
      </c>
      <c r="T28" s="15">
        <v>0.13321011403016272</v>
      </c>
      <c r="U28" s="15">
        <v>0.28901653817066453</v>
      </c>
      <c r="V28" s="15">
        <v>-0.16119277086421546</v>
      </c>
      <c r="W28" s="15">
        <v>9.1612302551227806E-2</v>
      </c>
      <c r="X28" s="15">
        <v>5.039833373690656E-2</v>
      </c>
      <c r="Y28" s="15">
        <v>-0.22267909139483658</v>
      </c>
      <c r="Z28" s="15">
        <v>-0.55032067491507064</v>
      </c>
      <c r="AA28" s="15">
        <v>7.7279712240965193E-2</v>
      </c>
      <c r="AB28" s="15">
        <v>8.7672730300478487E-3</v>
      </c>
      <c r="AC28" s="15">
        <v>-0.37372005249951651</v>
      </c>
      <c r="AD28" s="15">
        <v>-8.0143971821825241E-2</v>
      </c>
      <c r="AE28" s="15">
        <v>-7.2725405642565785E-2</v>
      </c>
      <c r="AF28" s="15">
        <v>5.7116946607878423E-2</v>
      </c>
      <c r="AG28" s="15">
        <v>0.22393910918754281</v>
      </c>
      <c r="AH28" s="15">
        <v>3.4229334333872014E-2</v>
      </c>
      <c r="AI28" s="15">
        <v>-0.16831741928219751</v>
      </c>
      <c r="AJ28" s="15">
        <v>-0.22009625450681705</v>
      </c>
      <c r="AK28" s="15">
        <v>6.8105519872342188E-2</v>
      </c>
      <c r="AM28" s="18" t="s">
        <v>20</v>
      </c>
      <c r="AN28" s="18"/>
      <c r="AP28" s="12" t="s">
        <v>25</v>
      </c>
    </row>
    <row r="29" spans="1:42" x14ac:dyDescent="0.2">
      <c r="A29">
        <v>-0.22220839940577719</v>
      </c>
      <c r="B29">
        <v>-1.209359214661363</v>
      </c>
      <c r="C29">
        <v>-0.2266806498122555</v>
      </c>
      <c r="D29">
        <v>-0.34158118583060387</v>
      </c>
      <c r="E29">
        <v>0.1946506672450595</v>
      </c>
      <c r="F29">
        <v>-0.41706193354353732</v>
      </c>
      <c r="G29">
        <v>5.5202814763618102E-2</v>
      </c>
      <c r="H29">
        <v>-0.33825819743906649</v>
      </c>
      <c r="I29">
        <v>-0.42518743733149061</v>
      </c>
      <c r="J29">
        <v>0.23952949161965409</v>
      </c>
      <c r="M29" s="13">
        <v>0</v>
      </c>
      <c r="O29" s="10">
        <f t="shared" si="0"/>
        <v>1</v>
      </c>
      <c r="P29" s="10">
        <f t="shared" si="1"/>
        <v>0</v>
      </c>
      <c r="R29" s="15">
        <v>-0.37711192343204569</v>
      </c>
      <c r="S29" s="15">
        <v>-6.0097837466598004E-2</v>
      </c>
      <c r="T29" s="15">
        <v>6.0768522462749157E-2</v>
      </c>
      <c r="U29" s="15">
        <v>7.925250077251432E-2</v>
      </c>
      <c r="V29" s="15">
        <v>-0.16214514172475922</v>
      </c>
      <c r="W29" s="15">
        <v>0.34648774745948463</v>
      </c>
      <c r="X29" s="15">
        <v>0.16367621142344238</v>
      </c>
      <c r="Y29" s="15">
        <v>-0.13645523502083995</v>
      </c>
      <c r="Z29" s="15">
        <v>-0.52310827584013542</v>
      </c>
      <c r="AA29" s="15">
        <v>-5.8763760575021334E-2</v>
      </c>
      <c r="AB29" s="15">
        <v>-4.7437918892985993E-2</v>
      </c>
      <c r="AC29" s="15">
        <v>-0.33471221739173851</v>
      </c>
      <c r="AD29" s="15">
        <v>-1.3865719126619491E-2</v>
      </c>
      <c r="AE29" s="15">
        <v>-0.21931143453527585</v>
      </c>
      <c r="AF29" s="15">
        <v>-0.19284084062249743</v>
      </c>
      <c r="AG29" s="15">
        <v>0.12824460054652051</v>
      </c>
      <c r="AH29" s="15">
        <v>1.8488472187931093E-2</v>
      </c>
      <c r="AI29" s="15">
        <v>-3.3639934536300278E-2</v>
      </c>
      <c r="AJ29" s="15">
        <v>-3.1074309540820039E-2</v>
      </c>
      <c r="AK29" s="15">
        <v>0.20239068742742816</v>
      </c>
      <c r="AM29" s="16" cm="1">
        <f t="array" ref="AM29:AN142">MMULT(_xlfn.ANCHORARRAY(R18),AM6:AN25)</f>
        <v>0.18308273410282863</v>
      </c>
      <c r="AN29" s="16">
        <v>0.37463185834505219</v>
      </c>
      <c r="AP29" s="17">
        <f>IF(AM29&gt;AN29,0,1)</f>
        <v>1</v>
      </c>
    </row>
    <row r="30" spans="1:42" x14ac:dyDescent="0.2">
      <c r="A30">
        <v>-0.1567191045656911</v>
      </c>
      <c r="B30">
        <v>-0.3316708157468275</v>
      </c>
      <c r="C30">
        <v>-0.20849056867163321</v>
      </c>
      <c r="D30">
        <v>-0.27052873047075637</v>
      </c>
      <c r="E30">
        <v>-0.47305280052128612</v>
      </c>
      <c r="F30">
        <v>-0.57043603655784048</v>
      </c>
      <c r="G30">
        <v>-0.48146142893476229</v>
      </c>
      <c r="H30">
        <v>-0.31144970786837778</v>
      </c>
      <c r="I30">
        <v>-0.37880525185116221</v>
      </c>
      <c r="J30">
        <v>-0.39844494112385881</v>
      </c>
      <c r="M30" s="13">
        <v>0</v>
      </c>
      <c r="O30" s="10">
        <f t="shared" si="0"/>
        <v>1</v>
      </c>
      <c r="P30" s="10">
        <f t="shared" si="1"/>
        <v>0</v>
      </c>
      <c r="R30" s="15">
        <v>-0.5683686024651855</v>
      </c>
      <c r="S30" s="15">
        <v>-0.79212056348479709</v>
      </c>
      <c r="T30" s="15">
        <v>-0.57279431836966965</v>
      </c>
      <c r="U30" s="15">
        <v>-0.2880251907027418</v>
      </c>
      <c r="V30" s="15">
        <v>-0.78326457951348516</v>
      </c>
      <c r="W30" s="15">
        <v>0.23295406764496396</v>
      </c>
      <c r="X30" s="15">
        <v>0.85895291608413726</v>
      </c>
      <c r="Y30" s="15">
        <v>0.65350872473678012</v>
      </c>
      <c r="Z30" s="15">
        <v>-0.61237189141545501</v>
      </c>
      <c r="AA30" s="15">
        <v>-0.73216513182516263</v>
      </c>
      <c r="AB30" s="15">
        <v>0.1687129735874868</v>
      </c>
      <c r="AC30" s="15">
        <v>-0.64237102604276863</v>
      </c>
      <c r="AD30" s="15">
        <v>0.70185460345285444</v>
      </c>
      <c r="AE30" s="15">
        <v>-0.86911169381330966</v>
      </c>
      <c r="AF30" s="15">
        <v>-0.15195877594809076</v>
      </c>
      <c r="AG30" s="15">
        <v>-0.20093536263027831</v>
      </c>
      <c r="AH30" s="15">
        <v>0.50241939128262136</v>
      </c>
      <c r="AI30" s="15">
        <v>0.70073589885879495</v>
      </c>
      <c r="AJ30" s="15">
        <v>0.76814279117755191</v>
      </c>
      <c r="AK30" s="15">
        <v>0.10787874392821721</v>
      </c>
      <c r="AM30" s="16">
        <v>0.33014888067515902</v>
      </c>
      <c r="AN30" s="16">
        <v>-6.5890882291200603E-2</v>
      </c>
      <c r="AP30" s="17">
        <f t="shared" ref="AP30:AP93" si="2">IF(AM30&gt;AN30,0,1)</f>
        <v>0</v>
      </c>
    </row>
    <row r="31" spans="1:42" x14ac:dyDescent="0.2">
      <c r="A31">
        <v>0.42129510641420281</v>
      </c>
      <c r="B31">
        <v>-1.890916127784942</v>
      </c>
      <c r="C31">
        <v>0.41327947758962108</v>
      </c>
      <c r="D31">
        <v>0.23400100295138479</v>
      </c>
      <c r="E31">
        <v>0.46225239103674792</v>
      </c>
      <c r="F31">
        <v>0.34163193306356499</v>
      </c>
      <c r="G31">
        <v>0.29601369334622468</v>
      </c>
      <c r="H31">
        <v>0.1112995507463255</v>
      </c>
      <c r="I31">
        <v>-8.2876326999484398E-2</v>
      </c>
      <c r="J31">
        <v>0.41421474467603348</v>
      </c>
      <c r="M31" s="13">
        <v>0</v>
      </c>
      <c r="O31" s="10">
        <f t="shared" si="0"/>
        <v>1</v>
      </c>
      <c r="P31" s="10">
        <f t="shared" si="1"/>
        <v>0</v>
      </c>
      <c r="R31" s="15">
        <v>-0.24930529590953265</v>
      </c>
      <c r="S31" s="15">
        <v>0.82687475833150725</v>
      </c>
      <c r="T31" s="15">
        <v>0.44997350898229549</v>
      </c>
      <c r="U31" s="15">
        <v>-5.0522448756645584E-2</v>
      </c>
      <c r="V31" s="15">
        <v>0.7553490536301064</v>
      </c>
      <c r="W31" s="15">
        <v>0.23984673952848798</v>
      </c>
      <c r="X31" s="15">
        <v>-0.88225577056877857</v>
      </c>
      <c r="Y31" s="15">
        <v>-0.83404823890774549</v>
      </c>
      <c r="Z31" s="15">
        <v>0.27686068303246558</v>
      </c>
      <c r="AA31" s="15">
        <v>0.63914405915804506</v>
      </c>
      <c r="AB31" s="15">
        <v>0.34126674370668919</v>
      </c>
      <c r="AC31" s="15">
        <v>0.24416119013302531</v>
      </c>
      <c r="AD31" s="15">
        <v>-0.78737383931413352</v>
      </c>
      <c r="AE31" s="15">
        <v>0.83052241807688776</v>
      </c>
      <c r="AF31" s="15">
        <v>-0.26053084334008375</v>
      </c>
      <c r="AG31" s="15">
        <v>0.31164132723554183</v>
      </c>
      <c r="AH31" s="15">
        <v>-0.60678072530564042</v>
      </c>
      <c r="AI31" s="15">
        <v>-0.80540548482870988</v>
      </c>
      <c r="AJ31" s="15">
        <v>-0.84835660780411781</v>
      </c>
      <c r="AK31" s="15">
        <v>0.66506423789426483</v>
      </c>
      <c r="AM31" s="16">
        <v>0.61121594252632405</v>
      </c>
      <c r="AN31" s="16">
        <v>8.6425618739733173E-3</v>
      </c>
      <c r="AP31" s="17">
        <f t="shared" si="2"/>
        <v>0</v>
      </c>
    </row>
    <row r="32" spans="1:42" x14ac:dyDescent="0.2">
      <c r="A32">
        <v>-0.51263918521833496</v>
      </c>
      <c r="B32">
        <v>-0.63322297515042503</v>
      </c>
      <c r="C32">
        <v>-0.41147533776357242</v>
      </c>
      <c r="D32">
        <v>-0.54098646377598159</v>
      </c>
      <c r="E32">
        <v>0.8562215955078456</v>
      </c>
      <c r="F32">
        <v>0.77895873729659437</v>
      </c>
      <c r="G32">
        <v>-5.1824242384206957E-2</v>
      </c>
      <c r="H32">
        <v>-0.55478830551001224</v>
      </c>
      <c r="I32">
        <v>-0.56556850061035568</v>
      </c>
      <c r="J32">
        <v>0.24998074607601881</v>
      </c>
      <c r="M32" s="13">
        <v>0</v>
      </c>
      <c r="O32" s="10">
        <f t="shared" si="0"/>
        <v>1</v>
      </c>
      <c r="P32" s="10">
        <f t="shared" si="1"/>
        <v>0</v>
      </c>
      <c r="R32" s="15">
        <v>5.1075665468058744E-2</v>
      </c>
      <c r="S32" s="15">
        <v>0.19512160036608062</v>
      </c>
      <c r="T32" s="15">
        <v>-0.2725683195908935</v>
      </c>
      <c r="U32" s="15">
        <v>-0.25146054619050262</v>
      </c>
      <c r="V32" s="15">
        <v>-0.44654163434149968</v>
      </c>
      <c r="W32" s="15">
        <v>0.34376255629308072</v>
      </c>
      <c r="X32" s="15">
        <v>0.10716589754776999</v>
      </c>
      <c r="Y32" s="15">
        <v>-0.61474146619941838</v>
      </c>
      <c r="Z32" s="15">
        <v>-0.67645448112623008</v>
      </c>
      <c r="AA32" s="15">
        <v>2.8145242975653614E-2</v>
      </c>
      <c r="AB32" s="15">
        <v>0.74735131046441949</v>
      </c>
      <c r="AC32" s="15">
        <v>-0.3893647978855439</v>
      </c>
      <c r="AD32" s="15">
        <v>2.1594345496259514E-2</v>
      </c>
      <c r="AE32" s="15">
        <v>7.7857562290601758E-3</v>
      </c>
      <c r="AF32" s="15">
        <v>-0.14373148430395008</v>
      </c>
      <c r="AG32" s="15">
        <v>-0.16340501300041962</v>
      </c>
      <c r="AH32" s="15">
        <v>-0.14562883098603929</v>
      </c>
      <c r="AI32" s="15">
        <v>-0.18204572887882414</v>
      </c>
      <c r="AJ32" s="15">
        <v>5.1097323804322102E-2</v>
      </c>
      <c r="AK32" s="15">
        <v>0.20583356924496918</v>
      </c>
      <c r="AM32" s="16">
        <v>0.58452917106219526</v>
      </c>
      <c r="AN32" s="16">
        <v>-1.758034009140215E-3</v>
      </c>
      <c r="AP32" s="17">
        <f t="shared" si="2"/>
        <v>0</v>
      </c>
    </row>
    <row r="33" spans="1:42" x14ac:dyDescent="0.2">
      <c r="A33">
        <v>0.1109327960850974</v>
      </c>
      <c r="B33">
        <v>-0.52535065796539804</v>
      </c>
      <c r="C33">
        <v>5.815948441248156E-2</v>
      </c>
      <c r="D33">
        <v>1.3615120151106411E-3</v>
      </c>
      <c r="E33">
        <v>-0.70701847430860287</v>
      </c>
      <c r="F33">
        <v>-0.49065176972325952</v>
      </c>
      <c r="G33">
        <v>-0.57549234342892308</v>
      </c>
      <c r="H33">
        <v>-2.1209820527413321E-3</v>
      </c>
      <c r="I33">
        <v>-0.1239677688889009</v>
      </c>
      <c r="J33">
        <v>-0.58492518135242133</v>
      </c>
      <c r="M33" s="13">
        <v>0</v>
      </c>
      <c r="O33" s="10">
        <f t="shared" si="0"/>
        <v>1</v>
      </c>
      <c r="P33" s="10">
        <f t="shared" si="1"/>
        <v>0</v>
      </c>
      <c r="R33" s="15">
        <v>-0.47888968346355815</v>
      </c>
      <c r="S33" s="15">
        <v>-0.68747330741466106</v>
      </c>
      <c r="T33" s="15">
        <v>-0.47223381100107387</v>
      </c>
      <c r="U33" s="15">
        <v>-8.6318853636450907E-2</v>
      </c>
      <c r="V33" s="15">
        <v>-0.80987359491026278</v>
      </c>
      <c r="W33" s="15">
        <v>0.36422507468872611</v>
      </c>
      <c r="X33" s="15">
        <v>0.79529455885407307</v>
      </c>
      <c r="Y33" s="15">
        <v>0.37143513009778495</v>
      </c>
      <c r="Z33" s="15">
        <v>-0.74826589510501063</v>
      </c>
      <c r="AA33" s="15">
        <v>-0.65054558438735688</v>
      </c>
      <c r="AB33" s="15">
        <v>0.36558048683703692</v>
      </c>
      <c r="AC33" s="15">
        <v>-0.65843404897148206</v>
      </c>
      <c r="AD33" s="15">
        <v>0.57463920592024864</v>
      </c>
      <c r="AE33" s="15">
        <v>-0.81609662680517614</v>
      </c>
      <c r="AF33" s="15">
        <v>-0.18106867978095006</v>
      </c>
      <c r="AG33" s="15">
        <v>-0.2472941437630829</v>
      </c>
      <c r="AH33" s="15">
        <v>0.46857855701526102</v>
      </c>
      <c r="AI33" s="15">
        <v>0.56101752022791329</v>
      </c>
      <c r="AJ33" s="15">
        <v>0.67055741407185387</v>
      </c>
      <c r="AK33" s="15">
        <v>3.6885879699319675E-2</v>
      </c>
      <c r="AM33" s="16">
        <v>0.88985602377559325</v>
      </c>
      <c r="AN33" s="16">
        <v>-0.42026596642060876</v>
      </c>
      <c r="AP33" s="17">
        <f t="shared" si="2"/>
        <v>0</v>
      </c>
    </row>
    <row r="34" spans="1:42" x14ac:dyDescent="0.2">
      <c r="A34">
        <v>1.47766590579125</v>
      </c>
      <c r="B34">
        <v>-4.2376874205164963E-2</v>
      </c>
      <c r="C34">
        <v>1.4592091431753751</v>
      </c>
      <c r="D34">
        <v>1.4367357110184771</v>
      </c>
      <c r="E34">
        <v>0.73914584134898176</v>
      </c>
      <c r="F34">
        <v>1.6610456625484831</v>
      </c>
      <c r="G34">
        <v>1.755913718107869</v>
      </c>
      <c r="H34">
        <v>1.544522647025441</v>
      </c>
      <c r="I34">
        <v>1.479127539157435</v>
      </c>
      <c r="J34">
        <v>1.321980846028844</v>
      </c>
      <c r="M34" s="13">
        <v>1</v>
      </c>
      <c r="O34" s="10">
        <f t="shared" si="0"/>
        <v>0</v>
      </c>
      <c r="P34" s="10">
        <f t="shared" si="1"/>
        <v>1</v>
      </c>
      <c r="R34" s="15">
        <v>-0.88518831149176302</v>
      </c>
      <c r="S34" s="15">
        <v>-0.4862984933738449</v>
      </c>
      <c r="T34" s="15">
        <v>-0.27103388851551813</v>
      </c>
      <c r="U34" s="15">
        <v>0.52409415648126101</v>
      </c>
      <c r="V34" s="15">
        <v>-0.12844040951321997</v>
      </c>
      <c r="W34" s="15">
        <v>0.8221034960929865</v>
      </c>
      <c r="X34" s="15">
        <v>0.40451388066011895</v>
      </c>
      <c r="Y34" s="15">
        <v>0.13752300495133132</v>
      </c>
      <c r="Z34" s="15">
        <v>-0.56114665766052463</v>
      </c>
      <c r="AA34" s="15">
        <v>-0.26845064337804708</v>
      </c>
      <c r="AB34" s="15">
        <v>-0.46672694754764765</v>
      </c>
      <c r="AC34" s="15">
        <v>-0.71605647925202387</v>
      </c>
      <c r="AD34" s="15">
        <v>0.12223645018819847</v>
      </c>
      <c r="AE34" s="15">
        <v>-0.72121368149587195</v>
      </c>
      <c r="AF34" s="15">
        <v>-0.6241841850768417</v>
      </c>
      <c r="AG34" s="15">
        <v>0.46389578008726112</v>
      </c>
      <c r="AH34" s="15">
        <v>0.18245598177994427</v>
      </c>
      <c r="AI34" s="15">
        <v>0.40213570917133873</v>
      </c>
      <c r="AJ34" s="15">
        <v>0.10324161104667989</v>
      </c>
      <c r="AK34" s="15">
        <v>0.71416976137526422</v>
      </c>
      <c r="AM34" s="16">
        <v>-0.84791105823904078</v>
      </c>
      <c r="AN34" s="16">
        <v>0.47754252483832099</v>
      </c>
      <c r="AP34" s="17">
        <f t="shared" si="2"/>
        <v>1</v>
      </c>
    </row>
    <row r="35" spans="1:42" x14ac:dyDescent="0.2">
      <c r="A35">
        <v>-0.73188595490036346</v>
      </c>
      <c r="B35">
        <v>-0.69206242088771197</v>
      </c>
      <c r="C35">
        <v>-0.71574578593397364</v>
      </c>
      <c r="D35">
        <v>-0.70200049568015155</v>
      </c>
      <c r="E35">
        <v>-0.23035290380465731</v>
      </c>
      <c r="F35">
        <v>-0.60376207348098065</v>
      </c>
      <c r="G35">
        <v>-0.48859656607795071</v>
      </c>
      <c r="H35">
        <v>-0.64964911476014053</v>
      </c>
      <c r="I35">
        <v>-0.61988680147705233</v>
      </c>
      <c r="J35">
        <v>-0.28825885842675791</v>
      </c>
      <c r="M35" s="13">
        <v>0</v>
      </c>
      <c r="O35" s="10">
        <f t="shared" si="0"/>
        <v>1</v>
      </c>
      <c r="P35" s="10">
        <f t="shared" si="1"/>
        <v>0</v>
      </c>
      <c r="R35" s="15">
        <v>0.57141183204872292</v>
      </c>
      <c r="S35" s="15">
        <v>-0.22708121257028865</v>
      </c>
      <c r="T35" s="15">
        <v>0.13973702079857789</v>
      </c>
      <c r="U35" s="15">
        <v>0.1856856775393442</v>
      </c>
      <c r="V35" s="15">
        <v>1.487637495359982E-2</v>
      </c>
      <c r="W35" s="15">
        <v>-0.66124821868845562</v>
      </c>
      <c r="X35" s="15">
        <v>0.13083554902073677</v>
      </c>
      <c r="Y35" s="15">
        <v>0.45586668685144621</v>
      </c>
      <c r="Z35" s="15">
        <v>0.36728880942845227</v>
      </c>
      <c r="AA35" s="15">
        <v>2.7853217617594433E-2</v>
      </c>
      <c r="AB35" s="15">
        <v>-0.32753678664687991</v>
      </c>
      <c r="AC35" s="15">
        <v>0.33575367298391506</v>
      </c>
      <c r="AD35" s="15">
        <v>0.23718445503999949</v>
      </c>
      <c r="AE35" s="15">
        <v>5.5299815023687013E-2</v>
      </c>
      <c r="AF35" s="15">
        <v>0.52388010769229831</v>
      </c>
      <c r="AG35" s="15">
        <v>-6.4863457068703848E-2</v>
      </c>
      <c r="AH35" s="15">
        <v>0.20949733600354328</v>
      </c>
      <c r="AI35" s="15">
        <v>0.21204888144604267</v>
      </c>
      <c r="AJ35" s="15">
        <v>0.13212322160663489</v>
      </c>
      <c r="AK35" s="15">
        <v>-0.64309621158819097</v>
      </c>
      <c r="AM35" s="16">
        <v>-0.72972300177665006</v>
      </c>
      <c r="AN35" s="16">
        <v>0.53963501512698964</v>
      </c>
      <c r="AP35" s="17">
        <f t="shared" si="2"/>
        <v>1</v>
      </c>
    </row>
    <row r="36" spans="1:42" x14ac:dyDescent="0.2">
      <c r="A36">
        <v>0.69464172835543359</v>
      </c>
      <c r="B36">
        <v>0.29594993878423692</v>
      </c>
      <c r="C36">
        <v>0.59104617964569783</v>
      </c>
      <c r="D36">
        <v>0.55029903003715641</v>
      </c>
      <c r="E36">
        <v>-0.63008297871849228</v>
      </c>
      <c r="F36">
        <v>-0.68181189973220113</v>
      </c>
      <c r="G36">
        <v>-0.69882828547546449</v>
      </c>
      <c r="H36">
        <v>0.55879510742627936</v>
      </c>
      <c r="I36">
        <v>0.32221827394467778</v>
      </c>
      <c r="J36">
        <v>-0.44920817705477262</v>
      </c>
      <c r="M36" s="13">
        <v>1</v>
      </c>
      <c r="O36" s="10">
        <f t="shared" si="0"/>
        <v>0</v>
      </c>
      <c r="P36" s="10">
        <f t="shared" si="1"/>
        <v>1</v>
      </c>
      <c r="R36" s="15">
        <v>-0.95069535379964354</v>
      </c>
      <c r="S36" s="15">
        <v>-0.73380869570828189</v>
      </c>
      <c r="T36" s="15">
        <v>-0.33541532636151861</v>
      </c>
      <c r="U36" s="15">
        <v>0.55598062193282327</v>
      </c>
      <c r="V36" s="15">
        <v>-1.1771179189736609E-3</v>
      </c>
      <c r="W36" s="15">
        <v>0.83572660954576627</v>
      </c>
      <c r="X36" s="15">
        <v>0.66415021769539095</v>
      </c>
      <c r="Y36" s="15">
        <v>0.63351184143760897</v>
      </c>
      <c r="Z36" s="15">
        <v>-0.46998786984096569</v>
      </c>
      <c r="AA36" s="15">
        <v>-0.4286099961902804</v>
      </c>
      <c r="AB36" s="15">
        <v>-0.83117954642830294</v>
      </c>
      <c r="AC36" s="15">
        <v>-0.77757308785008195</v>
      </c>
      <c r="AD36" s="15">
        <v>0.37330729496406306</v>
      </c>
      <c r="AE36" s="15">
        <v>-0.87009460746283063</v>
      </c>
      <c r="AF36" s="15">
        <v>-0.66006347895763851</v>
      </c>
      <c r="AG36" s="15">
        <v>0.67081417347470118</v>
      </c>
      <c r="AH36" s="15">
        <v>0.30885717657735062</v>
      </c>
      <c r="AI36" s="15">
        <v>0.65589524737795846</v>
      </c>
      <c r="AJ36" s="15">
        <v>0.30774160242420018</v>
      </c>
      <c r="AK36" s="15">
        <v>0.78829256897826949</v>
      </c>
      <c r="AM36" s="16">
        <v>0.60549985785482219</v>
      </c>
      <c r="AN36" s="16">
        <v>0.13503304273757533</v>
      </c>
      <c r="AP36" s="17">
        <f t="shared" si="2"/>
        <v>0</v>
      </c>
    </row>
    <row r="37" spans="1:42" x14ac:dyDescent="0.2">
      <c r="A37">
        <v>-0.5695863981227578</v>
      </c>
      <c r="B37">
        <v>0.84511809899891888</v>
      </c>
      <c r="C37">
        <v>-0.60453824441517157</v>
      </c>
      <c r="D37">
        <v>-0.57020965106108001</v>
      </c>
      <c r="E37">
        <v>-0.98539860086412345</v>
      </c>
      <c r="F37">
        <v>-0.92153636607523559</v>
      </c>
      <c r="G37">
        <v>-0.96537662303885752</v>
      </c>
      <c r="H37">
        <v>-0.47436283679794661</v>
      </c>
      <c r="I37">
        <v>-0.49096901597849663</v>
      </c>
      <c r="J37">
        <v>-0.80783550854316899</v>
      </c>
      <c r="M37" s="13">
        <v>0</v>
      </c>
      <c r="O37" s="10">
        <f t="shared" si="0"/>
        <v>1</v>
      </c>
      <c r="P37" s="10">
        <f t="shared" si="1"/>
        <v>0</v>
      </c>
      <c r="R37" s="15">
        <v>8.108931997605949E-2</v>
      </c>
      <c r="S37" s="15">
        <v>-0.55599289202298052</v>
      </c>
      <c r="T37" s="15">
        <v>-0.43402541922904436</v>
      </c>
      <c r="U37" s="15">
        <v>-0.28544193250202654</v>
      </c>
      <c r="V37" s="15">
        <v>-0.69999522889504562</v>
      </c>
      <c r="W37" s="15">
        <v>-6.1024672261945578E-2</v>
      </c>
      <c r="X37" s="15">
        <v>0.78273914303880432</v>
      </c>
      <c r="Y37" s="15">
        <v>0.28818486767401541</v>
      </c>
      <c r="Z37" s="15">
        <v>-0.71234363284444513</v>
      </c>
      <c r="AA37" s="15">
        <v>-0.40125236592825653</v>
      </c>
      <c r="AB37" s="15">
        <v>0.38400410098427723</v>
      </c>
      <c r="AC37" s="15">
        <v>-0.48352549759681901</v>
      </c>
      <c r="AD37" s="15">
        <v>0.63703391987863922</v>
      </c>
      <c r="AE37" s="15">
        <v>-0.63825423340531784</v>
      </c>
      <c r="AF37" s="15">
        <v>0.17674536204632907</v>
      </c>
      <c r="AG37" s="15">
        <v>-6.5755947192034286E-2</v>
      </c>
      <c r="AH37" s="15">
        <v>0.3100058619709582</v>
      </c>
      <c r="AI37" s="15">
        <v>0.47993464294398797</v>
      </c>
      <c r="AJ37" s="15">
        <v>0.63021049866922807</v>
      </c>
      <c r="AK37" s="15">
        <v>-0.21633683663518019</v>
      </c>
      <c r="AM37" s="16">
        <v>0.81006083284753172</v>
      </c>
      <c r="AN37" s="16">
        <v>-0.17670891920488543</v>
      </c>
      <c r="AP37" s="17">
        <f t="shared" si="2"/>
        <v>0</v>
      </c>
    </row>
    <row r="38" spans="1:42" x14ac:dyDescent="0.2">
      <c r="A38">
        <v>1.024935563201087</v>
      </c>
      <c r="B38">
        <v>-1.4128456311694819</v>
      </c>
      <c r="C38">
        <v>0.90110438090629685</v>
      </c>
      <c r="D38">
        <v>0.93564399962987643</v>
      </c>
      <c r="E38">
        <v>-0.79640488343624327</v>
      </c>
      <c r="F38">
        <v>-0.58319656370684947</v>
      </c>
      <c r="G38">
        <v>-0.22204822851455761</v>
      </c>
      <c r="H38">
        <v>0.69077536377428439</v>
      </c>
      <c r="I38">
        <v>0.5444295047629818</v>
      </c>
      <c r="J38">
        <v>-0.5083324165507781</v>
      </c>
      <c r="M38" s="13">
        <v>0</v>
      </c>
      <c r="O38" s="10">
        <f t="shared" si="0"/>
        <v>1</v>
      </c>
      <c r="P38" s="10">
        <f t="shared" si="1"/>
        <v>0</v>
      </c>
      <c r="R38" s="15">
        <v>0.31888997812345249</v>
      </c>
      <c r="S38" s="15">
        <v>-0.4163543267961699</v>
      </c>
      <c r="T38" s="15">
        <v>-0.12434326830747959</v>
      </c>
      <c r="U38" s="15">
        <v>-9.0821025403344552E-2</v>
      </c>
      <c r="V38" s="15">
        <v>-0.40734405603716706</v>
      </c>
      <c r="W38" s="15">
        <v>-0.22727289524363367</v>
      </c>
      <c r="X38" s="15">
        <v>0.51263235647230931</v>
      </c>
      <c r="Y38" s="15">
        <v>0.34225929578830816</v>
      </c>
      <c r="Z38" s="15">
        <v>-0.2382987524992386</v>
      </c>
      <c r="AA38" s="15">
        <v>-0.24978285974860834</v>
      </c>
      <c r="AB38" s="15">
        <v>1.7590786102837163E-2</v>
      </c>
      <c r="AC38" s="15">
        <v>-1.9355394765594395E-2</v>
      </c>
      <c r="AD38" s="15">
        <v>0.42771395882373014</v>
      </c>
      <c r="AE38" s="15">
        <v>-0.37296831661901292</v>
      </c>
      <c r="AF38" s="15">
        <v>0.20147665294706499</v>
      </c>
      <c r="AG38" s="15">
        <v>-0.19632477881186439</v>
      </c>
      <c r="AH38" s="15">
        <v>0.25863585665049504</v>
      </c>
      <c r="AI38" s="15">
        <v>0.38897864880798039</v>
      </c>
      <c r="AJ38" s="15">
        <v>0.45546139030532845</v>
      </c>
      <c r="AK38" s="15">
        <v>-0.45325557653321241</v>
      </c>
      <c r="AM38" s="16">
        <v>0.6006524385607056</v>
      </c>
      <c r="AN38" s="16">
        <v>9.4292414625869431E-2</v>
      </c>
      <c r="AP38" s="17">
        <f t="shared" si="2"/>
        <v>0</v>
      </c>
    </row>
    <row r="39" spans="1:42" x14ac:dyDescent="0.2">
      <c r="A39">
        <v>1.0704933335246261</v>
      </c>
      <c r="B39">
        <v>0.38420910739016773</v>
      </c>
      <c r="C39">
        <v>1.058200536211668</v>
      </c>
      <c r="D39">
        <v>0.97833277321301038</v>
      </c>
      <c r="E39">
        <v>0.44366893799565832</v>
      </c>
      <c r="F39">
        <v>0.31561532431315831</v>
      </c>
      <c r="G39">
        <v>0.69124932581355047</v>
      </c>
      <c r="H39">
        <v>1.0434101112041101</v>
      </c>
      <c r="I39">
        <v>0.92536304330864572</v>
      </c>
      <c r="J39">
        <v>0.46945708965967498</v>
      </c>
      <c r="M39" s="13">
        <v>1</v>
      </c>
      <c r="O39" s="10">
        <f t="shared" si="0"/>
        <v>0</v>
      </c>
      <c r="P39" s="10">
        <f t="shared" si="1"/>
        <v>1</v>
      </c>
      <c r="R39" s="15">
        <v>5.9398523442673719E-2</v>
      </c>
      <c r="S39" s="15">
        <v>-4.9457636869599031E-2</v>
      </c>
      <c r="T39" s="15">
        <v>9.6467192982454264E-2</v>
      </c>
      <c r="U39" s="15">
        <v>0.57370703323767192</v>
      </c>
      <c r="V39" s="15">
        <v>4.085882987311109E-2</v>
      </c>
      <c r="W39" s="15">
        <v>-9.4999581723944737E-2</v>
      </c>
      <c r="X39" s="15">
        <v>2.1667963022615727E-2</v>
      </c>
      <c r="Y39" s="15">
        <v>-8.5528005637462157E-2</v>
      </c>
      <c r="Z39" s="15">
        <v>-0.28988832941007092</v>
      </c>
      <c r="AA39" s="15">
        <v>0.26813768959390316</v>
      </c>
      <c r="AB39" s="15">
        <v>-0.22323493781088125</v>
      </c>
      <c r="AC39" s="15">
        <v>-0.22557727633744634</v>
      </c>
      <c r="AD39" s="15">
        <v>1.6097041914846913E-2</v>
      </c>
      <c r="AE39" s="15">
        <v>-7.2926466661329308E-3</v>
      </c>
      <c r="AF39" s="15">
        <v>0.24861035542080745</v>
      </c>
      <c r="AG39" s="15">
        <v>0.37623740078129037</v>
      </c>
      <c r="AH39" s="15">
        <v>9.3971046563044669E-2</v>
      </c>
      <c r="AI39" s="15">
        <v>1.1536196787391209E-3</v>
      </c>
      <c r="AJ39" s="15">
        <v>-0.22887742348393586</v>
      </c>
      <c r="AK39" s="15">
        <v>-0.16016332953990642</v>
      </c>
      <c r="AM39" s="16">
        <v>0.2219964185568459</v>
      </c>
      <c r="AN39" s="16">
        <v>5.5181532173156758E-2</v>
      </c>
      <c r="AP39" s="17">
        <f t="shared" si="2"/>
        <v>0</v>
      </c>
    </row>
    <row r="40" spans="1:42" x14ac:dyDescent="0.2">
      <c r="A40">
        <v>-0.50979182457311334</v>
      </c>
      <c r="B40">
        <v>-1.5109113740649609</v>
      </c>
      <c r="C40">
        <v>-0.57766653363925335</v>
      </c>
      <c r="D40">
        <v>-0.53926745275921095</v>
      </c>
      <c r="E40">
        <v>-1.2004091525495291</v>
      </c>
      <c r="F40">
        <v>-1.0450161467491901</v>
      </c>
      <c r="G40">
        <v>-0.99391717161161097</v>
      </c>
      <c r="H40">
        <v>-0.67645760433082924</v>
      </c>
      <c r="I40">
        <v>-0.64775138438918878</v>
      </c>
      <c r="J40">
        <v>-1.353540294800492</v>
      </c>
      <c r="M40" s="13">
        <v>0</v>
      </c>
      <c r="O40" s="10">
        <f t="shared" si="0"/>
        <v>1</v>
      </c>
      <c r="P40" s="10">
        <f t="shared" si="1"/>
        <v>0</v>
      </c>
      <c r="R40" s="15">
        <v>0.23052119673519239</v>
      </c>
      <c r="S40" s="15">
        <v>-0.64971529747876144</v>
      </c>
      <c r="T40" s="15">
        <v>-8.4564679194081754E-2</v>
      </c>
      <c r="U40" s="15">
        <v>0.1582352947095696</v>
      </c>
      <c r="V40" s="15">
        <v>-0.20214001293981743</v>
      </c>
      <c r="W40" s="15">
        <v>-0.42847137196248558</v>
      </c>
      <c r="X40" s="15">
        <v>0.64006261953617982</v>
      </c>
      <c r="Y40" s="15">
        <v>0.74244751540015419</v>
      </c>
      <c r="Z40" s="15">
        <v>0.12751111780755142</v>
      </c>
      <c r="AA40" s="15">
        <v>-0.29198426486775353</v>
      </c>
      <c r="AB40" s="15">
        <v>-0.60167237816454422</v>
      </c>
      <c r="AC40" s="15">
        <v>6.1569918070499344E-2</v>
      </c>
      <c r="AD40" s="15">
        <v>0.57631124769391961</v>
      </c>
      <c r="AE40" s="15">
        <v>-0.54624247846175</v>
      </c>
      <c r="AF40" s="15">
        <v>0.33842411778896936</v>
      </c>
      <c r="AG40" s="15">
        <v>7.0362398880675817E-2</v>
      </c>
      <c r="AH40" s="15">
        <v>0.40795964766277343</v>
      </c>
      <c r="AI40" s="15">
        <v>0.61907273056553813</v>
      </c>
      <c r="AJ40" s="15">
        <v>0.5319545016190026</v>
      </c>
      <c r="AK40" s="15">
        <v>-0.54358636725080201</v>
      </c>
      <c r="AM40" s="16">
        <v>0.32685620622042189</v>
      </c>
      <c r="AN40" s="16">
        <v>-2.6426757454870498E-2</v>
      </c>
      <c r="AP40" s="17">
        <f t="shared" si="2"/>
        <v>0</v>
      </c>
    </row>
    <row r="41" spans="1:42" x14ac:dyDescent="0.2">
      <c r="A41">
        <v>-0.31047657940763301</v>
      </c>
      <c r="B41">
        <v>0.37930582024539378</v>
      </c>
      <c r="C41">
        <v>-0.36145261462686212</v>
      </c>
      <c r="D41">
        <v>-0.36335532537636323</v>
      </c>
      <c r="E41">
        <v>-0.97146101108330629</v>
      </c>
      <c r="F41">
        <v>-0.91088194534887845</v>
      </c>
      <c r="G41">
        <v>-0.9666507546715698</v>
      </c>
      <c r="H41">
        <v>-0.40631051711850658</v>
      </c>
      <c r="I41">
        <v>-0.44617405357544171</v>
      </c>
      <c r="J41">
        <v>-1.1273452876377441</v>
      </c>
      <c r="M41" s="13">
        <v>0</v>
      </c>
      <c r="O41" s="10">
        <f t="shared" si="0"/>
        <v>1</v>
      </c>
      <c r="P41" s="10">
        <f t="shared" si="1"/>
        <v>0</v>
      </c>
      <c r="R41" s="15">
        <v>0.22069285748466794</v>
      </c>
      <c r="S41" s="15">
        <v>-0.60377819650610998</v>
      </c>
      <c r="T41" s="15">
        <v>-0.33539318844590127</v>
      </c>
      <c r="U41" s="15">
        <v>-0.34000694899519673</v>
      </c>
      <c r="V41" s="15">
        <v>-0.65432895115412382</v>
      </c>
      <c r="W41" s="15">
        <v>-0.18549508065874887</v>
      </c>
      <c r="X41" s="15">
        <v>0.76339101943528709</v>
      </c>
      <c r="Y41" s="15">
        <v>0.4839881884396634</v>
      </c>
      <c r="Z41" s="15">
        <v>-0.50126096937866882</v>
      </c>
      <c r="AA41" s="15">
        <v>-0.47276617337301247</v>
      </c>
      <c r="AB41" s="15">
        <v>0.18704929078634983</v>
      </c>
      <c r="AC41" s="15">
        <v>-0.2352384665316736</v>
      </c>
      <c r="AD41" s="15">
        <v>0.63619117066429409</v>
      </c>
      <c r="AE41" s="15">
        <v>-0.62813784584956767</v>
      </c>
      <c r="AF41" s="15">
        <v>0.18205429794149816</v>
      </c>
      <c r="AG41" s="15">
        <v>-0.25493751481872284</v>
      </c>
      <c r="AH41" s="15">
        <v>0.35887526142287246</v>
      </c>
      <c r="AI41" s="15">
        <v>0.54988678874443497</v>
      </c>
      <c r="AJ41" s="15">
        <v>0.6823968185978555</v>
      </c>
      <c r="AK41" s="15">
        <v>-0.41733728415879423</v>
      </c>
      <c r="AM41" s="16">
        <v>0.71334957222176654</v>
      </c>
      <c r="AN41" s="16">
        <v>-0.30062313114572031</v>
      </c>
      <c r="AP41" s="17">
        <f t="shared" si="2"/>
        <v>0</v>
      </c>
    </row>
    <row r="42" spans="1:42" x14ac:dyDescent="0.2">
      <c r="A42">
        <v>0.17642209092518349</v>
      </c>
      <c r="B42">
        <v>0.29840158235662417</v>
      </c>
      <c r="C42">
        <v>0.1371209730001812</v>
      </c>
      <c r="D42">
        <v>4.4050285598244622E-2</v>
      </c>
      <c r="E42">
        <v>-0.40094900272185902</v>
      </c>
      <c r="F42">
        <v>-0.28846555314866917</v>
      </c>
      <c r="G42">
        <v>-2.5067478097250781E-2</v>
      </c>
      <c r="H42">
        <v>-9.4919599797432141E-2</v>
      </c>
      <c r="I42">
        <v>-0.20756151762531039</v>
      </c>
      <c r="J42">
        <v>-0.23525606796948029</v>
      </c>
      <c r="M42" s="13">
        <v>0</v>
      </c>
      <c r="O42" s="10">
        <f t="shared" si="0"/>
        <v>1</v>
      </c>
      <c r="P42" s="10">
        <f t="shared" si="1"/>
        <v>0</v>
      </c>
      <c r="R42" s="15">
        <v>0.18912013922515356</v>
      </c>
      <c r="S42" s="15">
        <v>0.68438376441682791</v>
      </c>
      <c r="T42" s="15">
        <v>0.30271458884754393</v>
      </c>
      <c r="U42" s="15">
        <v>-0.53431685289815367</v>
      </c>
      <c r="V42" s="15">
        <v>0.49110197083521889</v>
      </c>
      <c r="W42" s="15">
        <v>0.37079706200235707</v>
      </c>
      <c r="X42" s="15">
        <v>-0.58486056198816216</v>
      </c>
      <c r="Y42" s="15">
        <v>-0.78251791446056129</v>
      </c>
      <c r="Z42" s="15">
        <v>-0.21548347455412395</v>
      </c>
      <c r="AA42" s="15">
        <v>0.48310857156202103</v>
      </c>
      <c r="AB42" s="15">
        <v>0.4130486031803432</v>
      </c>
      <c r="AC42" s="15">
        <v>0.27513909156025146</v>
      </c>
      <c r="AD42" s="15">
        <v>-0.48865940834512456</v>
      </c>
      <c r="AE42" s="15">
        <v>0.66317068068701268</v>
      </c>
      <c r="AF42" s="15">
        <v>-0.35224548883378548</v>
      </c>
      <c r="AG42" s="15">
        <v>4.5691414178775681E-2</v>
      </c>
      <c r="AH42" s="15">
        <v>-0.56060058359859288</v>
      </c>
      <c r="AI42" s="15">
        <v>-0.59473721762110787</v>
      </c>
      <c r="AJ42" s="15">
        <v>-0.50474761310341965</v>
      </c>
      <c r="AK42" s="15">
        <v>0.39250965741277044</v>
      </c>
      <c r="AM42" s="16">
        <v>-0.52629213772034877</v>
      </c>
      <c r="AN42" s="16">
        <v>0.51192219422419072</v>
      </c>
      <c r="AP42" s="17">
        <f t="shared" si="2"/>
        <v>1</v>
      </c>
    </row>
    <row r="43" spans="1:42" x14ac:dyDescent="0.2">
      <c r="A43">
        <v>-0.45569197231391168</v>
      </c>
      <c r="B43">
        <v>-0.20173370641031771</v>
      </c>
      <c r="C43">
        <v>-0.41808991272379842</v>
      </c>
      <c r="D43">
        <v>-0.51548780036055242</v>
      </c>
      <c r="E43">
        <v>0.52729447668056117</v>
      </c>
      <c r="F43">
        <v>-0.14066643772373891</v>
      </c>
      <c r="G43">
        <v>6.2761600674694964E-3</v>
      </c>
      <c r="H43">
        <v>-0.43105681518375732</v>
      </c>
      <c r="I43">
        <v>-0.47192233905121328</v>
      </c>
      <c r="J43">
        <v>0.3470281088851182</v>
      </c>
      <c r="M43" s="13">
        <v>0</v>
      </c>
      <c r="O43" s="10">
        <f t="shared" si="0"/>
        <v>1</v>
      </c>
      <c r="P43" s="10">
        <f t="shared" si="1"/>
        <v>0</v>
      </c>
      <c r="R43" s="15">
        <v>-0.12715786385058114</v>
      </c>
      <c r="S43" s="15">
        <v>-0.64027949956245644</v>
      </c>
      <c r="T43" s="15">
        <v>-0.33697900091439731</v>
      </c>
      <c r="U43" s="15">
        <v>-5.3894533934038286E-2</v>
      </c>
      <c r="V43" s="15">
        <v>-0.4411811295347618</v>
      </c>
      <c r="W43" s="15">
        <v>-2.7395421438487073E-2</v>
      </c>
      <c r="X43" s="15">
        <v>0.72309820786953849</v>
      </c>
      <c r="Y43" s="15">
        <v>0.542924416886299</v>
      </c>
      <c r="Z43" s="15">
        <v>-0.38402013593800999</v>
      </c>
      <c r="AA43" s="15">
        <v>-0.37964472781361558</v>
      </c>
      <c r="AB43" s="15">
        <v>-0.17522306263207821</v>
      </c>
      <c r="AC43" s="15">
        <v>-0.33749487067344608</v>
      </c>
      <c r="AD43" s="15">
        <v>0.60396977734546364</v>
      </c>
      <c r="AE43" s="15">
        <v>-0.66280578954242908</v>
      </c>
      <c r="AF43" s="15">
        <v>8.5141805534261386E-2</v>
      </c>
      <c r="AG43" s="15">
        <v>8.6715651624351645E-2</v>
      </c>
      <c r="AH43" s="15">
        <v>0.34302016708314775</v>
      </c>
      <c r="AI43" s="15">
        <v>0.59315687828968389</v>
      </c>
      <c r="AJ43" s="15">
        <v>0.57607834743148112</v>
      </c>
      <c r="AK43" s="15">
        <v>-0.15468978870988909</v>
      </c>
      <c r="AM43" s="16">
        <v>4.7867064272235922E-2</v>
      </c>
      <c r="AN43" s="16">
        <v>-0.21226979268033966</v>
      </c>
      <c r="AP43" s="17">
        <f t="shared" si="2"/>
        <v>0</v>
      </c>
    </row>
    <row r="44" spans="1:42" x14ac:dyDescent="0.2">
      <c r="A44">
        <v>-0.50694446392789227</v>
      </c>
      <c r="B44">
        <v>-0.41257505363559799</v>
      </c>
      <c r="C44">
        <v>-0.51069396216696383</v>
      </c>
      <c r="D44">
        <v>-0.53124540134761533</v>
      </c>
      <c r="E44">
        <v>-0.53382069196564863</v>
      </c>
      <c r="F44">
        <v>-0.68676744425608827</v>
      </c>
      <c r="G44">
        <v>-0.68302905322983309</v>
      </c>
      <c r="H44">
        <v>-0.49704694335775979</v>
      </c>
      <c r="I44">
        <v>-0.51848088265123904</v>
      </c>
      <c r="J44">
        <v>-0.18150675933674809</v>
      </c>
      <c r="M44" s="13">
        <v>0</v>
      </c>
      <c r="O44" s="10">
        <f t="shared" si="0"/>
        <v>1</v>
      </c>
      <c r="P44" s="10">
        <f t="shared" si="1"/>
        <v>0</v>
      </c>
      <c r="R44" s="15">
        <v>-0.15247014968740127</v>
      </c>
      <c r="S44" s="15">
        <v>-0.43237618304208542</v>
      </c>
      <c r="T44" s="15">
        <v>5.2470921374282338E-2</v>
      </c>
      <c r="U44" s="15">
        <v>0.39562279464054367</v>
      </c>
      <c r="V44" s="15">
        <v>-3.6056709167774072E-2</v>
      </c>
      <c r="W44" s="15">
        <v>-0.28259768176695738</v>
      </c>
      <c r="X44" s="15">
        <v>0.22035561333150433</v>
      </c>
      <c r="Y44" s="15">
        <v>0.57791354938528716</v>
      </c>
      <c r="Z44" s="15">
        <v>0.26813449900734393</v>
      </c>
      <c r="AA44" s="15">
        <v>-0.20953800151050461</v>
      </c>
      <c r="AB44" s="15">
        <v>-0.54486355770551564</v>
      </c>
      <c r="AC44" s="15">
        <v>-2.7222257836986015E-2</v>
      </c>
      <c r="AD44" s="15">
        <v>0.19759193058607724</v>
      </c>
      <c r="AE44" s="15">
        <v>-0.3442566357084324</v>
      </c>
      <c r="AF44" s="15">
        <v>0.20311541300347968</v>
      </c>
      <c r="AG44" s="15">
        <v>5.6287274123484228E-2</v>
      </c>
      <c r="AH44" s="15">
        <v>0.30734967984449252</v>
      </c>
      <c r="AI44" s="15">
        <v>0.34427471646928054</v>
      </c>
      <c r="AJ44" s="15">
        <v>0.14703305619805276</v>
      </c>
      <c r="AK44" s="15">
        <v>-0.28375378962744247</v>
      </c>
      <c r="AM44" s="16">
        <v>0.65302957840241904</v>
      </c>
      <c r="AN44" s="16">
        <v>-0.3597543370163977</v>
      </c>
      <c r="AP44" s="17">
        <f t="shared" si="2"/>
        <v>0</v>
      </c>
    </row>
    <row r="45" spans="1:42" x14ac:dyDescent="0.2">
      <c r="A45">
        <v>1.20716664449524</v>
      </c>
      <c r="B45">
        <v>-0.36109053861547141</v>
      </c>
      <c r="C45">
        <v>1.178089707365765</v>
      </c>
      <c r="D45">
        <v>1.153098893251344</v>
      </c>
      <c r="E45">
        <v>0.49570260651070941</v>
      </c>
      <c r="F45">
        <v>0.7132977723550914</v>
      </c>
      <c r="G45">
        <v>1.0533575358303591</v>
      </c>
      <c r="H45">
        <v>1.2949974748674939</v>
      </c>
      <c r="I45">
        <v>1.2322261715815419</v>
      </c>
      <c r="J45">
        <v>0.72924541471788062</v>
      </c>
      <c r="M45" s="13">
        <v>1</v>
      </c>
      <c r="O45" s="10">
        <f t="shared" si="0"/>
        <v>0</v>
      </c>
      <c r="P45" s="10">
        <f t="shared" si="1"/>
        <v>1</v>
      </c>
      <c r="R45" s="15">
        <v>0.73746660712217149</v>
      </c>
      <c r="S45" s="15">
        <v>-4.5947898613964158E-2</v>
      </c>
      <c r="T45" s="15">
        <v>-0.16442054492664848</v>
      </c>
      <c r="U45" s="15">
        <v>-0.12141291965006146</v>
      </c>
      <c r="V45" s="15">
        <v>-0.2660165477896092</v>
      </c>
      <c r="W45" s="15">
        <v>-0.38549396610383863</v>
      </c>
      <c r="X45" s="15">
        <v>0.23435063165560938</v>
      </c>
      <c r="Y45" s="15">
        <v>-8.9801302864238736E-2</v>
      </c>
      <c r="Z45" s="15">
        <v>-9.5838789125587603E-2</v>
      </c>
      <c r="AA45" s="15">
        <v>0.12078994203857928</v>
      </c>
      <c r="AB45" s="15">
        <v>0.41940785078257015</v>
      </c>
      <c r="AC45" s="15">
        <v>0.22796335214176103</v>
      </c>
      <c r="AD45" s="15">
        <v>0.32002030249185331</v>
      </c>
      <c r="AE45" s="15">
        <v>0.11884514375466734</v>
      </c>
      <c r="AF45" s="15">
        <v>0.36821632768782725</v>
      </c>
      <c r="AG45" s="15">
        <v>-0.24884444003516432</v>
      </c>
      <c r="AH45" s="15">
        <v>4.1339726055201122E-2</v>
      </c>
      <c r="AI45" s="15">
        <v>0.17506685723650278</v>
      </c>
      <c r="AJ45" s="15">
        <v>0.30880525415194965</v>
      </c>
      <c r="AK45" s="15">
        <v>-0.57804724075005542</v>
      </c>
      <c r="AM45" s="16">
        <v>0.42533174110345634</v>
      </c>
      <c r="AN45" s="16">
        <v>-4.7134026963760997E-2</v>
      </c>
      <c r="AP45" s="17">
        <f t="shared" si="2"/>
        <v>0</v>
      </c>
    </row>
    <row r="46" spans="1:42" x14ac:dyDescent="0.2">
      <c r="A46">
        <v>1.8051123799916819</v>
      </c>
      <c r="B46">
        <v>0.5509208703124816</v>
      </c>
      <c r="C46">
        <v>1.860217750139084</v>
      </c>
      <c r="D46">
        <v>1.8750835202949541</v>
      </c>
      <c r="E46">
        <v>1.1033815209543349</v>
      </c>
      <c r="F46">
        <v>1.576801405642404</v>
      </c>
      <c r="G46">
        <v>1.569890499731887</v>
      </c>
      <c r="H46">
        <v>1.5239007319710649</v>
      </c>
      <c r="I46">
        <v>1.5143991630968481</v>
      </c>
      <c r="J46">
        <v>1.401111772627033</v>
      </c>
      <c r="M46" s="13">
        <v>1</v>
      </c>
      <c r="O46" s="10">
        <f t="shared" si="0"/>
        <v>0</v>
      </c>
      <c r="P46" s="10">
        <f t="shared" si="1"/>
        <v>1</v>
      </c>
      <c r="R46" s="15">
        <v>0.23708539265994913</v>
      </c>
      <c r="S46" s="15">
        <v>-0.33105780078724634</v>
      </c>
      <c r="T46" s="15">
        <v>-0.1056638996292628</v>
      </c>
      <c r="U46" s="15">
        <v>0.10021401148938214</v>
      </c>
      <c r="V46" s="15">
        <v>-0.12598303359493621</v>
      </c>
      <c r="W46" s="15">
        <v>-0.14603880438347644</v>
      </c>
      <c r="X46" s="15">
        <v>0.38909557262974653</v>
      </c>
      <c r="Y46" s="15">
        <v>0.36973166469522423</v>
      </c>
      <c r="Z46" s="15">
        <v>-2.319335893561798E-2</v>
      </c>
      <c r="AA46" s="15">
        <v>-6.9059709817059445E-2</v>
      </c>
      <c r="AB46" s="15">
        <v>-0.28690547722839044</v>
      </c>
      <c r="AC46" s="15">
        <v>1.3689321120382691E-2</v>
      </c>
      <c r="AD46" s="15">
        <v>0.35225428574279566</v>
      </c>
      <c r="AE46" s="15">
        <v>-0.26790578484008393</v>
      </c>
      <c r="AF46" s="15">
        <v>0.16256660411864624</v>
      </c>
      <c r="AG46" s="15">
        <v>3.5044430667355353E-2</v>
      </c>
      <c r="AH46" s="15">
        <v>0.16400617388907593</v>
      </c>
      <c r="AI46" s="15">
        <v>0.36379007636481997</v>
      </c>
      <c r="AJ46" s="15">
        <v>0.33537592934514399</v>
      </c>
      <c r="AK46" s="15">
        <v>-0.33473455970836469</v>
      </c>
      <c r="AM46" s="16">
        <v>0.36646722473788657</v>
      </c>
      <c r="AN46" s="16">
        <v>-4.2057745922958439E-2</v>
      </c>
      <c r="AP46" s="17">
        <f t="shared" si="2"/>
        <v>0</v>
      </c>
    </row>
    <row r="47" spans="1:42" x14ac:dyDescent="0.2">
      <c r="A47">
        <v>0.22482722189394311</v>
      </c>
      <c r="B47">
        <v>-0.55231873726165548</v>
      </c>
      <c r="C47">
        <v>0.24502122703886969</v>
      </c>
      <c r="D47">
        <v>6.840294166916E-2</v>
      </c>
      <c r="E47">
        <v>0.58304483580382971</v>
      </c>
      <c r="F47">
        <v>-0.17733746720050281</v>
      </c>
      <c r="G47">
        <v>0.27843067681479639</v>
      </c>
      <c r="H47">
        <v>5.9744763110386123E-2</v>
      </c>
      <c r="I47">
        <v>-7.8291015887360635E-2</v>
      </c>
      <c r="J47">
        <v>-0.23376303161857109</v>
      </c>
      <c r="M47" s="13">
        <v>0</v>
      </c>
      <c r="O47" s="10">
        <f t="shared" si="0"/>
        <v>1</v>
      </c>
      <c r="P47" s="10">
        <f t="shared" si="1"/>
        <v>0</v>
      </c>
      <c r="R47" s="15">
        <v>0.86373347470546247</v>
      </c>
      <c r="S47" s="15">
        <v>0.25333509447417557</v>
      </c>
      <c r="T47" s="15">
        <v>0.15156577638544005</v>
      </c>
      <c r="U47" s="15">
        <v>-0.43599534090282527</v>
      </c>
      <c r="V47" s="15">
        <v>0.14467766423723902</v>
      </c>
      <c r="W47" s="15">
        <v>-0.71244700050101772</v>
      </c>
      <c r="X47" s="15">
        <v>-0.14727757619318471</v>
      </c>
      <c r="Y47" s="15">
        <v>-1.3351136451472236E-2</v>
      </c>
      <c r="Z47" s="15">
        <v>0.44601458270359146</v>
      </c>
      <c r="AA47" s="15">
        <v>0.2671595111715479</v>
      </c>
      <c r="AB47" s="15">
        <v>0.18048374829273484</v>
      </c>
      <c r="AC47" s="15">
        <v>0.63073971050898492</v>
      </c>
      <c r="AD47" s="15">
        <v>0.11515786704028698</v>
      </c>
      <c r="AE47" s="15">
        <v>0.54731401154469117</v>
      </c>
      <c r="AF47" s="15">
        <v>0.51464288583239959</v>
      </c>
      <c r="AG47" s="15">
        <v>-0.33824642298028929</v>
      </c>
      <c r="AH47" s="15">
        <v>-0.16209151565740479</v>
      </c>
      <c r="AI47" s="15">
        <v>-8.9683107975122453E-2</v>
      </c>
      <c r="AJ47" s="15">
        <v>0.10202915364009883</v>
      </c>
      <c r="AK47" s="15">
        <v>-0.70407251308424124</v>
      </c>
      <c r="AM47" s="16">
        <v>0.52520894116285366</v>
      </c>
      <c r="AN47" s="16">
        <v>-0.54721793486394754</v>
      </c>
      <c r="AP47" s="17">
        <f t="shared" si="2"/>
        <v>0</v>
      </c>
    </row>
    <row r="48" spans="1:42" x14ac:dyDescent="0.2">
      <c r="A48">
        <v>-0.122550776823037</v>
      </c>
      <c r="B48">
        <v>1.347705031338247</v>
      </c>
      <c r="C48">
        <v>-1.956177137017508E-2</v>
      </c>
      <c r="D48">
        <v>-0.19947627511090929</v>
      </c>
      <c r="E48">
        <v>1.172140297206367</v>
      </c>
      <c r="F48">
        <v>0.54728703080487606</v>
      </c>
      <c r="G48">
        <v>0.43565852029148228</v>
      </c>
      <c r="H48">
        <v>-9.4919599797432141E-2</v>
      </c>
      <c r="I48">
        <v>-0.1998017603586395</v>
      </c>
      <c r="J48">
        <v>0.51723425288877045</v>
      </c>
      <c r="M48" s="13">
        <v>1</v>
      </c>
      <c r="O48" s="10">
        <f t="shared" si="0"/>
        <v>0</v>
      </c>
      <c r="P48" s="10">
        <f t="shared" si="1"/>
        <v>1</v>
      </c>
      <c r="R48" s="15">
        <v>5.9278080661108304E-2</v>
      </c>
      <c r="S48" s="15">
        <v>0.13786063706181398</v>
      </c>
      <c r="T48" s="15">
        <v>-6.4671280012858628E-2</v>
      </c>
      <c r="U48" s="15">
        <v>-0.53477280581355369</v>
      </c>
      <c r="V48" s="15">
        <v>-0.3703012822176705</v>
      </c>
      <c r="W48" s="15">
        <v>0.16082287177131455</v>
      </c>
      <c r="X48" s="15">
        <v>0.21291385020938133</v>
      </c>
      <c r="Y48" s="15">
        <v>-0.42134107720088104</v>
      </c>
      <c r="Z48" s="15">
        <v>-0.64246421267101028</v>
      </c>
      <c r="AA48" s="15">
        <v>-8.3337727597216554E-2</v>
      </c>
      <c r="AB48" s="15">
        <v>0.58279300926140687</v>
      </c>
      <c r="AC48" s="15">
        <v>-0.20845570635673205</v>
      </c>
      <c r="AD48" s="15">
        <v>7.23147161312232E-2</v>
      </c>
      <c r="AE48" s="15">
        <v>-2.8069378141138634E-3</v>
      </c>
      <c r="AF48" s="15">
        <v>-0.10209826594649066</v>
      </c>
      <c r="AG48" s="15">
        <v>-0.19965688481976485</v>
      </c>
      <c r="AH48" s="15">
        <v>-0.14306583035246506</v>
      </c>
      <c r="AI48" s="15">
        <v>-0.18037131573373177</v>
      </c>
      <c r="AJ48" s="15">
        <v>0.12567586463979541</v>
      </c>
      <c r="AK48" s="15">
        <v>9.0458935813501853E-2</v>
      </c>
      <c r="AM48" s="16">
        <v>0.62591675137854264</v>
      </c>
      <c r="AN48" s="16">
        <v>-0.46256484052033925</v>
      </c>
      <c r="AP48" s="17">
        <f t="shared" si="2"/>
        <v>0</v>
      </c>
    </row>
    <row r="49" spans="1:42" x14ac:dyDescent="0.2">
      <c r="A49">
        <v>-0.48701293941134471</v>
      </c>
      <c r="B49">
        <v>-0.65528776730190774</v>
      </c>
      <c r="C49">
        <v>-0.47762108736583342</v>
      </c>
      <c r="D49">
        <v>-0.54213247112049512</v>
      </c>
      <c r="E49">
        <v>6.4566495957432912E-2</v>
      </c>
      <c r="F49">
        <v>-0.3994697504837384</v>
      </c>
      <c r="G49">
        <v>-0.45113709607621189</v>
      </c>
      <c r="H49">
        <v>-0.59809432712420119</v>
      </c>
      <c r="I49">
        <v>-0.61600692284371683</v>
      </c>
      <c r="J49">
        <v>-0.49788116209441341</v>
      </c>
      <c r="M49" s="13">
        <v>0</v>
      </c>
      <c r="O49" s="10">
        <f t="shared" si="0"/>
        <v>1</v>
      </c>
      <c r="P49" s="10">
        <f t="shared" si="1"/>
        <v>0</v>
      </c>
      <c r="R49" s="15">
        <v>0.21253276203217245</v>
      </c>
      <c r="S49" s="15">
        <v>-0.41605457508080723</v>
      </c>
      <c r="T49" s="15">
        <v>4.1155393946628108E-2</v>
      </c>
      <c r="U49" s="15">
        <v>5.6329624023582069E-2</v>
      </c>
      <c r="V49" s="15">
        <v>4.5472775839909045E-2</v>
      </c>
      <c r="W49" s="15">
        <v>-0.45608215367878685</v>
      </c>
      <c r="X49" s="15">
        <v>0.2943091465164937</v>
      </c>
      <c r="Y49" s="15">
        <v>0.61172740397950565</v>
      </c>
      <c r="Z49" s="15">
        <v>0.39408055531426001</v>
      </c>
      <c r="AA49" s="15">
        <v>-0.17277399198087645</v>
      </c>
      <c r="AB49" s="15">
        <v>-0.5239756598071813</v>
      </c>
      <c r="AC49" s="15">
        <v>0.2234821836522391</v>
      </c>
      <c r="AD49" s="15">
        <v>0.32298105736567667</v>
      </c>
      <c r="AE49" s="15">
        <v>-0.2407585991355311</v>
      </c>
      <c r="AF49" s="15">
        <v>0.28387965010594968</v>
      </c>
      <c r="AG49" s="15">
        <v>-1.9381377832443328E-2</v>
      </c>
      <c r="AH49" s="15">
        <v>0.23266559637896039</v>
      </c>
      <c r="AI49" s="15">
        <v>0.39437421294964242</v>
      </c>
      <c r="AJ49" s="15">
        <v>0.28520577709072115</v>
      </c>
      <c r="AK49" s="15">
        <v>-0.4330429843605349</v>
      </c>
      <c r="AM49" s="16">
        <v>0.79851218670612689</v>
      </c>
      <c r="AN49" s="16">
        <v>-0.14515312605050498</v>
      </c>
      <c r="AP49" s="17">
        <f t="shared" si="2"/>
        <v>0</v>
      </c>
    </row>
    <row r="50" spans="1:42" x14ac:dyDescent="0.2">
      <c r="A50">
        <v>2.5169525412969702</v>
      </c>
      <c r="B50">
        <v>0.2052391266059187</v>
      </c>
      <c r="C50">
        <v>2.451395387209292</v>
      </c>
      <c r="D50">
        <v>2.9122201670798211</v>
      </c>
      <c r="E50">
        <v>0.41765210373813327</v>
      </c>
      <c r="F50">
        <v>0.94249170658486581</v>
      </c>
      <c r="G50">
        <v>1.269195434411807</v>
      </c>
      <c r="H50">
        <v>2.952999445239306</v>
      </c>
      <c r="I50">
        <v>3.31677914640087</v>
      </c>
      <c r="J50">
        <v>1.626560261614326</v>
      </c>
      <c r="M50" s="13">
        <v>1</v>
      </c>
      <c r="O50" s="10">
        <f t="shared" si="0"/>
        <v>0</v>
      </c>
      <c r="P50" s="10">
        <f t="shared" si="1"/>
        <v>1</v>
      </c>
      <c r="R50" s="15">
        <v>0.35107713090989562</v>
      </c>
      <c r="S50" s="15">
        <v>0.88378033152822411</v>
      </c>
      <c r="T50" s="15">
        <v>0.62549038990442996</v>
      </c>
      <c r="U50" s="15">
        <v>-0.24941592530586598</v>
      </c>
      <c r="V50" s="15">
        <v>0.83043289467283021</v>
      </c>
      <c r="W50" s="15">
        <v>-0.31807808052861081</v>
      </c>
      <c r="X50" s="15">
        <v>-0.94683502016415877</v>
      </c>
      <c r="Y50" s="15">
        <v>-0.60693321484668183</v>
      </c>
      <c r="Z50" s="15">
        <v>0.89149917447295723</v>
      </c>
      <c r="AA50" s="15">
        <v>0.5776870655812858</v>
      </c>
      <c r="AB50" s="15">
        <v>2.4074167862304471E-2</v>
      </c>
      <c r="AC50" s="15">
        <v>0.79648754652081188</v>
      </c>
      <c r="AD50" s="15">
        <v>-0.85491872735085317</v>
      </c>
      <c r="AE50" s="15">
        <v>0.92628041355422508</v>
      </c>
      <c r="AF50" s="15">
        <v>-4.9385033797964946E-2</v>
      </c>
      <c r="AG50" s="15">
        <v>-0.28603802559907221</v>
      </c>
      <c r="AH50" s="15">
        <v>-0.61019363516777902</v>
      </c>
      <c r="AI50" s="15">
        <v>-0.83646586507424014</v>
      </c>
      <c r="AJ50" s="15">
        <v>-0.81289798464529806</v>
      </c>
      <c r="AK50" s="15">
        <v>0.17048297952231831</v>
      </c>
      <c r="AM50" s="16">
        <v>0.19555068844954074</v>
      </c>
      <c r="AN50" s="16">
        <v>0.12141929749731213</v>
      </c>
      <c r="AP50" s="17">
        <f t="shared" si="2"/>
        <v>0</v>
      </c>
    </row>
    <row r="51" spans="1:42" x14ac:dyDescent="0.2">
      <c r="A51">
        <v>-1.418669342527705</v>
      </c>
      <c r="B51">
        <v>-1.501104799775413</v>
      </c>
      <c r="C51">
        <v>-1.294521094953758</v>
      </c>
      <c r="D51">
        <v>-1.194210650148771</v>
      </c>
      <c r="E51">
        <v>2.20909697689916</v>
      </c>
      <c r="F51">
        <v>7.1554756511722564E-2</v>
      </c>
      <c r="G51">
        <v>5.1635246192023893E-2</v>
      </c>
      <c r="H51">
        <v>-1.276555332413164</v>
      </c>
      <c r="I51">
        <v>-1.0600766682409311</v>
      </c>
      <c r="J51">
        <v>-0.2233117771622066</v>
      </c>
      <c r="M51" s="13">
        <v>0</v>
      </c>
      <c r="O51" s="10">
        <f t="shared" si="0"/>
        <v>1</v>
      </c>
      <c r="P51" s="10">
        <f t="shared" si="1"/>
        <v>0</v>
      </c>
      <c r="R51" s="15">
        <v>0.20820158945837744</v>
      </c>
      <c r="S51" s="15">
        <v>-0.44007484826782023</v>
      </c>
      <c r="T51" s="15">
        <v>-0.30607660229974343</v>
      </c>
      <c r="U51" s="15">
        <v>-9.1531092493218266E-2</v>
      </c>
      <c r="V51" s="15">
        <v>-0.57471256322157904</v>
      </c>
      <c r="W51" s="15">
        <v>-0.10334191079753766</v>
      </c>
      <c r="X51" s="15">
        <v>0.5771727022083335</v>
      </c>
      <c r="Y51" s="15">
        <v>0.19329018414724616</v>
      </c>
      <c r="Z51" s="15">
        <v>-0.45649986573132056</v>
      </c>
      <c r="AA51" s="15">
        <v>-0.30912621580606792</v>
      </c>
      <c r="AB51" s="15">
        <v>0.36786553436721692</v>
      </c>
      <c r="AC51" s="15">
        <v>-0.25079438713099139</v>
      </c>
      <c r="AD51" s="15">
        <v>0.46816847820294871</v>
      </c>
      <c r="AE51" s="15">
        <v>-0.46551088240020855</v>
      </c>
      <c r="AF51" s="15">
        <v>0.16223975866757467</v>
      </c>
      <c r="AG51" s="15">
        <v>-0.21416506243994196</v>
      </c>
      <c r="AH51" s="15">
        <v>0.28406166137233912</v>
      </c>
      <c r="AI51" s="15">
        <v>0.39306315549530463</v>
      </c>
      <c r="AJ51" s="15">
        <v>0.49101327689706997</v>
      </c>
      <c r="AK51" s="15">
        <v>-0.31932692364209764</v>
      </c>
      <c r="AM51" s="16">
        <v>0.73583616661305051</v>
      </c>
      <c r="AN51" s="16">
        <v>-0.29832307158790489</v>
      </c>
      <c r="AP51" s="17">
        <f t="shared" si="2"/>
        <v>0</v>
      </c>
    </row>
    <row r="52" spans="1:42" x14ac:dyDescent="0.2">
      <c r="A52">
        <v>-1.302497028202682</v>
      </c>
      <c r="B52">
        <v>-1.4349104233209651</v>
      </c>
      <c r="C52">
        <v>-1.1857940190450409</v>
      </c>
      <c r="D52">
        <v>-1.1260232131502079</v>
      </c>
      <c r="E52">
        <v>2.144054891255347</v>
      </c>
      <c r="F52">
        <v>0.3379152746706498</v>
      </c>
      <c r="G52">
        <v>0.50675506539682336</v>
      </c>
      <c r="H52">
        <v>-1.2105652042391619</v>
      </c>
      <c r="I52">
        <v>-1.0108727528454491</v>
      </c>
      <c r="J52">
        <v>-0.14865995961674519</v>
      </c>
      <c r="M52" s="13">
        <v>0</v>
      </c>
      <c r="O52" s="10">
        <f t="shared" si="0"/>
        <v>1</v>
      </c>
      <c r="P52" s="10">
        <f t="shared" si="1"/>
        <v>0</v>
      </c>
      <c r="R52" s="15">
        <v>4.3423538431962214E-2</v>
      </c>
      <c r="S52" s="15">
        <v>-0.2060914986858603</v>
      </c>
      <c r="T52" s="15">
        <v>0.25460937600461753</v>
      </c>
      <c r="U52" s="15">
        <v>0.57927537369074078</v>
      </c>
      <c r="V52" s="15">
        <v>0.52543727088033176</v>
      </c>
      <c r="W52" s="15">
        <v>-0.55599097263498309</v>
      </c>
      <c r="X52" s="15">
        <v>-0.16173913618198799</v>
      </c>
      <c r="Y52" s="15">
        <v>0.59247857896785217</v>
      </c>
      <c r="Z52" s="15">
        <v>0.65490630259077776</v>
      </c>
      <c r="AA52" s="15">
        <v>0.21180609167680778</v>
      </c>
      <c r="AB52" s="15">
        <v>-0.82074967902976825</v>
      </c>
      <c r="AC52" s="15">
        <v>0.19823401513045627</v>
      </c>
      <c r="AD52" s="15">
        <v>1.1292944406226142E-2</v>
      </c>
      <c r="AE52" s="15">
        <v>6.8803967391576279E-2</v>
      </c>
      <c r="AF52" s="15">
        <v>0.40316056261703193</v>
      </c>
      <c r="AG52" s="15">
        <v>0.45439985787269677</v>
      </c>
      <c r="AH52" s="15">
        <v>0.12448088735405399</v>
      </c>
      <c r="AI52" s="15">
        <v>0.17487834012413589</v>
      </c>
      <c r="AJ52" s="15">
        <v>-0.25908802816569004</v>
      </c>
      <c r="AK52" s="15">
        <v>-0.29332143768289365</v>
      </c>
      <c r="AM52" s="16">
        <v>0.79768823233942387</v>
      </c>
      <c r="AN52" s="16">
        <v>-0.32285881540748274</v>
      </c>
      <c r="AP52" s="17">
        <f t="shared" si="2"/>
        <v>0</v>
      </c>
    </row>
    <row r="53" spans="1:42" x14ac:dyDescent="0.2">
      <c r="A53">
        <v>-0.5781284800584211</v>
      </c>
      <c r="B53">
        <v>0.25672364162604527</v>
      </c>
      <c r="C53">
        <v>-0.55120823379834893</v>
      </c>
      <c r="D53">
        <v>-0.60860089710228771</v>
      </c>
      <c r="E53">
        <v>0.1890756313327325</v>
      </c>
      <c r="F53">
        <v>-0.1210920368543851</v>
      </c>
      <c r="G53">
        <v>-0.7347587975179487</v>
      </c>
      <c r="H53">
        <v>-0.68264417884714179</v>
      </c>
      <c r="I53">
        <v>-0.68073035277254035</v>
      </c>
      <c r="J53">
        <v>-0.54610623622878152</v>
      </c>
      <c r="M53" s="13">
        <v>0</v>
      </c>
      <c r="O53" s="10">
        <f t="shared" si="0"/>
        <v>1</v>
      </c>
      <c r="P53" s="10">
        <f t="shared" si="1"/>
        <v>0</v>
      </c>
      <c r="R53" s="15">
        <v>-0.61305928495389828</v>
      </c>
      <c r="S53" s="15">
        <v>-0.60122083024290718</v>
      </c>
      <c r="T53" s="15">
        <v>-0.1680238630672837</v>
      </c>
      <c r="U53" s="15">
        <v>0.44050326792728767</v>
      </c>
      <c r="V53" s="15">
        <v>-0.31697639511391362</v>
      </c>
      <c r="W53" s="15">
        <v>0.31896752422005853</v>
      </c>
      <c r="X53" s="15">
        <v>0.53148276936398797</v>
      </c>
      <c r="Y53" s="15">
        <v>0.48966516316235925</v>
      </c>
      <c r="Z53" s="15">
        <v>-0.35339656186473117</v>
      </c>
      <c r="AA53" s="15">
        <v>-0.36776419229117696</v>
      </c>
      <c r="AB53" s="15">
        <v>-0.45256663505223033</v>
      </c>
      <c r="AC53" s="15">
        <v>-0.49816095165065361</v>
      </c>
      <c r="AD53" s="15">
        <v>0.33532847364219964</v>
      </c>
      <c r="AE53" s="15">
        <v>-0.68428462498256515</v>
      </c>
      <c r="AF53" s="15">
        <v>-0.15814823733898481</v>
      </c>
      <c r="AG53" s="15">
        <v>0.21627942397351022</v>
      </c>
      <c r="AH53" s="15">
        <v>0.37474969309167333</v>
      </c>
      <c r="AI53" s="15">
        <v>0.48922856712571322</v>
      </c>
      <c r="AJ53" s="15">
        <v>0.301198807509585</v>
      </c>
      <c r="AK53" s="15">
        <v>0.14154535606850466</v>
      </c>
      <c r="AM53" s="16">
        <v>-0.52257486371314821</v>
      </c>
      <c r="AN53" s="16">
        <v>0.10771287410866588</v>
      </c>
      <c r="AP53" s="17">
        <f t="shared" si="2"/>
        <v>1</v>
      </c>
    </row>
    <row r="54" spans="1:42" x14ac:dyDescent="0.2">
      <c r="A54">
        <v>-0.90842231490407466</v>
      </c>
      <c r="B54">
        <v>-0.45915628151094989</v>
      </c>
      <c r="C54">
        <v>-0.89103202237996537</v>
      </c>
      <c r="D54">
        <v>-0.8567114871894963</v>
      </c>
      <c r="E54">
        <v>3.8549661699907652E-2</v>
      </c>
      <c r="F54">
        <v>-0.63052201390997054</v>
      </c>
      <c r="G54">
        <v>-0.19911385912573781</v>
      </c>
      <c r="H54">
        <v>-0.98578633014646577</v>
      </c>
      <c r="I54">
        <v>-0.86449551349688369</v>
      </c>
      <c r="J54">
        <v>-0.33319925258912558</v>
      </c>
      <c r="M54" s="13">
        <v>0</v>
      </c>
      <c r="O54" s="10">
        <f t="shared" si="0"/>
        <v>1</v>
      </c>
      <c r="P54" s="10">
        <f t="shared" si="1"/>
        <v>0</v>
      </c>
      <c r="R54" s="15">
        <v>0.78444802696771754</v>
      </c>
      <c r="S54" s="15">
        <v>-0.30911350966467543</v>
      </c>
      <c r="T54" s="15">
        <v>0.18662752491368914</v>
      </c>
      <c r="U54" s="15">
        <v>4.199278791541497E-2</v>
      </c>
      <c r="V54" s="15">
        <v>0.4628926256003944</v>
      </c>
      <c r="W54" s="15">
        <v>-0.8697696286589196</v>
      </c>
      <c r="X54" s="15">
        <v>3.2066525253249281E-2</v>
      </c>
      <c r="Y54" s="15">
        <v>0.79340089124330471</v>
      </c>
      <c r="Z54" s="15">
        <v>0.88719706513186924</v>
      </c>
      <c r="AA54" s="15">
        <v>7.965491882678935E-2</v>
      </c>
      <c r="AB54" s="15">
        <v>-0.75766649577052414</v>
      </c>
      <c r="AC54" s="15">
        <v>0.72135278321820617</v>
      </c>
      <c r="AD54" s="15">
        <v>0.33858482610954382</v>
      </c>
      <c r="AE54" s="15">
        <v>0.22319416133181105</v>
      </c>
      <c r="AF54" s="15">
        <v>0.66163668925623997</v>
      </c>
      <c r="AG54" s="15">
        <v>-1.9392487950623712E-2</v>
      </c>
      <c r="AH54" s="15">
        <v>0.18991880167871197</v>
      </c>
      <c r="AI54" s="15">
        <v>0.40489029314704239</v>
      </c>
      <c r="AJ54" s="15">
        <v>0.22845980557879847</v>
      </c>
      <c r="AK54" s="15">
        <v>-0.77711605168510633</v>
      </c>
      <c r="AM54" s="16">
        <v>0.73103024914620163</v>
      </c>
      <c r="AN54" s="16">
        <v>-0.29905204779531686</v>
      </c>
      <c r="AP54" s="17">
        <f t="shared" si="2"/>
        <v>0</v>
      </c>
    </row>
    <row r="55" spans="1:42" x14ac:dyDescent="0.2">
      <c r="A55">
        <v>0.58359466319180853</v>
      </c>
      <c r="B55">
        <v>-0.80728966878990027</v>
      </c>
      <c r="C55">
        <v>0.49182755524230648</v>
      </c>
      <c r="D55">
        <v>0.44200133598061492</v>
      </c>
      <c r="E55">
        <v>-0.70441679088285036</v>
      </c>
      <c r="F55">
        <v>-0.44927297294880292</v>
      </c>
      <c r="G55">
        <v>-0.1239400927957179</v>
      </c>
      <c r="H55">
        <v>0.17522748741489019</v>
      </c>
      <c r="I55">
        <v>4.7452323456648023E-2</v>
      </c>
      <c r="J55">
        <v>0.2723762913396568</v>
      </c>
      <c r="M55" s="13">
        <v>0</v>
      </c>
      <c r="O55" s="10">
        <f t="shared" si="0"/>
        <v>1</v>
      </c>
      <c r="P55" s="10">
        <f t="shared" si="1"/>
        <v>0</v>
      </c>
      <c r="R55" s="15">
        <v>0.23002536438224599</v>
      </c>
      <c r="S55" s="15">
        <v>0.50042045237113086</v>
      </c>
      <c r="T55" s="15">
        <v>0.34260270154099198</v>
      </c>
      <c r="U55" s="15">
        <v>0.23564899351967453</v>
      </c>
      <c r="V55" s="15">
        <v>0.72254281327896797</v>
      </c>
      <c r="W55" s="15">
        <v>-0.34059224409030758</v>
      </c>
      <c r="X55" s="15">
        <v>-0.71027339197105011</v>
      </c>
      <c r="Y55" s="15">
        <v>-0.1800464814303184</v>
      </c>
      <c r="Z55" s="15">
        <v>0.73261433454087566</v>
      </c>
      <c r="AA55" s="15">
        <v>0.49517465342087597</v>
      </c>
      <c r="AB55" s="15">
        <v>-0.35043444656572642</v>
      </c>
      <c r="AC55" s="15">
        <v>0.50599148255835746</v>
      </c>
      <c r="AD55" s="15">
        <v>-0.47983427666408218</v>
      </c>
      <c r="AE55" s="15">
        <v>0.66626394166591218</v>
      </c>
      <c r="AF55" s="15">
        <v>0.16423285549305713</v>
      </c>
      <c r="AG55" s="15">
        <v>0.25664594339182817</v>
      </c>
      <c r="AH55" s="15">
        <v>-0.2961053825070733</v>
      </c>
      <c r="AI55" s="15">
        <v>-0.40683079872927325</v>
      </c>
      <c r="AJ55" s="15">
        <v>-0.5985256778880067</v>
      </c>
      <c r="AK55" s="15">
        <v>5.9489212342356906E-2</v>
      </c>
      <c r="AM55" s="16">
        <v>0.31443265658650726</v>
      </c>
      <c r="AN55" s="16">
        <v>0.14453906281312037</v>
      </c>
      <c r="AP55" s="17">
        <f t="shared" si="2"/>
        <v>0</v>
      </c>
    </row>
    <row r="56" spans="1:42" x14ac:dyDescent="0.2">
      <c r="A56">
        <v>0.34441636899323191</v>
      </c>
      <c r="B56">
        <v>1.215316278429351</v>
      </c>
      <c r="C56">
        <v>0.45462057109103438</v>
      </c>
      <c r="D56">
        <v>0.1884472110069664</v>
      </c>
      <c r="E56">
        <v>1.5233675596829579</v>
      </c>
      <c r="F56">
        <v>1.3810573969488671</v>
      </c>
      <c r="G56">
        <v>0.88440768133272074</v>
      </c>
      <c r="H56">
        <v>0.13192146580070091</v>
      </c>
      <c r="I56">
        <v>1.4296996953599371E-2</v>
      </c>
      <c r="J56">
        <v>1.4757635901724939</v>
      </c>
      <c r="M56" s="13">
        <v>1</v>
      </c>
      <c r="O56" s="10">
        <f t="shared" si="0"/>
        <v>0</v>
      </c>
      <c r="P56" s="10">
        <f t="shared" si="1"/>
        <v>1</v>
      </c>
      <c r="R56" s="15">
        <v>0.44524769536932163</v>
      </c>
      <c r="S56" s="15">
        <v>-0.79873600569446312</v>
      </c>
      <c r="T56" s="15">
        <v>-0.38890135662001274</v>
      </c>
      <c r="U56" s="15">
        <v>-0.38781294272558126</v>
      </c>
      <c r="V56" s="15">
        <v>-0.53260702758488043</v>
      </c>
      <c r="W56" s="15">
        <v>-0.55268988992993762</v>
      </c>
      <c r="X56" s="15">
        <v>0.84351869859215778</v>
      </c>
      <c r="Y56" s="15">
        <v>0.85877042179717133</v>
      </c>
      <c r="Z56" s="15">
        <v>0.16914839019193997</v>
      </c>
      <c r="AA56" s="15">
        <v>-0.58723679665523165</v>
      </c>
      <c r="AB56" s="15">
        <v>-0.35886189634963306</v>
      </c>
      <c r="AC56" s="15">
        <v>0.14264918026141218</v>
      </c>
      <c r="AD56" s="15">
        <v>0.79465353206448019</v>
      </c>
      <c r="AE56" s="15">
        <v>-0.72403911841604596</v>
      </c>
      <c r="AF56" s="15">
        <v>0.37469953560638458</v>
      </c>
      <c r="AG56" s="15">
        <v>-0.30757821661598</v>
      </c>
      <c r="AH56" s="15">
        <v>0.50214540405078478</v>
      </c>
      <c r="AI56" s="15">
        <v>0.79325000969156823</v>
      </c>
      <c r="AJ56" s="15">
        <v>0.82961647936913741</v>
      </c>
      <c r="AK56" s="15">
        <v>-0.66911669731162715</v>
      </c>
      <c r="AM56" s="16">
        <v>0.80580792503309673</v>
      </c>
      <c r="AN56" s="16">
        <v>-6.606238255064513E-2</v>
      </c>
      <c r="AP56" s="17">
        <f t="shared" si="2"/>
        <v>0</v>
      </c>
    </row>
    <row r="57" spans="1:42" x14ac:dyDescent="0.2">
      <c r="A57">
        <v>-0.7148017910290364</v>
      </c>
      <c r="B57">
        <v>-1.054905669600984</v>
      </c>
      <c r="C57">
        <v>-0.68184608926281454</v>
      </c>
      <c r="D57">
        <v>-0.68624289469308863</v>
      </c>
      <c r="E57">
        <v>-0.1563907607011211</v>
      </c>
      <c r="F57">
        <v>-0.30060663723219239</v>
      </c>
      <c r="G57">
        <v>-0.61422594506337413</v>
      </c>
      <c r="H57">
        <v>-0.82905977573320999</v>
      </c>
      <c r="I57">
        <v>-0.75391897244682293</v>
      </c>
      <c r="J57">
        <v>-0.17702765028402051</v>
      </c>
      <c r="M57" s="13">
        <v>0</v>
      </c>
      <c r="O57" s="10">
        <f t="shared" si="0"/>
        <v>1</v>
      </c>
      <c r="P57" s="10">
        <f t="shared" si="1"/>
        <v>0</v>
      </c>
      <c r="R57" s="15">
        <v>-0.39658783511714651</v>
      </c>
      <c r="S57" s="15">
        <v>-0.66282809275793242</v>
      </c>
      <c r="T57" s="15">
        <v>-0.21045191572323843</v>
      </c>
      <c r="U57" s="15">
        <v>0.20207230396636702</v>
      </c>
      <c r="V57" s="15">
        <v>-0.16272053001148351</v>
      </c>
      <c r="W57" s="15">
        <v>6.1919844803549166E-2</v>
      </c>
      <c r="X57" s="15">
        <v>0.62631950429563354</v>
      </c>
      <c r="Y57" s="15">
        <v>0.67713418365180089</v>
      </c>
      <c r="Z57" s="15">
        <v>-5.6316934296898866E-2</v>
      </c>
      <c r="AA57" s="15">
        <v>-0.35858413634522496</v>
      </c>
      <c r="AB57" s="15">
        <v>-0.60554250588749259</v>
      </c>
      <c r="AC57" s="15">
        <v>-0.27845784167578103</v>
      </c>
      <c r="AD57" s="15">
        <v>0.50843975842301015</v>
      </c>
      <c r="AE57" s="15">
        <v>-0.67100928456033693</v>
      </c>
      <c r="AF57" s="15">
        <v>-2.9746754355290211E-2</v>
      </c>
      <c r="AG57" s="15">
        <v>0.23227681873811087</v>
      </c>
      <c r="AH57" s="15">
        <v>0.35119946902293026</v>
      </c>
      <c r="AI57" s="15">
        <v>0.61561543684125941</v>
      </c>
      <c r="AJ57" s="15">
        <v>0.46711899557773057</v>
      </c>
      <c r="AK57" s="15">
        <v>-3.2127450018118224E-2</v>
      </c>
      <c r="AM57" s="16">
        <v>0.6964031083911596</v>
      </c>
      <c r="AN57" s="16">
        <v>-9.4638251926884687E-2</v>
      </c>
      <c r="AP57" s="17">
        <f t="shared" si="2"/>
        <v>0</v>
      </c>
    </row>
    <row r="58" spans="1:42" x14ac:dyDescent="0.2">
      <c r="A58">
        <v>0.15933792705385699</v>
      </c>
      <c r="B58">
        <v>-1.0524540260285971</v>
      </c>
      <c r="C58">
        <v>7.6762976488117612E-2</v>
      </c>
      <c r="D58">
        <v>4.3477281925987973E-2</v>
      </c>
      <c r="E58">
        <v>-1.019592154459728</v>
      </c>
      <c r="F58">
        <v>-0.71067794658384298</v>
      </c>
      <c r="G58">
        <v>-0.63919892506453335</v>
      </c>
      <c r="H58">
        <v>-0.17740726001493559</v>
      </c>
      <c r="I58">
        <v>-0.24882931763442401</v>
      </c>
      <c r="J58">
        <v>-0.56596361969587428</v>
      </c>
      <c r="M58" s="13">
        <v>0</v>
      </c>
      <c r="O58" s="10">
        <f t="shared" si="0"/>
        <v>1</v>
      </c>
      <c r="P58" s="10">
        <f t="shared" si="1"/>
        <v>0</v>
      </c>
      <c r="R58" s="15">
        <v>6.4939149577751085E-2</v>
      </c>
      <c r="S58" s="15">
        <v>-0.12886429917768702</v>
      </c>
      <c r="T58" s="15">
        <v>2.7202880518082236E-2</v>
      </c>
      <c r="U58" s="15">
        <v>0.15173723069813941</v>
      </c>
      <c r="V58" s="15">
        <v>0.19886227538158208</v>
      </c>
      <c r="W58" s="15">
        <v>0.14719702653277789</v>
      </c>
      <c r="X58" s="15">
        <v>5.8934378111477149E-2</v>
      </c>
      <c r="Y58" s="15">
        <v>0.13462500152974155</v>
      </c>
      <c r="Z58" s="15">
        <v>0.14398980368188588</v>
      </c>
      <c r="AA58" s="15">
        <v>8.4229925830042088E-2</v>
      </c>
      <c r="AB58" s="15">
        <v>-0.38566975464983422</v>
      </c>
      <c r="AC58" s="15">
        <v>0.11128641456485162</v>
      </c>
      <c r="AD58" s="15">
        <v>8.8773949447754547E-2</v>
      </c>
      <c r="AE58" s="15">
        <v>-8.1546803403026821E-2</v>
      </c>
      <c r="AF58" s="15">
        <v>-0.10766238965208595</v>
      </c>
      <c r="AG58" s="15">
        <v>0.1073328142748956</v>
      </c>
      <c r="AH58" s="15">
        <v>1.0528845386490605E-3</v>
      </c>
      <c r="AI58" s="15">
        <v>0.21790638902405149</v>
      </c>
      <c r="AJ58" s="15">
        <v>8.1438782900018075E-2</v>
      </c>
      <c r="AK58" s="15">
        <v>-8.0929546870318461E-2</v>
      </c>
      <c r="AM58" s="16">
        <v>0.30879691287783495</v>
      </c>
      <c r="AN58" s="16">
        <v>-3.0174233737925604E-2</v>
      </c>
      <c r="AP58" s="17">
        <f t="shared" si="2"/>
        <v>0</v>
      </c>
    </row>
    <row r="59" spans="1:42" x14ac:dyDescent="0.2">
      <c r="A59">
        <v>-0.24213992392232539</v>
      </c>
      <c r="B59">
        <v>0.37440253310061999</v>
      </c>
      <c r="C59">
        <v>-0.17211040639038969</v>
      </c>
      <c r="D59">
        <v>-0.31178499487324829</v>
      </c>
      <c r="E59">
        <v>0.77817109273526952</v>
      </c>
      <c r="F59">
        <v>0.65630901033039046</v>
      </c>
      <c r="G59">
        <v>0.79572811969595136</v>
      </c>
      <c r="H59">
        <v>-1.2431939579929359E-2</v>
      </c>
      <c r="I59">
        <v>-0.100335780849494</v>
      </c>
      <c r="J59">
        <v>1.3085435188706609</v>
      </c>
      <c r="M59" s="13">
        <v>1</v>
      </c>
      <c r="O59" s="10">
        <f t="shared" si="0"/>
        <v>0</v>
      </c>
      <c r="P59" s="10">
        <f t="shared" si="1"/>
        <v>1</v>
      </c>
      <c r="R59" s="15">
        <v>0.24253278111473658</v>
      </c>
      <c r="S59" s="15">
        <v>0.10453883523865767</v>
      </c>
      <c r="T59" s="15">
        <v>-0.16717856522260141</v>
      </c>
      <c r="U59" s="15">
        <v>1.1791934187582002E-2</v>
      </c>
      <c r="V59" s="15">
        <v>-0.2891228233269495</v>
      </c>
      <c r="W59" s="15">
        <v>0.15208394103932713</v>
      </c>
      <c r="X59" s="15">
        <v>0.12010926712955915</v>
      </c>
      <c r="Y59" s="15">
        <v>-0.43615686703162077</v>
      </c>
      <c r="Z59" s="15">
        <v>-0.52476877033517177</v>
      </c>
      <c r="AA59" s="15">
        <v>0.13771425138578505</v>
      </c>
      <c r="AB59" s="15">
        <v>0.51908974342164471</v>
      </c>
      <c r="AC59" s="15">
        <v>-0.22616157326754779</v>
      </c>
      <c r="AD59" s="15">
        <v>8.4468525942577991E-2</v>
      </c>
      <c r="AE59" s="15">
        <v>3.3636221957733567E-2</v>
      </c>
      <c r="AF59" s="15">
        <v>3.6419682299359421E-2</v>
      </c>
      <c r="AG59" s="15">
        <v>-2.6806203004955821E-2</v>
      </c>
      <c r="AH59" s="15">
        <v>-6.0161928611308355E-2</v>
      </c>
      <c r="AI59" s="15">
        <v>-6.3128801170404314E-2</v>
      </c>
      <c r="AJ59" s="15">
        <v>4.2609124634876309E-2</v>
      </c>
      <c r="AK59" s="15">
        <v>-4.8641631839776406E-2</v>
      </c>
      <c r="AM59" s="16">
        <v>0.38214855980153284</v>
      </c>
      <c r="AN59" s="16">
        <v>-0.37568372916047843</v>
      </c>
      <c r="AP59" s="17">
        <f t="shared" si="2"/>
        <v>0</v>
      </c>
    </row>
    <row r="60" spans="1:42" x14ac:dyDescent="0.2">
      <c r="A60">
        <v>9.3848632213770378E-2</v>
      </c>
      <c r="B60">
        <v>-1.307424957556842</v>
      </c>
      <c r="C60">
        <v>6.1466771892595133E-2</v>
      </c>
      <c r="D60">
        <v>-1.926662018613547E-2</v>
      </c>
      <c r="E60">
        <v>-0.29446581679641609</v>
      </c>
      <c r="F60">
        <v>-0.1152692720388179</v>
      </c>
      <c r="G60">
        <v>-0.17847292667580009</v>
      </c>
      <c r="H60">
        <v>5.9744763110386123E-2</v>
      </c>
      <c r="I60">
        <v>-6.9296751782810195E-2</v>
      </c>
      <c r="J60">
        <v>-0.38217084489894843</v>
      </c>
      <c r="M60" s="13">
        <v>0</v>
      </c>
      <c r="O60" s="10">
        <f t="shared" si="0"/>
        <v>1</v>
      </c>
      <c r="P60" s="10">
        <f t="shared" si="1"/>
        <v>0</v>
      </c>
      <c r="R60" s="15">
        <v>0.16982196891535045</v>
      </c>
      <c r="S60" s="15">
        <v>-0.4709472442080157</v>
      </c>
      <c r="T60" s="15">
        <v>-0.10506810986502084</v>
      </c>
      <c r="U60" s="15">
        <v>0.25936467388368395</v>
      </c>
      <c r="V60" s="15">
        <v>-0.47354372467197503</v>
      </c>
      <c r="W60" s="15">
        <v>-0.14375852335573311</v>
      </c>
      <c r="X60" s="15">
        <v>0.52347391830777945</v>
      </c>
      <c r="Y60" s="15">
        <v>0.30260535037024844</v>
      </c>
      <c r="Z60" s="15">
        <v>-0.40477208379563595</v>
      </c>
      <c r="AA60" s="15">
        <v>-0.23088183843718327</v>
      </c>
      <c r="AB60" s="15">
        <v>-2.4824306218536787E-2</v>
      </c>
      <c r="AC60" s="15">
        <v>-0.21548788057593565</v>
      </c>
      <c r="AD60" s="15">
        <v>0.40001947231161344</v>
      </c>
      <c r="AE60" s="15">
        <v>-0.46441609087202224</v>
      </c>
      <c r="AF60" s="15">
        <v>0.21795657263874924</v>
      </c>
      <c r="AG60" s="15">
        <v>-6.9360731424018829E-2</v>
      </c>
      <c r="AH60" s="15">
        <v>0.35275016676967158</v>
      </c>
      <c r="AI60" s="15">
        <v>0.3940259986565382</v>
      </c>
      <c r="AJ60" s="15">
        <v>0.37212560387469423</v>
      </c>
      <c r="AK60" s="15">
        <v>-0.43185403954293083</v>
      </c>
      <c r="AM60" s="16">
        <v>0.41333129873699004</v>
      </c>
      <c r="AN60" s="16">
        <v>-0.11740802030311613</v>
      </c>
      <c r="AP60" s="17">
        <f t="shared" si="2"/>
        <v>0</v>
      </c>
    </row>
    <row r="61" spans="1:42" x14ac:dyDescent="0.2">
      <c r="A61">
        <v>0.22767458253916459</v>
      </c>
      <c r="B61">
        <v>1.8914215104509319E-2</v>
      </c>
      <c r="C61">
        <v>0.18424981959179229</v>
      </c>
      <c r="D61">
        <v>0.10421567118521199</v>
      </c>
      <c r="E61">
        <v>-0.35411870105831328</v>
      </c>
      <c r="F61">
        <v>-0.20645129127833911</v>
      </c>
      <c r="G61">
        <v>-0.18204049524739441</v>
      </c>
      <c r="H61">
        <v>0.22884446655626681</v>
      </c>
      <c r="I61">
        <v>0.11587927389910981</v>
      </c>
      <c r="J61">
        <v>-8.1473323825829891E-2</v>
      </c>
      <c r="M61" s="13">
        <v>1</v>
      </c>
      <c r="O61" s="10">
        <f t="shared" si="0"/>
        <v>0</v>
      </c>
      <c r="P61" s="10">
        <f t="shared" si="1"/>
        <v>1</v>
      </c>
      <c r="R61" s="15">
        <v>0.49875637504210812</v>
      </c>
      <c r="S61" s="15">
        <v>0.66739549486780692</v>
      </c>
      <c r="T61" s="15">
        <v>0.41887566674054366</v>
      </c>
      <c r="U61" s="15">
        <v>-7.272849235086154E-2</v>
      </c>
      <c r="V61" s="15">
        <v>0.73257328789116372</v>
      </c>
      <c r="W61" s="15">
        <v>-0.58561665762820359</v>
      </c>
      <c r="X61" s="15">
        <v>-0.8174568144687282</v>
      </c>
      <c r="Y61" s="15">
        <v>-0.17880817240190205</v>
      </c>
      <c r="Z61" s="15">
        <v>0.8645684940573809</v>
      </c>
      <c r="AA61" s="15">
        <v>0.47306737591482079</v>
      </c>
      <c r="AB61" s="15">
        <v>-0.13770883430298272</v>
      </c>
      <c r="AC61" s="15">
        <v>0.72165890020883428</v>
      </c>
      <c r="AD61" s="15">
        <v>-0.5930944032698735</v>
      </c>
      <c r="AE61" s="15">
        <v>0.81532422844050312</v>
      </c>
      <c r="AF61" s="15">
        <v>0.2924836419372504</v>
      </c>
      <c r="AG61" s="15">
        <v>-8.8939483455055326E-2</v>
      </c>
      <c r="AH61" s="15">
        <v>-0.3724110439995813</v>
      </c>
      <c r="AI61" s="15">
        <v>-0.57622654026917197</v>
      </c>
      <c r="AJ61" s="15">
        <v>-0.61169394200340643</v>
      </c>
      <c r="AK61" s="15">
        <v>-0.13665276439567639</v>
      </c>
      <c r="AM61" s="16">
        <v>-6.5162499413658787E-2</v>
      </c>
      <c r="AN61" s="16">
        <v>0.81065815989411683</v>
      </c>
      <c r="AP61" s="17">
        <f t="shared" si="2"/>
        <v>1</v>
      </c>
    </row>
    <row r="62" spans="1:42" x14ac:dyDescent="0.2">
      <c r="A62">
        <v>-0.82869621683788253</v>
      </c>
      <c r="B62">
        <v>-9.3861389225291567E-2</v>
      </c>
      <c r="C62">
        <v>-0.82860697119283122</v>
      </c>
      <c r="D62">
        <v>-0.78594553366577757</v>
      </c>
      <c r="E62">
        <v>-0.37233048503858113</v>
      </c>
      <c r="F62">
        <v>-0.6009126353797456</v>
      </c>
      <c r="G62">
        <v>-0.62569312975778391</v>
      </c>
      <c r="H62">
        <v>-0.82493539272233452</v>
      </c>
      <c r="I62">
        <v>-0.74545378270136375</v>
      </c>
      <c r="J62">
        <v>-0.47832238589750259</v>
      </c>
      <c r="M62" s="13">
        <v>0</v>
      </c>
      <c r="O62" s="10">
        <f t="shared" si="0"/>
        <v>1</v>
      </c>
      <c r="P62" s="10">
        <f t="shared" si="1"/>
        <v>0</v>
      </c>
      <c r="R62" s="15">
        <v>0.32360392226325424</v>
      </c>
      <c r="S62" s="15">
        <v>0.81216046801259856</v>
      </c>
      <c r="T62" s="15">
        <v>0.64057540281160485</v>
      </c>
      <c r="U62" s="15">
        <v>0.10107312129785061</v>
      </c>
      <c r="V62" s="15">
        <v>0.83361680713886166</v>
      </c>
      <c r="W62" s="15">
        <v>-0.19053936957202169</v>
      </c>
      <c r="X62" s="15">
        <v>-0.89672519683514729</v>
      </c>
      <c r="Y62" s="15">
        <v>-0.65593676999294848</v>
      </c>
      <c r="Z62" s="15">
        <v>0.72600247447138211</v>
      </c>
      <c r="AA62" s="15">
        <v>0.67740535964491677</v>
      </c>
      <c r="AB62" s="15">
        <v>-0.26695579473188608</v>
      </c>
      <c r="AC62" s="15">
        <v>0.65383006543587907</v>
      </c>
      <c r="AD62" s="15">
        <v>-0.78393335181789536</v>
      </c>
      <c r="AE62" s="15">
        <v>0.87088506522954745</v>
      </c>
      <c r="AF62" s="15">
        <v>-3.2296036691388787E-2</v>
      </c>
      <c r="AG62" s="15">
        <v>0.25972081667132119</v>
      </c>
      <c r="AH62" s="15">
        <v>-0.52831176903140575</v>
      </c>
      <c r="AI62" s="15">
        <v>-0.7630158433006613</v>
      </c>
      <c r="AJ62" s="15">
        <v>-0.83123300405660039</v>
      </c>
      <c r="AK62" s="15">
        <v>0.21154614944951705</v>
      </c>
      <c r="AM62" s="16">
        <v>0.65996273613850731</v>
      </c>
      <c r="AN62" s="16">
        <v>-0.2293127007040732</v>
      </c>
      <c r="AP62" s="17">
        <f t="shared" si="2"/>
        <v>0</v>
      </c>
    </row>
    <row r="63" spans="1:42" x14ac:dyDescent="0.2">
      <c r="A63">
        <v>1.1559141528812591</v>
      </c>
      <c r="B63">
        <v>0.38911239453494151</v>
      </c>
      <c r="C63">
        <v>1.157419160615059</v>
      </c>
      <c r="D63">
        <v>1.107258599470798</v>
      </c>
      <c r="E63">
        <v>0.36747678052719163</v>
      </c>
      <c r="F63">
        <v>0.8099308905708883</v>
      </c>
      <c r="G63">
        <v>1.1216509913437329</v>
      </c>
      <c r="H63">
        <v>1.1114624308835499</v>
      </c>
      <c r="I63">
        <v>1.043522983505681</v>
      </c>
      <c r="J63">
        <v>0.50081085302876871</v>
      </c>
      <c r="M63" s="13">
        <v>1</v>
      </c>
      <c r="O63" s="10">
        <f t="shared" si="0"/>
        <v>0</v>
      </c>
      <c r="P63" s="10">
        <f t="shared" si="1"/>
        <v>1</v>
      </c>
      <c r="R63" s="15">
        <v>0.5079824323044293</v>
      </c>
      <c r="S63" s="15">
        <v>2.5380780332549462E-2</v>
      </c>
      <c r="T63" s="15">
        <v>-0.19349939421523993</v>
      </c>
      <c r="U63" s="15">
        <v>-0.34234553206472867</v>
      </c>
      <c r="V63" s="15">
        <v>0.28804143708158331</v>
      </c>
      <c r="W63" s="15">
        <v>-0.31139262193518885</v>
      </c>
      <c r="X63" s="15">
        <v>2.196938440906613E-2</v>
      </c>
      <c r="Y63" s="15">
        <v>-1.1129684740091648E-2</v>
      </c>
      <c r="Z63" s="15">
        <v>0.34176509759681939</v>
      </c>
      <c r="AA63" s="15">
        <v>0.21923162083466222</v>
      </c>
      <c r="AB63" s="15">
        <v>0.15672377162437567</v>
      </c>
      <c r="AC63" s="15">
        <v>0.31767486729819122</v>
      </c>
      <c r="AD63" s="15">
        <v>0.23871608771760242</v>
      </c>
      <c r="AE63" s="15">
        <v>0.23306653139587255</v>
      </c>
      <c r="AF63" s="15">
        <v>0.19248385719037706</v>
      </c>
      <c r="AG63" s="15">
        <v>5.0755700189110985E-2</v>
      </c>
      <c r="AH63" s="15">
        <v>-0.17102537008504767</v>
      </c>
      <c r="AI63" s="15">
        <v>0.15841750896251588</v>
      </c>
      <c r="AJ63" s="15">
        <v>0.12709515982099687</v>
      </c>
      <c r="AK63" s="15">
        <v>-0.13255897601142408</v>
      </c>
      <c r="AM63" s="16">
        <v>-2.8942394547136718E-2</v>
      </c>
      <c r="AN63" s="16">
        <v>0.38657158595881996</v>
      </c>
      <c r="AP63" s="17">
        <f t="shared" si="2"/>
        <v>1</v>
      </c>
    </row>
    <row r="64" spans="1:42" x14ac:dyDescent="0.2">
      <c r="A64">
        <v>1.6057971348262019</v>
      </c>
      <c r="B64">
        <v>0.31065980021855921</v>
      </c>
      <c r="C64">
        <v>1.558427767578767</v>
      </c>
      <c r="D64">
        <v>1.571391573998832</v>
      </c>
      <c r="E64">
        <v>0.48269418938194658</v>
      </c>
      <c r="F64">
        <v>0.61418688187735104</v>
      </c>
      <c r="G64">
        <v>1.1165544648128849</v>
      </c>
      <c r="H64">
        <v>1.497092242400377</v>
      </c>
      <c r="I64">
        <v>1.313350906642192</v>
      </c>
      <c r="J64">
        <v>0.65459359717241916</v>
      </c>
      <c r="M64" s="13">
        <v>1</v>
      </c>
      <c r="O64" s="10">
        <f t="shared" si="0"/>
        <v>0</v>
      </c>
      <c r="P64" s="10">
        <f t="shared" si="1"/>
        <v>1</v>
      </c>
      <c r="R64" s="15">
        <v>-0.51767706668993108</v>
      </c>
      <c r="S64" s="15">
        <v>0.48417871066292989</v>
      </c>
      <c r="T64" s="15">
        <v>7.0915304692306331E-3</v>
      </c>
      <c r="U64" s="15">
        <v>8.2219849931673181E-2</v>
      </c>
      <c r="V64" s="15">
        <v>0.24559586820727569</v>
      </c>
      <c r="W64" s="15">
        <v>0.67135635902430335</v>
      </c>
      <c r="X64" s="15">
        <v>-0.4325291636595105</v>
      </c>
      <c r="Y64" s="15">
        <v>-0.77404105003275248</v>
      </c>
      <c r="Z64" s="15">
        <v>-0.57039411005914209</v>
      </c>
      <c r="AA64" s="15">
        <v>0.37613339637355159</v>
      </c>
      <c r="AB64" s="15">
        <v>0.44435750107556471</v>
      </c>
      <c r="AC64" s="15">
        <v>-0.41926265750636565</v>
      </c>
      <c r="AD64" s="15">
        <v>-0.4312124101659387</v>
      </c>
      <c r="AE64" s="15">
        <v>0.28447084594182442</v>
      </c>
      <c r="AF64" s="15">
        <v>-0.46086256988710639</v>
      </c>
      <c r="AG64" s="15">
        <v>0.34461977188381154</v>
      </c>
      <c r="AH64" s="15">
        <v>-0.38891672902453145</v>
      </c>
      <c r="AI64" s="15">
        <v>-0.46261058558465007</v>
      </c>
      <c r="AJ64" s="15">
        <v>-0.53230667709163093</v>
      </c>
      <c r="AK64" s="15">
        <v>0.69400394700147294</v>
      </c>
      <c r="AM64" s="16">
        <v>0.60069845370444097</v>
      </c>
      <c r="AN64" s="16">
        <v>-8.5759959215811352E-2</v>
      </c>
      <c r="AP64" s="17">
        <f t="shared" si="2"/>
        <v>0</v>
      </c>
    </row>
    <row r="65" spans="1:42" x14ac:dyDescent="0.2">
      <c r="A65">
        <v>-0.39020267747382509</v>
      </c>
      <c r="B65">
        <v>-0.18947548854838361</v>
      </c>
      <c r="C65">
        <v>-0.34532958816131099</v>
      </c>
      <c r="D65">
        <v>-0.49400016265092123</v>
      </c>
      <c r="E65">
        <v>1.1349733911241879</v>
      </c>
      <c r="F65">
        <v>-0.5361188907299228</v>
      </c>
      <c r="G65">
        <v>6.4631388845688476E-2</v>
      </c>
      <c r="H65">
        <v>-0.29288998431943969</v>
      </c>
      <c r="I65">
        <v>-0.39961550997541601</v>
      </c>
      <c r="J65">
        <v>-0.1173061962476513</v>
      </c>
      <c r="M65" s="13">
        <v>0</v>
      </c>
      <c r="O65" s="10">
        <f t="shared" si="0"/>
        <v>1</v>
      </c>
      <c r="P65" s="10">
        <f t="shared" si="1"/>
        <v>0</v>
      </c>
      <c r="R65" s="15">
        <v>0.24646857055271801</v>
      </c>
      <c r="S65" s="15">
        <v>-0.36848798638371572</v>
      </c>
      <c r="T65" s="15">
        <v>-0.32107861920156211</v>
      </c>
      <c r="U65" s="15">
        <v>-0.29061261877644312</v>
      </c>
      <c r="V65" s="15">
        <v>-0.35883243828161315</v>
      </c>
      <c r="W65" s="15">
        <v>-9.3341841456371089E-2</v>
      </c>
      <c r="X65" s="15">
        <v>0.57025309156711534</v>
      </c>
      <c r="Y65" s="15">
        <v>0.21825985881845927</v>
      </c>
      <c r="Z65" s="15">
        <v>-0.34843362657367882</v>
      </c>
      <c r="AA65" s="15">
        <v>-0.17486839507068375</v>
      </c>
      <c r="AB65" s="15">
        <v>0.18705051127528996</v>
      </c>
      <c r="AC65" s="15">
        <v>-0.15503305615349169</v>
      </c>
      <c r="AD65" s="15">
        <v>0.49891513456742342</v>
      </c>
      <c r="AE65" s="15">
        <v>-0.36735178343212105</v>
      </c>
      <c r="AF65" s="15">
        <v>0.12542039760673454</v>
      </c>
      <c r="AG65" s="15">
        <v>-3.9392352108559681E-2</v>
      </c>
      <c r="AH65" s="15">
        <v>0.1212272354726661</v>
      </c>
      <c r="AI65" s="15">
        <v>0.39384408102030888</v>
      </c>
      <c r="AJ65" s="15">
        <v>0.48569509828986346</v>
      </c>
      <c r="AK65" s="15">
        <v>-0.20135895448169452</v>
      </c>
      <c r="AM65" s="16">
        <v>-0.10437697370112406</v>
      </c>
      <c r="AN65" s="16">
        <v>-0.45454524297517307</v>
      </c>
      <c r="AP65" s="17">
        <f t="shared" si="2"/>
        <v>0</v>
      </c>
    </row>
    <row r="66" spans="1:42" x14ac:dyDescent="0.2">
      <c r="A66">
        <v>-0.42721836586170031</v>
      </c>
      <c r="B66">
        <v>-0.56212531155120316</v>
      </c>
      <c r="C66">
        <v>-0.42553130955405249</v>
      </c>
      <c r="D66">
        <v>-0.49199464979802232</v>
      </c>
      <c r="E66">
        <v>0.12403354568891919</v>
      </c>
      <c r="F66">
        <v>-0.65319363010675358</v>
      </c>
      <c r="G66">
        <v>-0.52350777281426508</v>
      </c>
      <c r="H66">
        <v>-0.4166214746456946</v>
      </c>
      <c r="I66">
        <v>-0.48885271854213169</v>
      </c>
      <c r="J66">
        <v>-0.55252629253769125</v>
      </c>
      <c r="M66" s="13">
        <v>0</v>
      </c>
      <c r="O66" s="10">
        <f t="shared" si="0"/>
        <v>1</v>
      </c>
      <c r="P66" s="10">
        <f t="shared" si="1"/>
        <v>0</v>
      </c>
      <c r="R66" s="15">
        <v>0.42967868266314047</v>
      </c>
      <c r="S66" s="15">
        <v>0.80968326632035659</v>
      </c>
      <c r="T66" s="15">
        <v>0.75783772180482867</v>
      </c>
      <c r="U66" s="15">
        <v>0.70799048345542093</v>
      </c>
      <c r="V66" s="15">
        <v>0.88385041752271454</v>
      </c>
      <c r="W66" s="15">
        <v>-0.88123775427583007</v>
      </c>
      <c r="X66" s="15">
        <v>-0.94590164823469813</v>
      </c>
      <c r="Y66" s="15">
        <v>0.12176330304372443</v>
      </c>
      <c r="Z66" s="15">
        <v>0.96609774938312265</v>
      </c>
      <c r="AA66" s="15">
        <v>0.6664976863471006</v>
      </c>
      <c r="AB66" s="15">
        <v>-0.6914924247479115</v>
      </c>
      <c r="AC66" s="15">
        <v>0.80348969203309284</v>
      </c>
      <c r="AD66" s="15">
        <v>-0.84633097824952586</v>
      </c>
      <c r="AE66" s="15">
        <v>0.92105656201773412</v>
      </c>
      <c r="AF66" s="15">
        <v>0.69884155469880782</v>
      </c>
      <c r="AG66" s="15">
        <v>0.40826901294795676</v>
      </c>
      <c r="AH66" s="15">
        <v>-0.18840372760378432</v>
      </c>
      <c r="AI66" s="15">
        <v>-0.82700237162856016</v>
      </c>
      <c r="AJ66" s="15">
        <v>-0.90659936254286644</v>
      </c>
      <c r="AK66" s="15">
        <v>-0.25600267662840842</v>
      </c>
      <c r="AM66" s="16">
        <v>-0.66816123372449698</v>
      </c>
      <c r="AN66" s="16">
        <v>0.37089307851926195</v>
      </c>
      <c r="AP66" s="17">
        <f t="shared" si="2"/>
        <v>1</v>
      </c>
    </row>
    <row r="67" spans="1:42" x14ac:dyDescent="0.2">
      <c r="A67">
        <v>-1.4109814687856079</v>
      </c>
      <c r="B67">
        <v>-1.248585511819555</v>
      </c>
      <c r="C67">
        <v>-1.357772968010921</v>
      </c>
      <c r="D67">
        <v>-1.1681389830610851</v>
      </c>
      <c r="E67">
        <v>0.32473483853268581</v>
      </c>
      <c r="F67">
        <v>-0.72108459008400572</v>
      </c>
      <c r="G67">
        <v>-0.66977808424962626</v>
      </c>
      <c r="H67">
        <v>-1.216751778755474</v>
      </c>
      <c r="I67">
        <v>-1.0135181246409051</v>
      </c>
      <c r="J67">
        <v>-0.66943103881388355</v>
      </c>
      <c r="M67" s="13">
        <v>0</v>
      </c>
      <c r="O67" s="10">
        <f t="shared" ref="O67:O115" si="3">IF(M67=0,1,0)</f>
        <v>1</v>
      </c>
      <c r="P67" s="10">
        <f t="shared" ref="P67:P115" si="4">IF(M67=1,1,0)</f>
        <v>0</v>
      </c>
      <c r="R67" s="15">
        <v>0.4484908390833896</v>
      </c>
      <c r="S67" s="15">
        <v>7.6337294429318053E-2</v>
      </c>
      <c r="T67" s="15">
        <v>-0.80883510965280725</v>
      </c>
      <c r="U67" s="15">
        <v>-0.86127915241763364</v>
      </c>
      <c r="V67" s="15">
        <v>-0.78615532762889739</v>
      </c>
      <c r="W67" s="15">
        <v>0.12052411929550655</v>
      </c>
      <c r="X67" s="15">
        <v>0.72453530424304058</v>
      </c>
      <c r="Y67" s="15">
        <v>-0.67510527777172924</v>
      </c>
      <c r="Z67" s="15">
        <v>-0.88266714133176116</v>
      </c>
      <c r="AA67" s="15">
        <v>-0.10684589468693881</v>
      </c>
      <c r="AB67" s="15">
        <v>0.96655117512271038</v>
      </c>
      <c r="AC67" s="15">
        <v>-0.65277386929645309</v>
      </c>
      <c r="AD67" s="15">
        <v>0.63719056804975716</v>
      </c>
      <c r="AE67" s="15">
        <v>-0.20000420801727117</v>
      </c>
      <c r="AF67" s="15">
        <v>9.7734761018854213E-2</v>
      </c>
      <c r="AG67" s="15">
        <v>-0.15059654570761549</v>
      </c>
      <c r="AH67" s="15">
        <v>-0.28190795693062815</v>
      </c>
      <c r="AI67" s="15">
        <v>4.4435471625526982E-2</v>
      </c>
      <c r="AJ67" s="15">
        <v>0.62186483756045419</v>
      </c>
      <c r="AK67" s="15">
        <v>0.38463755876622857</v>
      </c>
      <c r="AM67" s="16">
        <v>0.46407232333370058</v>
      </c>
      <c r="AN67" s="16">
        <v>-0.55271722429345282</v>
      </c>
      <c r="AP67" s="17">
        <f t="shared" si="2"/>
        <v>0</v>
      </c>
    </row>
    <row r="68" spans="1:42" x14ac:dyDescent="0.2">
      <c r="A68">
        <v>2.955446080661027</v>
      </c>
      <c r="B68">
        <v>0.63918003891841335</v>
      </c>
      <c r="C68">
        <v>3.0053660401282292</v>
      </c>
      <c r="D68">
        <v>3.3677580865240029</v>
      </c>
      <c r="E68">
        <v>1.9619370514526699</v>
      </c>
      <c r="F68">
        <v>1.7279455136209581</v>
      </c>
      <c r="G68">
        <v>2.4617826426304301</v>
      </c>
      <c r="H68">
        <v>2.773588784266237</v>
      </c>
      <c r="I68">
        <v>3.069877778824976</v>
      </c>
      <c r="J68">
        <v>1.941590931656173</v>
      </c>
      <c r="M68" s="13">
        <v>1</v>
      </c>
      <c r="O68" s="10">
        <f t="shared" si="3"/>
        <v>0</v>
      </c>
      <c r="P68" s="10">
        <f t="shared" si="4"/>
        <v>1</v>
      </c>
      <c r="R68" s="15">
        <v>0.45921882275437115</v>
      </c>
      <c r="S68" s="15">
        <v>0.25458218135982019</v>
      </c>
      <c r="T68" s="15">
        <v>-0.79165571360985665</v>
      </c>
      <c r="U68" s="15">
        <v>-0.90409794097427754</v>
      </c>
      <c r="V68" s="15">
        <v>-0.71448181805729127</v>
      </c>
      <c r="W68" s="15">
        <v>0.29639098148611276</v>
      </c>
      <c r="X68" s="15">
        <v>0.59255290007400785</v>
      </c>
      <c r="Y68" s="15">
        <v>-0.74111693696978631</v>
      </c>
      <c r="Z68" s="15">
        <v>-0.82152211553473831</v>
      </c>
      <c r="AA68" s="15">
        <v>-8.168936036965313E-2</v>
      </c>
      <c r="AB68" s="15">
        <v>0.97080107447426223</v>
      </c>
      <c r="AC68" s="15">
        <v>-0.50564952992916412</v>
      </c>
      <c r="AD68" s="15">
        <v>0.52804167604133301</v>
      </c>
      <c r="AE68" s="15">
        <v>-2.0945844597918019E-2</v>
      </c>
      <c r="AF68" s="15">
        <v>-0.11235837333685926</v>
      </c>
      <c r="AG68" s="15">
        <v>-0.32722511552472572</v>
      </c>
      <c r="AH68" s="15">
        <v>-0.40648150491047019</v>
      </c>
      <c r="AI68" s="15">
        <v>-5.2488790435524679E-2</v>
      </c>
      <c r="AJ68" s="15">
        <v>0.60039505365502432</v>
      </c>
      <c r="AK68" s="15">
        <v>0.46249399233041244</v>
      </c>
      <c r="AM68" s="16">
        <v>0.62914177091764334</v>
      </c>
      <c r="AN68" s="16">
        <v>-0.26529391172506117</v>
      </c>
      <c r="AP68" s="17">
        <f t="shared" si="2"/>
        <v>0</v>
      </c>
    </row>
    <row r="69" spans="1:42" x14ac:dyDescent="0.2">
      <c r="A69">
        <v>-0.85147510199965182</v>
      </c>
      <c r="B69">
        <v>0.2052391266059187</v>
      </c>
      <c r="C69">
        <v>-0.88896496770489486</v>
      </c>
      <c r="D69">
        <v>-0.79482709058575829</v>
      </c>
      <c r="E69">
        <v>-1.1316503762974981</v>
      </c>
      <c r="F69">
        <v>-1.071107088667455</v>
      </c>
      <c r="G69">
        <v>-1.142378989455237</v>
      </c>
      <c r="H69">
        <v>-0.93629373401596383</v>
      </c>
      <c r="I69">
        <v>-0.82075869981201122</v>
      </c>
      <c r="J69">
        <v>-1.3308461422666711</v>
      </c>
      <c r="M69" s="13">
        <v>0</v>
      </c>
      <c r="O69" s="10">
        <f t="shared" si="3"/>
        <v>1</v>
      </c>
      <c r="P69" s="10">
        <f t="shared" si="4"/>
        <v>0</v>
      </c>
      <c r="R69" s="15">
        <v>-0.38450036180488789</v>
      </c>
      <c r="S69" s="15">
        <v>-0.32418937465397585</v>
      </c>
      <c r="T69" s="15">
        <v>-0.25156072064054835</v>
      </c>
      <c r="U69" s="15">
        <v>-0.13252853673476214</v>
      </c>
      <c r="V69" s="15">
        <v>-0.32482526359801517</v>
      </c>
      <c r="W69" s="15">
        <v>0.34035673841393432</v>
      </c>
      <c r="X69" s="15">
        <v>0.55870281741792527</v>
      </c>
      <c r="Y69" s="15">
        <v>7.3639967873149623E-2</v>
      </c>
      <c r="Z69" s="15">
        <v>-0.64804356545919073</v>
      </c>
      <c r="AA69" s="15">
        <v>-0.1690599254258002</v>
      </c>
      <c r="AB69" s="15">
        <v>-1.6723037826690882E-2</v>
      </c>
      <c r="AC69" s="15">
        <v>-0.50780332151521679</v>
      </c>
      <c r="AD69" s="15">
        <v>0.36194781399080339</v>
      </c>
      <c r="AE69" s="15">
        <v>-0.48742715948598059</v>
      </c>
      <c r="AF69" s="15">
        <v>-0.1547682547455814</v>
      </c>
      <c r="AG69" s="15">
        <v>0.25900792081276791</v>
      </c>
      <c r="AH69" s="15">
        <v>6.4002294231940926E-2</v>
      </c>
      <c r="AI69" s="15">
        <v>0.26190189634738104</v>
      </c>
      <c r="AJ69" s="15">
        <v>0.30265769970888873</v>
      </c>
      <c r="AK69" s="15">
        <v>0.27087133445130185</v>
      </c>
      <c r="AM69" s="16">
        <v>0.17681122709400593</v>
      </c>
      <c r="AN69" s="16">
        <v>2.8669497375227275E-2</v>
      </c>
      <c r="AP69" s="17">
        <f t="shared" si="2"/>
        <v>0</v>
      </c>
    </row>
    <row r="70" spans="1:42" x14ac:dyDescent="0.2">
      <c r="A70">
        <v>-0.15387174392046951</v>
      </c>
      <c r="B70">
        <v>-7.6699884218582703E-2</v>
      </c>
      <c r="C70">
        <v>-0.1683897079752624</v>
      </c>
      <c r="D70">
        <v>-0.27081523230688492</v>
      </c>
      <c r="E70">
        <v>3.6691316395798652E-2</v>
      </c>
      <c r="F70">
        <v>-0.46674126739550459</v>
      </c>
      <c r="G70">
        <v>-0.32270462749882162</v>
      </c>
      <c r="H70">
        <v>-0.28051683528681448</v>
      </c>
      <c r="I70">
        <v>-0.35164610141781388</v>
      </c>
      <c r="J70">
        <v>0.16338463772328321</v>
      </c>
      <c r="M70" s="13">
        <v>0</v>
      </c>
      <c r="O70" s="10">
        <f t="shared" si="3"/>
        <v>1</v>
      </c>
      <c r="P70" s="10">
        <f t="shared" si="4"/>
        <v>0</v>
      </c>
      <c r="R70" s="15">
        <v>0.22776873223809807</v>
      </c>
      <c r="S70" s="15">
        <v>-0.39293041062090678</v>
      </c>
      <c r="T70" s="15">
        <v>-0.51643790168504022</v>
      </c>
      <c r="U70" s="15">
        <v>-0.26141786994212263</v>
      </c>
      <c r="V70" s="15">
        <v>-0.63759394530558167</v>
      </c>
      <c r="W70" s="15">
        <v>0.33328279755258944</v>
      </c>
      <c r="X70" s="15">
        <v>0.68941319218517494</v>
      </c>
      <c r="Y70" s="15">
        <v>-8.1080767148099836E-2</v>
      </c>
      <c r="Z70" s="15">
        <v>-0.68240174793711061</v>
      </c>
      <c r="AA70" s="15">
        <v>-0.2406442175294593</v>
      </c>
      <c r="AB70" s="15">
        <v>0.5781981148174361</v>
      </c>
      <c r="AC70" s="15">
        <v>-0.38940934314509712</v>
      </c>
      <c r="AD70" s="15">
        <v>0.55958938420141202</v>
      </c>
      <c r="AE70" s="15">
        <v>-0.52528835319417366</v>
      </c>
      <c r="AF70" s="15">
        <v>-8.7827058282755999E-2</v>
      </c>
      <c r="AG70" s="15">
        <v>-0.15705722981117326</v>
      </c>
      <c r="AH70" s="15">
        <v>0.16179187940548381</v>
      </c>
      <c r="AI70" s="15">
        <v>0.45135039514543035</v>
      </c>
      <c r="AJ70" s="15">
        <v>0.61787997212476786</v>
      </c>
      <c r="AK70" s="15">
        <v>-9.6640763628498605E-2</v>
      </c>
      <c r="AM70" s="16">
        <v>0.23811289182176107</v>
      </c>
      <c r="AN70" s="16">
        <v>-0.13777649772729272</v>
      </c>
      <c r="AP70" s="17">
        <f t="shared" si="2"/>
        <v>0</v>
      </c>
    </row>
    <row r="71" spans="1:42" x14ac:dyDescent="0.2">
      <c r="A71">
        <v>-1.2538071611693999</v>
      </c>
      <c r="B71">
        <v>-0.81219295593467411</v>
      </c>
      <c r="C71">
        <v>-1.232096043766624</v>
      </c>
      <c r="D71">
        <v>-1.066717333071626</v>
      </c>
      <c r="E71">
        <v>-0.38719724747145262</v>
      </c>
      <c r="F71">
        <v>-0.84522098040737559</v>
      </c>
      <c r="G71">
        <v>-0.67105221588233843</v>
      </c>
      <c r="H71">
        <v>-1.0785849478911571</v>
      </c>
      <c r="I71">
        <v>-0.92551542291206879</v>
      </c>
      <c r="J71">
        <v>-0.77901990697062085</v>
      </c>
      <c r="M71" s="13">
        <v>0</v>
      </c>
      <c r="O71" s="10">
        <f t="shared" si="3"/>
        <v>1</v>
      </c>
      <c r="P71" s="10">
        <f t="shared" si="4"/>
        <v>0</v>
      </c>
      <c r="R71" s="15">
        <v>0.740677402513087</v>
      </c>
      <c r="S71" s="15">
        <v>-0.11244062932798987</v>
      </c>
      <c r="T71" s="15">
        <v>0.28017863927394049</v>
      </c>
      <c r="U71" s="15">
        <v>0.41254445344522456</v>
      </c>
      <c r="V71" s="15">
        <v>0.15679342142451033</v>
      </c>
      <c r="W71" s="15">
        <v>-0.54003661261826685</v>
      </c>
      <c r="X71" s="15">
        <v>2.4824900377057698E-2</v>
      </c>
      <c r="Y71" s="15">
        <v>0.36145229778345628</v>
      </c>
      <c r="Z71" s="15">
        <v>0.42344991968082113</v>
      </c>
      <c r="AA71" s="15">
        <v>0.23694602157684486</v>
      </c>
      <c r="AB71" s="15">
        <v>-0.56535570697255677</v>
      </c>
      <c r="AC71" s="15">
        <v>0.48835602347582086</v>
      </c>
      <c r="AD71" s="15">
        <v>0.14830147664590262</v>
      </c>
      <c r="AE71" s="15">
        <v>0.17913756550178722</v>
      </c>
      <c r="AF71" s="15">
        <v>0.44788425843341095</v>
      </c>
      <c r="AG71" s="15">
        <v>-2.046367663688764E-2</v>
      </c>
      <c r="AH71" s="15">
        <v>0.16358273679533464</v>
      </c>
      <c r="AI71" s="15">
        <v>0.21330600494039348</v>
      </c>
      <c r="AJ71" s="15">
        <v>9.3002592664899228E-2</v>
      </c>
      <c r="AK71" s="15">
        <v>-0.74809629191757188</v>
      </c>
      <c r="AM71" s="16">
        <v>0.77622179370548228</v>
      </c>
      <c r="AN71" s="16">
        <v>-6.8466841864500472E-2</v>
      </c>
      <c r="AP71" s="17">
        <f t="shared" si="2"/>
        <v>0</v>
      </c>
    </row>
    <row r="72" spans="1:42" x14ac:dyDescent="0.2">
      <c r="A72">
        <v>-1.617130379499619</v>
      </c>
      <c r="B72">
        <v>-1.444716997610513</v>
      </c>
      <c r="C72">
        <v>-1.5822551057235941</v>
      </c>
      <c r="D72">
        <v>-1.2727121532479571</v>
      </c>
      <c r="E72">
        <v>-0.53344902290482699</v>
      </c>
      <c r="F72">
        <v>-0.81610715632953945</v>
      </c>
      <c r="G72">
        <v>-0.90192486772978975</v>
      </c>
      <c r="H72">
        <v>-1.4429741869019761</v>
      </c>
      <c r="I72">
        <v>-1.1034607656864091</v>
      </c>
      <c r="J72">
        <v>-0.48280149495023023</v>
      </c>
      <c r="M72" s="13">
        <v>0</v>
      </c>
      <c r="O72" s="10">
        <f t="shared" si="3"/>
        <v>1</v>
      </c>
      <c r="P72" s="10">
        <f t="shared" si="4"/>
        <v>0</v>
      </c>
      <c r="R72" s="15">
        <v>-0.19906992086028422</v>
      </c>
      <c r="S72" s="15">
        <v>0.79171787742847044</v>
      </c>
      <c r="T72" s="15">
        <v>0.40991808364467969</v>
      </c>
      <c r="U72" s="15">
        <v>0.17732199376602434</v>
      </c>
      <c r="V72" s="15">
        <v>0.43967043311245418</v>
      </c>
      <c r="W72" s="15">
        <v>0.70482966116311974</v>
      </c>
      <c r="X72" s="15">
        <v>-0.72544739584144702</v>
      </c>
      <c r="Y72" s="15">
        <v>-0.9078019888545662</v>
      </c>
      <c r="Z72" s="15">
        <v>-0.63832584822400584</v>
      </c>
      <c r="AA72" s="15">
        <v>0.65071304316127676</v>
      </c>
      <c r="AB72" s="15">
        <v>0.41021422420589554</v>
      </c>
      <c r="AC72" s="15">
        <v>-0.16512533502890817</v>
      </c>
      <c r="AD72" s="15">
        <v>-0.70797635799535408</v>
      </c>
      <c r="AE72" s="15">
        <v>0.68852556473432969</v>
      </c>
      <c r="AF72" s="15">
        <v>-0.46455780479019843</v>
      </c>
      <c r="AG72" s="15">
        <v>0.32142976487695102</v>
      </c>
      <c r="AH72" s="15">
        <v>-0.56427577076347057</v>
      </c>
      <c r="AI72" s="15">
        <v>-0.75542726896468326</v>
      </c>
      <c r="AJ72" s="15">
        <v>-0.75194277185898106</v>
      </c>
      <c r="AK72" s="15">
        <v>0.57329640312236485</v>
      </c>
      <c r="AM72" s="16">
        <v>-0.59575229628260096</v>
      </c>
      <c r="AN72" s="16">
        <v>0.49467563274160298</v>
      </c>
      <c r="AP72" s="17">
        <f t="shared" si="2"/>
        <v>1</v>
      </c>
    </row>
    <row r="73" spans="1:42" x14ac:dyDescent="0.2">
      <c r="A73">
        <v>-0.22505576005099831</v>
      </c>
      <c r="B73">
        <v>-5.9538379211873833E-2</v>
      </c>
      <c r="C73">
        <v>-0.2217197185920857</v>
      </c>
      <c r="D73">
        <v>-0.3278290976964397</v>
      </c>
      <c r="E73">
        <v>0.16305879707520721</v>
      </c>
      <c r="F73">
        <v>-0.6134253853025603</v>
      </c>
      <c r="G73">
        <v>-0.48350003954710191</v>
      </c>
      <c r="H73">
        <v>-0.23102423915631259</v>
      </c>
      <c r="I73">
        <v>-0.32007799799203912</v>
      </c>
      <c r="J73">
        <v>0.3768888359033028</v>
      </c>
      <c r="M73" s="13">
        <v>0</v>
      </c>
      <c r="O73" s="10">
        <f t="shared" si="3"/>
        <v>1</v>
      </c>
      <c r="P73" s="10">
        <f t="shared" si="4"/>
        <v>0</v>
      </c>
      <c r="R73" s="15">
        <v>0.37337566477797862</v>
      </c>
      <c r="S73" s="15">
        <v>-0.47940567089509001</v>
      </c>
      <c r="T73" s="15">
        <v>-0.23804845856381485</v>
      </c>
      <c r="U73" s="15">
        <v>-0.21538236749680492</v>
      </c>
      <c r="V73" s="15">
        <v>-0.66123364882052071</v>
      </c>
      <c r="W73" s="15">
        <v>-0.11785460771661516</v>
      </c>
      <c r="X73" s="15">
        <v>0.70960158417722008</v>
      </c>
      <c r="Y73" s="15">
        <v>0.21704720982536171</v>
      </c>
      <c r="Z73" s="15">
        <v>-0.64923494949941274</v>
      </c>
      <c r="AA73" s="15">
        <v>-0.32640956633979973</v>
      </c>
      <c r="AB73" s="15">
        <v>0.31627072410202361</v>
      </c>
      <c r="AC73" s="15">
        <v>-0.23968899176902492</v>
      </c>
      <c r="AD73" s="15">
        <v>0.55897199518139229</v>
      </c>
      <c r="AE73" s="15">
        <v>-0.52110572235885622</v>
      </c>
      <c r="AF73" s="15">
        <v>0.19896201963681862</v>
      </c>
      <c r="AG73" s="15">
        <v>-0.22305323138675537</v>
      </c>
      <c r="AH73" s="15">
        <v>0.31176110183846645</v>
      </c>
      <c r="AI73" s="15">
        <v>0.42600964022056426</v>
      </c>
      <c r="AJ73" s="15">
        <v>0.59113198383817822</v>
      </c>
      <c r="AK73" s="15">
        <v>-0.47792718101413473</v>
      </c>
      <c r="AM73" s="16">
        <v>-0.63011413727136112</v>
      </c>
      <c r="AN73" s="16">
        <v>0.43243822285404526</v>
      </c>
      <c r="AP73" s="17">
        <f t="shared" si="2"/>
        <v>1</v>
      </c>
    </row>
    <row r="74" spans="1:42" x14ac:dyDescent="0.2">
      <c r="A74">
        <v>-0.54396015231576744</v>
      </c>
      <c r="B74">
        <v>-1.648203414118631</v>
      </c>
      <c r="C74">
        <v>-0.57311901335409798</v>
      </c>
      <c r="D74">
        <v>-0.56447961433851168</v>
      </c>
      <c r="E74">
        <v>-0.77967977569926272</v>
      </c>
      <c r="F74">
        <v>-0.7674189313823494</v>
      </c>
      <c r="G74">
        <v>-0.61218733445103457</v>
      </c>
      <c r="H74">
        <v>-0.58984556110245101</v>
      </c>
      <c r="I74">
        <v>-0.59325672540279528</v>
      </c>
      <c r="J74">
        <v>-0.1561251413712913</v>
      </c>
      <c r="M74" s="13">
        <v>0</v>
      </c>
      <c r="O74" s="10">
        <f t="shared" si="3"/>
        <v>1</v>
      </c>
      <c r="P74" s="10">
        <f t="shared" si="4"/>
        <v>0</v>
      </c>
      <c r="R74" s="15">
        <v>0.58833996694228341</v>
      </c>
      <c r="S74" s="15">
        <v>-0.55482660769818459</v>
      </c>
      <c r="T74" s="15">
        <v>1.9370905545741099E-2</v>
      </c>
      <c r="U74" s="15">
        <v>8.4864819262184116E-2</v>
      </c>
      <c r="V74" s="15">
        <v>-0.12084875557059921</v>
      </c>
      <c r="W74" s="15">
        <v>-0.5591489588336801</v>
      </c>
      <c r="X74" s="15">
        <v>0.54645709257916431</v>
      </c>
      <c r="Y74" s="15">
        <v>0.7202826874938707</v>
      </c>
      <c r="Z74" s="15">
        <v>0.34545252956139755</v>
      </c>
      <c r="AA74" s="15">
        <v>-0.18616115544071854</v>
      </c>
      <c r="AB74" s="15">
        <v>-0.60552483661312595</v>
      </c>
      <c r="AC74" s="15">
        <v>0.35468610306505738</v>
      </c>
      <c r="AD74" s="15">
        <v>0.53682019020417726</v>
      </c>
      <c r="AE74" s="15">
        <v>-0.35294571707487404</v>
      </c>
      <c r="AF74" s="15">
        <v>0.41845600022450608</v>
      </c>
      <c r="AG74" s="15">
        <v>-9.0915300554365266E-2</v>
      </c>
      <c r="AH74" s="15">
        <v>0.35280232272053713</v>
      </c>
      <c r="AI74" s="15">
        <v>0.57763911086292685</v>
      </c>
      <c r="AJ74" s="15">
        <v>0.5331501495745623</v>
      </c>
      <c r="AK74" s="15">
        <v>-0.71824308368898282</v>
      </c>
      <c r="AM74" s="16">
        <v>7.3675593142716517E-2</v>
      </c>
      <c r="AN74" s="16">
        <v>-0.24807213200445113</v>
      </c>
      <c r="AP74" s="17">
        <f t="shared" si="2"/>
        <v>0</v>
      </c>
    </row>
    <row r="75" spans="1:42" x14ac:dyDescent="0.2">
      <c r="A75">
        <v>-8.8382449080383438E-2</v>
      </c>
      <c r="B75">
        <v>-1.4275554926038041</v>
      </c>
      <c r="C75">
        <v>-0.1030707802430296</v>
      </c>
      <c r="D75">
        <v>-0.2043468063250922</v>
      </c>
      <c r="E75">
        <v>-0.13892231484249709</v>
      </c>
      <c r="F75">
        <v>0.1173935433576776</v>
      </c>
      <c r="G75">
        <v>0.3989635292693709</v>
      </c>
      <c r="H75">
        <v>-0.38156421905325583</v>
      </c>
      <c r="I75">
        <v>-0.43735614759058838</v>
      </c>
      <c r="J75">
        <v>-0.2382421406712987</v>
      </c>
      <c r="M75" s="13">
        <v>0</v>
      </c>
      <c r="O75" s="10">
        <f t="shared" si="3"/>
        <v>1</v>
      </c>
      <c r="P75" s="10">
        <f t="shared" si="4"/>
        <v>0</v>
      </c>
      <c r="R75" s="15">
        <v>1.2764742334803987E-2</v>
      </c>
      <c r="S75" s="15">
        <v>0.65967641742473737</v>
      </c>
      <c r="T75" s="15">
        <v>0.2217415014766316</v>
      </c>
      <c r="U75" s="15">
        <v>0.15326185008125964</v>
      </c>
      <c r="V75" s="15">
        <v>-2.9780936033495454E-2</v>
      </c>
      <c r="W75" s="15">
        <v>0.449800195198649</v>
      </c>
      <c r="X75" s="15">
        <v>-0.65882734976329593</v>
      </c>
      <c r="Y75" s="15">
        <v>-0.83036758375912811</v>
      </c>
      <c r="Z75" s="15">
        <v>-0.43808184948259821</v>
      </c>
      <c r="AA75" s="15">
        <v>0.3461507283874517</v>
      </c>
      <c r="AB75" s="15">
        <v>0.71403246381027652</v>
      </c>
      <c r="AC75" s="15">
        <v>-7.4642833792598104E-2</v>
      </c>
      <c r="AD75" s="15">
        <v>-0.6122894489111157</v>
      </c>
      <c r="AE75" s="15">
        <v>0.56795280576219076</v>
      </c>
      <c r="AF75" s="15">
        <v>-0.25787918587713887</v>
      </c>
      <c r="AG75" s="15">
        <v>-0.2566053974826849</v>
      </c>
      <c r="AH75" s="15">
        <v>-0.32225588431991292</v>
      </c>
      <c r="AI75" s="15">
        <v>-0.64503560682220185</v>
      </c>
      <c r="AJ75" s="15">
        <v>-0.55969696040119998</v>
      </c>
      <c r="AK75" s="15">
        <v>0.23703620225906025</v>
      </c>
      <c r="AM75" s="16">
        <v>-0.39447427219596204</v>
      </c>
      <c r="AN75" s="16">
        <v>0.3608624216906825</v>
      </c>
      <c r="AP75" s="17">
        <f t="shared" si="2"/>
        <v>1</v>
      </c>
    </row>
    <row r="76" spans="1:42" x14ac:dyDescent="0.2">
      <c r="A76">
        <v>-0.6208388897367384</v>
      </c>
      <c r="B76">
        <v>-1.361361116149356</v>
      </c>
      <c r="C76">
        <v>-0.61900762714066659</v>
      </c>
      <c r="D76">
        <v>-0.63123454215643271</v>
      </c>
      <c r="E76">
        <v>-0.27755487452902461</v>
      </c>
      <c r="F76">
        <v>-0.66545860280337399</v>
      </c>
      <c r="G76">
        <v>-0.57370855914312591</v>
      </c>
      <c r="H76">
        <v>-0.62284062518945227</v>
      </c>
      <c r="I76">
        <v>-0.61971044335735526</v>
      </c>
      <c r="J76">
        <v>-0.64987226261697284</v>
      </c>
      <c r="M76" s="13">
        <v>0</v>
      </c>
      <c r="O76" s="10">
        <f t="shared" si="3"/>
        <v>1</v>
      </c>
      <c r="P76" s="10">
        <f t="shared" si="4"/>
        <v>0</v>
      </c>
      <c r="R76" s="15">
        <v>0.51865679462938685</v>
      </c>
      <c r="S76" s="15">
        <v>-0.19368408694215364</v>
      </c>
      <c r="T76" s="15">
        <v>4.8351423089953681E-3</v>
      </c>
      <c r="U76" s="15">
        <v>-0.38113082172494672</v>
      </c>
      <c r="V76" s="15">
        <v>2.8128763385297354E-2</v>
      </c>
      <c r="W76" s="15">
        <v>-0.62808412386242729</v>
      </c>
      <c r="X76" s="15">
        <v>0.11862863635192325</v>
      </c>
      <c r="Y76" s="15">
        <v>0.49080188419687737</v>
      </c>
      <c r="Z76" s="15">
        <v>0.54784953672815195</v>
      </c>
      <c r="AA76" s="15">
        <v>-0.16376488678115861</v>
      </c>
      <c r="AB76" s="15">
        <v>-0.11444707277498216</v>
      </c>
      <c r="AC76" s="15">
        <v>0.45775270754804936</v>
      </c>
      <c r="AD76" s="15">
        <v>0.2609771683649118</v>
      </c>
      <c r="AE76" s="15">
        <v>7.4580947039254525E-2</v>
      </c>
      <c r="AF76" s="15">
        <v>0.3705369229025221</v>
      </c>
      <c r="AG76" s="15">
        <v>-0.332102267639306</v>
      </c>
      <c r="AH76" s="15">
        <v>8.477117557582968E-2</v>
      </c>
      <c r="AI76" s="15">
        <v>0.22722772319805057</v>
      </c>
      <c r="AJ76" s="15">
        <v>0.30539316648709386</v>
      </c>
      <c r="AK76" s="15">
        <v>-0.51588244317119392</v>
      </c>
      <c r="AM76" s="16">
        <v>0.77675962360644157</v>
      </c>
      <c r="AN76" s="16">
        <v>-0.29739017482676178</v>
      </c>
      <c r="AP76" s="17">
        <f t="shared" si="2"/>
        <v>0</v>
      </c>
    </row>
    <row r="77" spans="1:42" x14ac:dyDescent="0.2">
      <c r="A77">
        <v>-0.71195443038381534</v>
      </c>
      <c r="B77">
        <v>-0.35128396432592368</v>
      </c>
      <c r="C77">
        <v>-0.6992093485334081</v>
      </c>
      <c r="D77">
        <v>-0.69512445161306957</v>
      </c>
      <c r="E77">
        <v>-0.1467273651197547</v>
      </c>
      <c r="F77">
        <v>-0.47950179454451369</v>
      </c>
      <c r="G77">
        <v>-0.15528373096043799</v>
      </c>
      <c r="H77">
        <v>-0.61252966766226424</v>
      </c>
      <c r="I77">
        <v>-0.61547784848462572</v>
      </c>
      <c r="J77">
        <v>-0.24570732242584481</v>
      </c>
      <c r="M77" s="13">
        <v>0</v>
      </c>
      <c r="O77" s="10">
        <f t="shared" si="3"/>
        <v>1</v>
      </c>
      <c r="P77" s="10">
        <f t="shared" si="4"/>
        <v>0</v>
      </c>
      <c r="R77" s="15">
        <v>6.4430798477199916E-2</v>
      </c>
      <c r="S77" s="15">
        <v>-2.5745003664407073E-2</v>
      </c>
      <c r="T77" s="15">
        <v>0.15900135250038797</v>
      </c>
      <c r="U77" s="15">
        <v>0.22302302951088851</v>
      </c>
      <c r="V77" s="15">
        <v>0.24114956281662367</v>
      </c>
      <c r="W77" s="15">
        <v>-0.22666449512093981</v>
      </c>
      <c r="X77" s="15">
        <v>-0.1484841064497941</v>
      </c>
      <c r="Y77" s="15">
        <v>0.24602288850181864</v>
      </c>
      <c r="Z77" s="15">
        <v>0.35983366407835793</v>
      </c>
      <c r="AA77" s="15">
        <v>7.3056834174747551E-2</v>
      </c>
      <c r="AB77" s="15">
        <v>-0.38404008635887993</v>
      </c>
      <c r="AC77" s="15">
        <v>0.19912010990334844</v>
      </c>
      <c r="AD77" s="15">
        <v>-5.8478536950605189E-2</v>
      </c>
      <c r="AE77" s="15">
        <v>0.10095017863075691</v>
      </c>
      <c r="AF77" s="15">
        <v>0.14379757800027235</v>
      </c>
      <c r="AG77" s="15">
        <v>5.2001205526113245E-2</v>
      </c>
      <c r="AH77" s="15">
        <v>3.8303386232301881E-2</v>
      </c>
      <c r="AI77" s="15">
        <v>3.0649609318128775E-2</v>
      </c>
      <c r="AJ77" s="15">
        <v>-0.10073861388265686</v>
      </c>
      <c r="AK77" s="15">
        <v>-0.18534031428540809</v>
      </c>
      <c r="AM77" s="16">
        <v>-0.50463085032299504</v>
      </c>
      <c r="AN77" s="16">
        <v>0.73102351628336371</v>
      </c>
      <c r="AP77" s="17">
        <f t="shared" si="2"/>
        <v>1</v>
      </c>
    </row>
    <row r="78" spans="1:42" x14ac:dyDescent="0.2">
      <c r="A78">
        <v>-0.73473331554558452</v>
      </c>
      <c r="B78">
        <v>0.25182035448127138</v>
      </c>
      <c r="C78">
        <v>-0.72732129211436936</v>
      </c>
      <c r="D78">
        <v>-0.71432007463367342</v>
      </c>
      <c r="E78">
        <v>-0.19504434302658721</v>
      </c>
      <c r="F78">
        <v>-0.6135492739156575</v>
      </c>
      <c r="G78">
        <v>-0.73705223445683066</v>
      </c>
      <c r="H78">
        <v>-0.64346254024382799</v>
      </c>
      <c r="I78">
        <v>-0.61847593651947574</v>
      </c>
      <c r="J78">
        <v>-0.54132851990587205</v>
      </c>
      <c r="M78" s="13">
        <v>0</v>
      </c>
      <c r="O78" s="10">
        <f t="shared" si="3"/>
        <v>1</v>
      </c>
      <c r="P78" s="10">
        <f t="shared" si="4"/>
        <v>0</v>
      </c>
      <c r="R78" s="15">
        <v>-0.15865541714785741</v>
      </c>
      <c r="S78" s="15">
        <v>-0.48309853452916252</v>
      </c>
      <c r="T78" s="15">
        <v>-0.347257034992836</v>
      </c>
      <c r="U78" s="15">
        <v>-1.4826653233535441E-2</v>
      </c>
      <c r="V78" s="15">
        <v>-0.58316509024180629</v>
      </c>
      <c r="W78" s="15">
        <v>0.28580674775711945</v>
      </c>
      <c r="X78" s="15">
        <v>0.65497122730267798</v>
      </c>
      <c r="Y78" s="15">
        <v>0.18958372652986918</v>
      </c>
      <c r="Z78" s="15">
        <v>-0.6277700305031535</v>
      </c>
      <c r="AA78" s="15">
        <v>-0.3386077066542732</v>
      </c>
      <c r="AB78" s="15">
        <v>0.19804915942196633</v>
      </c>
      <c r="AC78" s="15">
        <v>-0.45598981799473309</v>
      </c>
      <c r="AD78" s="15">
        <v>0.47310563804874939</v>
      </c>
      <c r="AE78" s="15">
        <v>-0.60649893329878557</v>
      </c>
      <c r="AF78" s="15">
        <v>-8.5024629671609994E-2</v>
      </c>
      <c r="AG78" s="15">
        <v>-4.7983829481583307E-2</v>
      </c>
      <c r="AH78" s="15">
        <v>0.27029965018789009</v>
      </c>
      <c r="AI78" s="15">
        <v>0.43426258211432983</v>
      </c>
      <c r="AJ78" s="15">
        <v>0.51520753359201865</v>
      </c>
      <c r="AK78" s="15">
        <v>-4.8584413276070368E-2</v>
      </c>
      <c r="AM78" s="16">
        <v>0.20505482787490339</v>
      </c>
      <c r="AN78" s="16">
        <v>-1.457755378875603</v>
      </c>
      <c r="AP78" s="17">
        <f t="shared" si="2"/>
        <v>0</v>
      </c>
    </row>
    <row r="79" spans="1:42" x14ac:dyDescent="0.2">
      <c r="A79">
        <v>-0.16241382585613329</v>
      </c>
      <c r="B79">
        <v>-0.65283612372952127</v>
      </c>
      <c r="C79">
        <v>-0.20849056867163321</v>
      </c>
      <c r="D79">
        <v>-0.25792264968110618</v>
      </c>
      <c r="E79">
        <v>-0.60350864086973433</v>
      </c>
      <c r="F79">
        <v>-0.91682859877754297</v>
      </c>
      <c r="G79">
        <v>-0.80763912690908657</v>
      </c>
      <c r="H79">
        <v>-0.12791466388443379</v>
      </c>
      <c r="I79">
        <v>-0.22555004583441129</v>
      </c>
      <c r="J79">
        <v>-0.454135197012773</v>
      </c>
      <c r="M79" s="13">
        <v>0</v>
      </c>
      <c r="O79" s="10">
        <f t="shared" si="3"/>
        <v>1</v>
      </c>
      <c r="P79" s="10">
        <f t="shared" si="4"/>
        <v>0</v>
      </c>
      <c r="R79" s="15">
        <v>0.10479999987902497</v>
      </c>
      <c r="S79" s="15">
        <v>0.59085404089800009</v>
      </c>
      <c r="T79" s="15">
        <v>0.39943613955511859</v>
      </c>
      <c r="U79" s="15">
        <v>-8.7159528847808962E-2</v>
      </c>
      <c r="V79" s="15">
        <v>0.75021764356494092</v>
      </c>
      <c r="W79" s="15">
        <v>-0.16562046178330317</v>
      </c>
      <c r="X79" s="15">
        <v>-0.78527594710701354</v>
      </c>
      <c r="Y79" s="15">
        <v>-0.25116178905318071</v>
      </c>
      <c r="Z79" s="15">
        <v>0.8000004652424948</v>
      </c>
      <c r="AA79" s="15">
        <v>0.39918156119848869</v>
      </c>
      <c r="AB79" s="15">
        <v>-0.25856985053955639</v>
      </c>
      <c r="AC79" s="15">
        <v>0.6216123967895808</v>
      </c>
      <c r="AD79" s="15">
        <v>-0.59654510699938401</v>
      </c>
      <c r="AE79" s="15">
        <v>0.71003425391734898</v>
      </c>
      <c r="AF79" s="15">
        <v>-9.2426050982863328E-2</v>
      </c>
      <c r="AG79" s="15">
        <v>1.1471596642383711E-2</v>
      </c>
      <c r="AH79" s="15">
        <v>-0.38198602821155869</v>
      </c>
      <c r="AI79" s="15">
        <v>-0.49306851583092448</v>
      </c>
      <c r="AJ79" s="15">
        <v>-0.59606069151914076</v>
      </c>
      <c r="AK79" s="15">
        <v>0.21407385174573459</v>
      </c>
      <c r="AM79" s="16">
        <v>0.39266352712712438</v>
      </c>
      <c r="AN79" s="16">
        <v>-1.3601085044022987</v>
      </c>
      <c r="AP79" s="17">
        <f t="shared" si="2"/>
        <v>0</v>
      </c>
    </row>
    <row r="80" spans="1:42" x14ac:dyDescent="0.2">
      <c r="A80">
        <v>1.7709440522490281</v>
      </c>
      <c r="B80">
        <v>0.41117718668642511</v>
      </c>
      <c r="C80">
        <v>1.732060360284702</v>
      </c>
      <c r="D80">
        <v>1.8149181347079859</v>
      </c>
      <c r="E80">
        <v>0.48826922529427341</v>
      </c>
      <c r="F80">
        <v>0.75294212854618736</v>
      </c>
      <c r="G80">
        <v>1.2997745935969001</v>
      </c>
      <c r="H80">
        <v>1.3939826671284981</v>
      </c>
      <c r="I80">
        <v>1.3115873254452219</v>
      </c>
      <c r="J80">
        <v>0.65459359717241916</v>
      </c>
      <c r="M80" s="13">
        <v>1</v>
      </c>
      <c r="O80" s="10">
        <f t="shared" si="3"/>
        <v>0</v>
      </c>
      <c r="P80" s="10">
        <f t="shared" si="4"/>
        <v>1</v>
      </c>
      <c r="R80" s="15">
        <v>0.36432582505561073</v>
      </c>
      <c r="S80" s="15">
        <v>0.69902998346076017</v>
      </c>
      <c r="T80" s="15">
        <v>0.4854875195649499</v>
      </c>
      <c r="U80" s="15">
        <v>0.20086776939825055</v>
      </c>
      <c r="V80" s="15">
        <v>0.85290987860164813</v>
      </c>
      <c r="W80" s="15">
        <v>-0.5311939142080857</v>
      </c>
      <c r="X80" s="15">
        <v>-0.88387814954315924</v>
      </c>
      <c r="Y80" s="15">
        <v>-0.25546822974396344</v>
      </c>
      <c r="Z80" s="15">
        <v>0.90881593434789465</v>
      </c>
      <c r="AA80" s="15">
        <v>0.60537941555704555</v>
      </c>
      <c r="AB80" s="15">
        <v>-0.46905034449053462</v>
      </c>
      <c r="AC80" s="15">
        <v>0.69169453597953079</v>
      </c>
      <c r="AD80" s="15">
        <v>-0.68755885545053996</v>
      </c>
      <c r="AE80" s="15">
        <v>0.84140825531936547</v>
      </c>
      <c r="AF80" s="15">
        <v>0.20343912873634931</v>
      </c>
      <c r="AG80" s="15">
        <v>0.20773868737976159</v>
      </c>
      <c r="AH80" s="15">
        <v>-0.44862044757653607</v>
      </c>
      <c r="AI80" s="15">
        <v>-0.60566466687460385</v>
      </c>
      <c r="AJ80" s="15">
        <v>-0.76340188592081681</v>
      </c>
      <c r="AK80" s="15">
        <v>6.2713570356394244E-2</v>
      </c>
      <c r="AM80" s="16">
        <v>0.69439256619277323</v>
      </c>
      <c r="AN80" s="16">
        <v>-0.30373353633420713</v>
      </c>
      <c r="AP80" s="17">
        <f t="shared" si="2"/>
        <v>0</v>
      </c>
    </row>
    <row r="81" spans="1:42" x14ac:dyDescent="0.2">
      <c r="A81">
        <v>-0.93689592135628597</v>
      </c>
      <c r="B81">
        <v>-0.33657410289160128</v>
      </c>
      <c r="C81">
        <v>-0.91004892539061522</v>
      </c>
      <c r="D81">
        <v>-0.85929000371465203</v>
      </c>
      <c r="E81">
        <v>-0.13947981843372981</v>
      </c>
      <c r="F81">
        <v>-0.48185567819336</v>
      </c>
      <c r="G81">
        <v>-0.57625682240855047</v>
      </c>
      <c r="H81">
        <v>-1.0002216706845291</v>
      </c>
      <c r="I81">
        <v>-0.87084440580597811</v>
      </c>
      <c r="J81">
        <v>-0.28139089121257538</v>
      </c>
      <c r="M81" s="13">
        <v>0</v>
      </c>
      <c r="O81" s="10">
        <f t="shared" si="3"/>
        <v>1</v>
      </c>
      <c r="P81" s="10">
        <f t="shared" si="4"/>
        <v>0</v>
      </c>
      <c r="R81" s="15">
        <v>0.31623266280225659</v>
      </c>
      <c r="S81" s="15">
        <v>9.6858738737883504E-2</v>
      </c>
      <c r="T81" s="15">
        <v>-0.45809310162354783</v>
      </c>
      <c r="U81" s="15">
        <v>-0.18585702187242231</v>
      </c>
      <c r="V81" s="15">
        <v>-3.0724211970891424E-2</v>
      </c>
      <c r="W81" s="15">
        <v>-5.4508338019664329E-2</v>
      </c>
      <c r="X81" s="15">
        <v>0.13385680158535029</v>
      </c>
      <c r="Y81" s="15">
        <v>-0.40958741193152998</v>
      </c>
      <c r="Z81" s="15">
        <v>-0.27220063227009966</v>
      </c>
      <c r="AA81" s="15">
        <v>0.2832916705536212</v>
      </c>
      <c r="AB81" s="15">
        <v>0.62089019874748475</v>
      </c>
      <c r="AC81" s="15">
        <v>-0.22341006979946562</v>
      </c>
      <c r="AD81" s="15">
        <v>0.2676416943387942</v>
      </c>
      <c r="AE81" s="15">
        <v>0.13477536910929952</v>
      </c>
      <c r="AF81" s="15">
        <v>0.17331439160310194</v>
      </c>
      <c r="AG81" s="15">
        <v>0.21632359672515228</v>
      </c>
      <c r="AH81" s="15">
        <v>-0.20461683092919999</v>
      </c>
      <c r="AI81" s="15">
        <v>5.0471766909835514E-2</v>
      </c>
      <c r="AJ81" s="15">
        <v>6.122017550559096E-2</v>
      </c>
      <c r="AK81" s="15">
        <v>0.1897515925294247</v>
      </c>
      <c r="AM81" s="16">
        <v>0.53690563406668479</v>
      </c>
      <c r="AN81" s="16">
        <v>-0.50127992547690048</v>
      </c>
      <c r="AP81" s="17">
        <f t="shared" si="2"/>
        <v>0</v>
      </c>
    </row>
    <row r="82" spans="1:42" x14ac:dyDescent="0.2">
      <c r="A82">
        <v>1.7937229374107979</v>
      </c>
      <c r="B82">
        <v>0.45775841456177702</v>
      </c>
      <c r="C82">
        <v>1.860217750139084</v>
      </c>
      <c r="D82">
        <v>1.8407032999595441</v>
      </c>
      <c r="E82">
        <v>1.2799243248446861</v>
      </c>
      <c r="F82">
        <v>1.449196134152313</v>
      </c>
      <c r="G82">
        <v>2.0820914160821928</v>
      </c>
      <c r="H82">
        <v>1.6146371582103189</v>
      </c>
      <c r="I82">
        <v>1.600814641748411</v>
      </c>
      <c r="J82">
        <v>1.453368044908856</v>
      </c>
      <c r="M82" s="13">
        <v>1</v>
      </c>
      <c r="O82" s="10">
        <f t="shared" si="3"/>
        <v>0</v>
      </c>
      <c r="P82" s="10">
        <f t="shared" si="4"/>
        <v>1</v>
      </c>
      <c r="R82" s="15">
        <v>0.23231618356043515</v>
      </c>
      <c r="S82" s="15">
        <v>-0.3623080257197237</v>
      </c>
      <c r="T82" s="15">
        <v>-0.33969729727175102</v>
      </c>
      <c r="U82" s="15">
        <v>-0.14911254731783161</v>
      </c>
      <c r="V82" s="15">
        <v>-0.25521022267769727</v>
      </c>
      <c r="W82" s="15">
        <v>-0.26579183601327205</v>
      </c>
      <c r="X82" s="15">
        <v>0.48336644785901139</v>
      </c>
      <c r="Y82" s="15">
        <v>0.25832039808250912</v>
      </c>
      <c r="Z82" s="15">
        <v>-0.16714975828178821</v>
      </c>
      <c r="AA82" s="15">
        <v>-0.1106368331716929</v>
      </c>
      <c r="AB82" s="15">
        <v>0.15729175323733269</v>
      </c>
      <c r="AC82" s="15">
        <v>-0.15929062135499916</v>
      </c>
      <c r="AD82" s="15">
        <v>0.47241477206342053</v>
      </c>
      <c r="AE82" s="15">
        <v>-0.30074723871854891</v>
      </c>
      <c r="AF82" s="15">
        <v>0.25150040451220212</v>
      </c>
      <c r="AG82" s="15">
        <v>5.6036656775960487E-2</v>
      </c>
      <c r="AH82" s="15">
        <v>0.12734453388883701</v>
      </c>
      <c r="AI82" s="15">
        <v>0.37659854752457322</v>
      </c>
      <c r="AJ82" s="15">
        <v>0.38312490508833613</v>
      </c>
      <c r="AK82" s="15">
        <v>-0.18222040192059233</v>
      </c>
      <c r="AM82" s="16">
        <v>0.66257574161054911</v>
      </c>
      <c r="AN82" s="16">
        <v>0.20050678337720967</v>
      </c>
      <c r="AP82" s="17">
        <f t="shared" si="2"/>
        <v>0</v>
      </c>
    </row>
    <row r="83" spans="1:42" x14ac:dyDescent="0.2">
      <c r="A83">
        <v>5.580452211914555E-3</v>
      </c>
      <c r="B83">
        <v>0.87208617829517543</v>
      </c>
      <c r="C83">
        <v>3.9969403271859841E-2</v>
      </c>
      <c r="D83">
        <v>-0.1023521526633762</v>
      </c>
      <c r="E83">
        <v>0.1927923219409505</v>
      </c>
      <c r="F83">
        <v>0.67860896068788235</v>
      </c>
      <c r="G83">
        <v>0.27766619783516899</v>
      </c>
      <c r="H83">
        <v>-0.24339738818893819</v>
      </c>
      <c r="I83">
        <v>-0.3050875578177884</v>
      </c>
      <c r="J83">
        <v>0.27984147309420287</v>
      </c>
      <c r="M83" s="13">
        <v>1</v>
      </c>
      <c r="O83" s="10">
        <f t="shared" si="3"/>
        <v>0</v>
      </c>
      <c r="P83" s="10">
        <f t="shared" si="4"/>
        <v>1</v>
      </c>
      <c r="R83" s="15">
        <v>0.19127073055484534</v>
      </c>
      <c r="S83" s="15">
        <v>-0.58359173197767533</v>
      </c>
      <c r="T83" s="15">
        <v>-0.68862471216777521</v>
      </c>
      <c r="U83" s="15">
        <v>-0.54910465884599824</v>
      </c>
      <c r="V83" s="15">
        <v>-0.8484642796489128</v>
      </c>
      <c r="W83" s="15">
        <v>-5.8935801062894158E-2</v>
      </c>
      <c r="X83" s="15">
        <v>0.84286031231421488</v>
      </c>
      <c r="Y83" s="15">
        <v>0.12246348927105928</v>
      </c>
      <c r="Z83" s="15">
        <v>-0.78421241455550961</v>
      </c>
      <c r="AA83" s="15">
        <v>-0.52945093525414544</v>
      </c>
      <c r="AB83" s="15">
        <v>0.80180377735165231</v>
      </c>
      <c r="AC83" s="15">
        <v>-0.60563612827767865</v>
      </c>
      <c r="AD83" s="15">
        <v>0.72982139330791118</v>
      </c>
      <c r="AE83" s="15">
        <v>-0.69637077261280977</v>
      </c>
      <c r="AF83" s="15">
        <v>0.17563056467724991</v>
      </c>
      <c r="AG83" s="15">
        <v>-0.28993613435100168</v>
      </c>
      <c r="AH83" s="15">
        <v>0.31098003752837144</v>
      </c>
      <c r="AI83" s="15">
        <v>0.52714278668628445</v>
      </c>
      <c r="AJ83" s="15">
        <v>0.7543141597518459</v>
      </c>
      <c r="AK83" s="15">
        <v>-0.12464566322636597</v>
      </c>
      <c r="AM83" s="16">
        <v>-0.14358314525679233</v>
      </c>
      <c r="AN83" s="16">
        <v>0.60377020991434271</v>
      </c>
      <c r="AP83" s="17">
        <f t="shared" si="2"/>
        <v>1</v>
      </c>
    </row>
    <row r="84" spans="1:42" x14ac:dyDescent="0.2">
      <c r="A84">
        <v>-0.72903859425514239</v>
      </c>
      <c r="B84">
        <v>1.3354468134763131</v>
      </c>
      <c r="C84">
        <v>-0.67936562365272957</v>
      </c>
      <c r="D84">
        <v>-0.74239725457425831</v>
      </c>
      <c r="E84">
        <v>0.93241375297631235</v>
      </c>
      <c r="F84">
        <v>-0.57452436079004721</v>
      </c>
      <c r="G84">
        <v>-0.13209453524507581</v>
      </c>
      <c r="H84">
        <v>-0.71976362594501819</v>
      </c>
      <c r="I84">
        <v>-0.72940519380893076</v>
      </c>
      <c r="J84">
        <v>0.1992175101451048</v>
      </c>
      <c r="M84" s="13">
        <v>0</v>
      </c>
      <c r="O84" s="10">
        <f t="shared" si="3"/>
        <v>1</v>
      </c>
      <c r="P84" s="10">
        <f t="shared" si="4"/>
        <v>0</v>
      </c>
      <c r="R84" s="15">
        <v>0.62990343895438661</v>
      </c>
      <c r="S84" s="15">
        <v>0.92274486649475818</v>
      </c>
      <c r="T84" s="15">
        <v>0.65281482030478277</v>
      </c>
      <c r="U84" s="15">
        <v>0.273542711932938</v>
      </c>
      <c r="V84" s="15">
        <v>0.94332202904207496</v>
      </c>
      <c r="W84" s="15">
        <v>-0.63969561156199561</v>
      </c>
      <c r="X84" s="15">
        <v>-0.96439534947341621</v>
      </c>
      <c r="Y84" s="15">
        <v>-0.71998994835685381</v>
      </c>
      <c r="Z84" s="15">
        <v>0.93519907604068409</v>
      </c>
      <c r="AA84" s="15">
        <v>0.86172159565867379</v>
      </c>
      <c r="AB84" s="15">
        <v>-0.26106257492822116</v>
      </c>
      <c r="AC84" s="15">
        <v>0.80492489906103193</v>
      </c>
      <c r="AD84" s="15">
        <v>-0.86917598413767228</v>
      </c>
      <c r="AE84" s="15">
        <v>0.96349391481874991</v>
      </c>
      <c r="AF84" s="15">
        <v>0.358847244881905</v>
      </c>
      <c r="AG84" s="15">
        <v>0.59548376286714411</v>
      </c>
      <c r="AH84" s="15">
        <v>-0.64495019233292383</v>
      </c>
      <c r="AI84" s="15">
        <v>-0.88150828721474495</v>
      </c>
      <c r="AJ84" s="15">
        <v>-0.93428197590048045</v>
      </c>
      <c r="AK84" s="15">
        <v>0.30956521224126682</v>
      </c>
      <c r="AM84" s="16">
        <v>0.79665924205822336</v>
      </c>
      <c r="AN84" s="16">
        <v>-0.37761393221419565</v>
      </c>
      <c r="AP84" s="17">
        <f t="shared" si="2"/>
        <v>0</v>
      </c>
    </row>
    <row r="85" spans="1:42" x14ac:dyDescent="0.2">
      <c r="A85">
        <v>-1.8568781458272401</v>
      </c>
      <c r="B85">
        <v>1.592869388576944</v>
      </c>
      <c r="C85">
        <v>-1.8530392681578509</v>
      </c>
      <c r="D85">
        <v>-1.394475433602534</v>
      </c>
      <c r="E85">
        <v>-1.045237319656432</v>
      </c>
      <c r="F85">
        <v>-1.1338814489237941</v>
      </c>
      <c r="G85">
        <v>-1.2867126208088751</v>
      </c>
      <c r="H85">
        <v>-1.524636970517304</v>
      </c>
      <c r="I85">
        <v>-1.152135606722799</v>
      </c>
      <c r="J85">
        <v>-1.753674036844165</v>
      </c>
      <c r="M85" s="13">
        <v>0</v>
      </c>
      <c r="O85" s="10">
        <f t="shared" si="3"/>
        <v>1</v>
      </c>
      <c r="P85" s="10">
        <f t="shared" si="4"/>
        <v>0</v>
      </c>
      <c r="R85" s="15">
        <v>-0.46602552257219865</v>
      </c>
      <c r="S85" s="15">
        <v>-0.79288143694251689</v>
      </c>
      <c r="T85" s="15">
        <v>-0.44119850632821517</v>
      </c>
      <c r="U85" s="15">
        <v>2.9048239778801513E-2</v>
      </c>
      <c r="V85" s="15">
        <v>-0.59262021146755439</v>
      </c>
      <c r="W85" s="15">
        <v>0.31699629632779885</v>
      </c>
      <c r="X85" s="15">
        <v>0.84951825225259792</v>
      </c>
      <c r="Y85" s="15">
        <v>0.7031969074118386</v>
      </c>
      <c r="Z85" s="15">
        <v>-0.5271159212318669</v>
      </c>
      <c r="AA85" s="15">
        <v>-0.578264289780834</v>
      </c>
      <c r="AB85" s="15">
        <v>-0.37883976539888181</v>
      </c>
      <c r="AC85" s="15">
        <v>-0.52061105545922237</v>
      </c>
      <c r="AD85" s="15">
        <v>0.70288372195286042</v>
      </c>
      <c r="AE85" s="15">
        <v>-0.84952828301975569</v>
      </c>
      <c r="AF85" s="15">
        <v>-0.15603872971084543</v>
      </c>
      <c r="AG85" s="15">
        <v>9.6147863348323287E-2</v>
      </c>
      <c r="AH85" s="15">
        <v>0.48154094203869163</v>
      </c>
      <c r="AI85" s="15">
        <v>0.74780479670125566</v>
      </c>
      <c r="AJ85" s="15">
        <v>0.73121665683933146</v>
      </c>
      <c r="AK85" s="15">
        <v>-2.078879280332108E-2</v>
      </c>
      <c r="AM85" s="16">
        <v>0.83094879963058332</v>
      </c>
      <c r="AN85" s="16">
        <v>-0.26316889408081134</v>
      </c>
      <c r="AP85" s="17">
        <f t="shared" si="2"/>
        <v>0</v>
      </c>
    </row>
    <row r="86" spans="1:42" x14ac:dyDescent="0.2">
      <c r="A86">
        <v>-1.86769811627908</v>
      </c>
      <c r="B86">
        <v>1.5806111707150099</v>
      </c>
      <c r="C86">
        <v>-1.838156474497342</v>
      </c>
      <c r="D86">
        <v>-1.4185415878373211</v>
      </c>
      <c r="E86">
        <v>0.27641786062585327</v>
      </c>
      <c r="F86">
        <v>1.2335999451272809E-2</v>
      </c>
      <c r="G86">
        <v>-0.93912951140498624</v>
      </c>
      <c r="H86">
        <v>-1.6069184115842641</v>
      </c>
      <c r="I86">
        <v>-1.195166987928884</v>
      </c>
      <c r="J86">
        <v>-1.007155861389551</v>
      </c>
      <c r="M86" s="13">
        <v>0</v>
      </c>
      <c r="O86" s="10">
        <f t="shared" si="3"/>
        <v>1</v>
      </c>
      <c r="P86" s="10">
        <f t="shared" si="4"/>
        <v>0</v>
      </c>
      <c r="R86" s="15">
        <v>0.30843602626741551</v>
      </c>
      <c r="S86" s="15">
        <v>-9.0148776256869262E-2</v>
      </c>
      <c r="T86" s="15">
        <v>-4.2400234506362038E-2</v>
      </c>
      <c r="U86" s="15">
        <v>0.33184024088548525</v>
      </c>
      <c r="V86" s="15">
        <v>-0.12937679247006112</v>
      </c>
      <c r="W86" s="15">
        <v>-1.8708659427229796E-2</v>
      </c>
      <c r="X86" s="15">
        <v>0.22198155496788521</v>
      </c>
      <c r="Y86" s="15">
        <v>-8.0223247316039623E-2</v>
      </c>
      <c r="Z86" s="15">
        <v>-0.34985378503327413</v>
      </c>
      <c r="AA86" s="15">
        <v>0.1889404786471271</v>
      </c>
      <c r="AB86" s="15">
        <v>-3.474206069717322E-2</v>
      </c>
      <c r="AC86" s="15">
        <v>-0.12815711204628399</v>
      </c>
      <c r="AD86" s="15">
        <v>0.1871270124820994</v>
      </c>
      <c r="AE86" s="15">
        <v>-6.8697653031578404E-2</v>
      </c>
      <c r="AF86" s="15">
        <v>0.18500555564735671</v>
      </c>
      <c r="AG86" s="15">
        <v>0.18018000259577308</v>
      </c>
      <c r="AH86" s="15">
        <v>7.3368792585522008E-2</v>
      </c>
      <c r="AI86" s="15">
        <v>0.12977220240844492</v>
      </c>
      <c r="AJ86" s="15">
        <v>7.1064368095801342E-2</v>
      </c>
      <c r="AK86" s="15">
        <v>-0.28080353510453016</v>
      </c>
      <c r="AM86" s="16">
        <v>-0.39623971912297312</v>
      </c>
      <c r="AN86" s="16">
        <v>0.59889243117061852</v>
      </c>
      <c r="AP86" s="17">
        <f t="shared" si="2"/>
        <v>1</v>
      </c>
    </row>
    <row r="87" spans="1:42" x14ac:dyDescent="0.2">
      <c r="A87">
        <v>-0.7717490039334598</v>
      </c>
      <c r="B87">
        <v>-1.1161967589106589</v>
      </c>
      <c r="C87">
        <v>-0.75047230447516022</v>
      </c>
      <c r="D87">
        <v>-0.7524248188387529</v>
      </c>
      <c r="E87">
        <v>0.12960858160124619</v>
      </c>
      <c r="F87">
        <v>-0.29924386248812351</v>
      </c>
      <c r="G87">
        <v>-0.62569312975778391</v>
      </c>
      <c r="H87">
        <v>-0.8682414143365238</v>
      </c>
      <c r="I87">
        <v>-0.78213627159835364</v>
      </c>
      <c r="J87">
        <v>-0.72079148928516101</v>
      </c>
      <c r="M87" s="13">
        <v>0</v>
      </c>
      <c r="O87" s="10">
        <f t="shared" si="3"/>
        <v>1</v>
      </c>
      <c r="P87" s="10">
        <f t="shared" si="4"/>
        <v>0</v>
      </c>
      <c r="R87" s="15">
        <v>-2.6422411685205871E-2</v>
      </c>
      <c r="S87" s="15">
        <v>-0.65549409855061791</v>
      </c>
      <c r="T87" s="15">
        <v>-0.57949841752446285</v>
      </c>
      <c r="U87" s="15">
        <v>-0.3586087191116013</v>
      </c>
      <c r="V87" s="15">
        <v>-0.79760050204992561</v>
      </c>
      <c r="W87" s="15">
        <v>6.3778454794235911E-2</v>
      </c>
      <c r="X87" s="15">
        <v>0.80264173736464461</v>
      </c>
      <c r="Y87" s="15">
        <v>0.33506985027742098</v>
      </c>
      <c r="Z87" s="15">
        <v>-0.64859057104947371</v>
      </c>
      <c r="AA87" s="15">
        <v>-0.59128718705552619</v>
      </c>
      <c r="AB87" s="15">
        <v>0.59370589802247919</v>
      </c>
      <c r="AC87" s="15">
        <v>-0.51120188680496992</v>
      </c>
      <c r="AD87" s="15">
        <v>0.66939808601858997</v>
      </c>
      <c r="AE87" s="15">
        <v>-0.74104382407161484</v>
      </c>
      <c r="AF87" s="15">
        <v>2.8723410867215332E-2</v>
      </c>
      <c r="AG87" s="15">
        <v>-0.34267265381463219</v>
      </c>
      <c r="AH87" s="15">
        <v>0.39999470969990936</v>
      </c>
      <c r="AI87" s="15">
        <v>0.59175255852792541</v>
      </c>
      <c r="AJ87" s="15">
        <v>0.73314510578823455</v>
      </c>
      <c r="AK87" s="15">
        <v>-0.15891240029103168</v>
      </c>
      <c r="AM87" s="16">
        <v>0.14258543937857665</v>
      </c>
      <c r="AN87" s="16">
        <v>-0.24524034921581872</v>
      </c>
      <c r="AP87" s="17">
        <f t="shared" si="2"/>
        <v>0</v>
      </c>
    </row>
    <row r="88" spans="1:42" x14ac:dyDescent="0.2">
      <c r="A88">
        <v>6.252766511633788E-2</v>
      </c>
      <c r="B88">
        <v>1.4702872099575961</v>
      </c>
      <c r="C88">
        <v>0.124305234014743</v>
      </c>
      <c r="D88">
        <v>-2.6142664253217391E-2</v>
      </c>
      <c r="E88">
        <v>0.33402656505323047</v>
      </c>
      <c r="F88">
        <v>0.1161546572267058</v>
      </c>
      <c r="G88">
        <v>-0.29543821055878061</v>
      </c>
      <c r="H88">
        <v>-5.1613578183243587E-2</v>
      </c>
      <c r="I88">
        <v>-0.1629429133419526</v>
      </c>
      <c r="J88">
        <v>4.5434766001454352E-2</v>
      </c>
      <c r="M88" s="13">
        <v>0</v>
      </c>
      <c r="O88" s="10">
        <f t="shared" si="3"/>
        <v>1</v>
      </c>
      <c r="P88" s="10">
        <f t="shared" si="4"/>
        <v>0</v>
      </c>
      <c r="R88" s="15">
        <v>0.20732673919318367</v>
      </c>
      <c r="S88" s="15">
        <v>-0.74352828420960015</v>
      </c>
      <c r="T88" s="15">
        <v>-0.60394320582376504</v>
      </c>
      <c r="U88" s="15">
        <v>-0.35088141114348959</v>
      </c>
      <c r="V88" s="15">
        <v>-0.93540026598206694</v>
      </c>
      <c r="W88" s="15">
        <v>1.5529035608050891E-2</v>
      </c>
      <c r="X88" s="15">
        <v>0.91096285688999534</v>
      </c>
      <c r="Y88" s="15">
        <v>0.35055191545101366</v>
      </c>
      <c r="Z88" s="15">
        <v>-0.87319783319260214</v>
      </c>
      <c r="AA88" s="15">
        <v>-0.70707126026224876</v>
      </c>
      <c r="AB88" s="15">
        <v>0.74303860105368902</v>
      </c>
      <c r="AC88" s="15">
        <v>-0.63527674583829608</v>
      </c>
      <c r="AD88" s="15">
        <v>0.77145399464596354</v>
      </c>
      <c r="AE88" s="15">
        <v>-0.84136498398805515</v>
      </c>
      <c r="AF88" s="15">
        <v>0.16673671448815022</v>
      </c>
      <c r="AG88" s="15">
        <v>-0.49934252819039776</v>
      </c>
      <c r="AH88" s="15">
        <v>0.57436151710245642</v>
      </c>
      <c r="AI88" s="15">
        <v>0.64334369950400572</v>
      </c>
      <c r="AJ88" s="15">
        <v>0.84304389293811566</v>
      </c>
      <c r="AK88" s="15">
        <v>-0.4765223743964635</v>
      </c>
      <c r="AM88" s="16">
        <v>-8.3839415346756624E-2</v>
      </c>
      <c r="AN88" s="16">
        <v>0.17583471854508623</v>
      </c>
      <c r="AP88" s="17">
        <f t="shared" si="2"/>
        <v>1</v>
      </c>
    </row>
    <row r="89" spans="1:42" x14ac:dyDescent="0.2">
      <c r="A89">
        <v>0.13940640253730879</v>
      </c>
      <c r="B89">
        <v>1.5757078835702369</v>
      </c>
      <c r="C89">
        <v>7.8416620228174402E-2</v>
      </c>
      <c r="D89">
        <v>8.8105597544495314E-3</v>
      </c>
      <c r="E89">
        <v>-0.61112785661658109</v>
      </c>
      <c r="F89">
        <v>-0.62531869215988911</v>
      </c>
      <c r="G89">
        <v>-0.51535333036490705</v>
      </c>
      <c r="H89">
        <v>8.1899754744466993E-3</v>
      </c>
      <c r="I89">
        <v>-0.13208024239496599</v>
      </c>
      <c r="J89">
        <v>-0.11879923259856059</v>
      </c>
      <c r="M89" s="13">
        <v>0</v>
      </c>
      <c r="O89" s="10">
        <f t="shared" si="3"/>
        <v>1</v>
      </c>
      <c r="P89" s="10">
        <f t="shared" si="4"/>
        <v>0</v>
      </c>
      <c r="R89" s="15">
        <v>0.32932367485047398</v>
      </c>
      <c r="S89" s="15">
        <v>-8.8258262519978065E-2</v>
      </c>
      <c r="T89" s="15">
        <v>-3.376298150411182E-3</v>
      </c>
      <c r="U89" s="15">
        <v>0.52425720737459602</v>
      </c>
      <c r="V89" s="15">
        <v>-0.2075108291501232</v>
      </c>
      <c r="W89" s="15">
        <v>-0.14165148897546687</v>
      </c>
      <c r="X89" s="15">
        <v>0.19130454647632925</v>
      </c>
      <c r="Y89" s="15">
        <v>-0.16186108300778684</v>
      </c>
      <c r="Z89" s="15">
        <v>-0.46596625653983492</v>
      </c>
      <c r="AA89" s="15">
        <v>0.24240003615757574</v>
      </c>
      <c r="AB89" s="15">
        <v>4.9848538488368996E-2</v>
      </c>
      <c r="AC89" s="15">
        <v>-0.23929167450590905</v>
      </c>
      <c r="AD89" s="15">
        <v>0.15474894869045006</v>
      </c>
      <c r="AE89" s="15">
        <v>-5.1727382084039174E-2</v>
      </c>
      <c r="AF89" s="15">
        <v>0.32793698401509025</v>
      </c>
      <c r="AG89" s="15">
        <v>0.25198029780989351</v>
      </c>
      <c r="AH89" s="15">
        <v>0.14148282776064447</v>
      </c>
      <c r="AI89" s="15">
        <v>6.4412741451481278E-2</v>
      </c>
      <c r="AJ89" s="15">
        <v>-5.7280087870868926E-2</v>
      </c>
      <c r="AK89" s="15">
        <v>-0.35045794163819072</v>
      </c>
      <c r="AM89" s="16">
        <v>0.67944561496828604</v>
      </c>
      <c r="AN89" s="16">
        <v>-0.28359270829444189</v>
      </c>
      <c r="AP89" s="17">
        <f t="shared" si="2"/>
        <v>0</v>
      </c>
    </row>
    <row r="90" spans="1:42" x14ac:dyDescent="0.2">
      <c r="A90">
        <v>-0.29623977618152708</v>
      </c>
      <c r="B90">
        <v>2.222941786680396</v>
      </c>
      <c r="C90">
        <v>-0.32755291795570363</v>
      </c>
      <c r="D90">
        <v>-0.36421483088474871</v>
      </c>
      <c r="E90">
        <v>-0.67375409336505265</v>
      </c>
      <c r="F90">
        <v>-0.76382616160253125</v>
      </c>
      <c r="G90">
        <v>-0.45215640138238172</v>
      </c>
      <c r="H90">
        <v>-0.43311900668919517</v>
      </c>
      <c r="I90">
        <v>-0.47915302195879311</v>
      </c>
      <c r="J90">
        <v>-0.56551570879060142</v>
      </c>
      <c r="M90" s="13">
        <v>0</v>
      </c>
      <c r="O90" s="10">
        <f t="shared" si="3"/>
        <v>1</v>
      </c>
      <c r="P90" s="10">
        <f t="shared" si="4"/>
        <v>0</v>
      </c>
      <c r="R90" s="15">
        <v>0.68537323447720444</v>
      </c>
      <c r="S90" s="15">
        <v>-0.54992514591786135</v>
      </c>
      <c r="T90" s="15">
        <v>-0.14526854389843394</v>
      </c>
      <c r="U90" s="15">
        <v>-2.4410578961225806E-2</v>
      </c>
      <c r="V90" s="15">
        <v>-0.63241547737050863</v>
      </c>
      <c r="W90" s="15">
        <v>-0.55491979266127356</v>
      </c>
      <c r="X90" s="15">
        <v>0.64216442806338303</v>
      </c>
      <c r="Y90" s="15">
        <v>0.50859077264005159</v>
      </c>
      <c r="Z90" s="15">
        <v>-0.1889374981449958</v>
      </c>
      <c r="AA90" s="15">
        <v>-0.35211634608645753</v>
      </c>
      <c r="AB90" s="15">
        <v>0.14985624973075873</v>
      </c>
      <c r="AC90" s="15">
        <v>0.13753812175069355</v>
      </c>
      <c r="AD90" s="15">
        <v>0.57675652969937941</v>
      </c>
      <c r="AE90" s="15">
        <v>-0.42888015244876926</v>
      </c>
      <c r="AF90" s="15">
        <v>0.47904257573454379</v>
      </c>
      <c r="AG90" s="15">
        <v>-0.4396122386678496</v>
      </c>
      <c r="AH90" s="15">
        <v>0.44365791357255191</v>
      </c>
      <c r="AI90" s="15">
        <v>0.51875809893893376</v>
      </c>
      <c r="AJ90" s="15">
        <v>0.62868121777262531</v>
      </c>
      <c r="AK90" s="15">
        <v>-0.78301718574609547</v>
      </c>
      <c r="AM90" s="16">
        <v>-0.60104158723713774</v>
      </c>
      <c r="AN90" s="16">
        <v>0.46191373964613686</v>
      </c>
      <c r="AP90" s="17">
        <f t="shared" si="2"/>
        <v>1</v>
      </c>
    </row>
    <row r="91" spans="1:42" x14ac:dyDescent="0.2">
      <c r="A91">
        <v>-0.1083139735969316</v>
      </c>
      <c r="B91">
        <v>0.41853211740358542</v>
      </c>
      <c r="C91">
        <v>-0.12539497073379299</v>
      </c>
      <c r="D91">
        <v>-0.23127797892116361</v>
      </c>
      <c r="E91">
        <v>-5.994263941786665E-2</v>
      </c>
      <c r="F91">
        <v>-0.67698024382141131</v>
      </c>
      <c r="G91">
        <v>-0.68302905322983309</v>
      </c>
      <c r="H91">
        <v>-0.29288998431943969</v>
      </c>
      <c r="I91">
        <v>-0.37510173133752372</v>
      </c>
      <c r="J91">
        <v>-0.7316906546467985</v>
      </c>
      <c r="M91" s="13">
        <v>0</v>
      </c>
      <c r="O91" s="10">
        <f t="shared" si="3"/>
        <v>1</v>
      </c>
      <c r="P91" s="10">
        <f t="shared" si="4"/>
        <v>0</v>
      </c>
      <c r="R91" s="15">
        <v>0.66848980799660418</v>
      </c>
      <c r="S91" s="15">
        <v>-9.6802486912267935E-2</v>
      </c>
      <c r="T91" s="15">
        <v>-0.1703862898556491</v>
      </c>
      <c r="U91" s="15">
        <v>-0.64816257524920307</v>
      </c>
      <c r="V91" s="15">
        <v>-0.1468210556560603</v>
      </c>
      <c r="W91" s="15">
        <v>-0.2426312987304142</v>
      </c>
      <c r="X91" s="15">
        <v>0.26249504008328234</v>
      </c>
      <c r="Y91" s="15">
        <v>0.16322590455120919</v>
      </c>
      <c r="Z91" s="15">
        <v>0.27818168874031096</v>
      </c>
      <c r="AA91" s="15">
        <v>-0.15144480877282893</v>
      </c>
      <c r="AB91" s="15">
        <v>0.30148722689534391</v>
      </c>
      <c r="AC91" s="15">
        <v>0.49212363317541619</v>
      </c>
      <c r="AD91" s="15">
        <v>0.34489968789412079</v>
      </c>
      <c r="AE91" s="15">
        <v>5.4498620475907665E-2</v>
      </c>
      <c r="AF91" s="15">
        <v>5.2530146379133745E-2</v>
      </c>
      <c r="AG91" s="15">
        <v>-0.51725139003988962</v>
      </c>
      <c r="AH91" s="15">
        <v>-5.7245423212640888E-2</v>
      </c>
      <c r="AI91" s="15">
        <v>0.28523972728363817</v>
      </c>
      <c r="AJ91" s="15">
        <v>0.53011242626106814</v>
      </c>
      <c r="AK91" s="15">
        <v>-0.47146504643423459</v>
      </c>
      <c r="AM91" s="16">
        <v>-0.37952467239230309</v>
      </c>
      <c r="AN91" s="16">
        <v>0.65436138110708064</v>
      </c>
      <c r="AP91" s="17">
        <f t="shared" si="2"/>
        <v>1</v>
      </c>
    </row>
    <row r="92" spans="1:42" x14ac:dyDescent="0.2">
      <c r="A92">
        <v>-0.17949798972746039</v>
      </c>
      <c r="B92">
        <v>1.038797941217489</v>
      </c>
      <c r="C92">
        <v>-0.23205499196743901</v>
      </c>
      <c r="D92">
        <v>-0.2645121919120596</v>
      </c>
      <c r="E92">
        <v>-0.69791258231846898</v>
      </c>
      <c r="F92">
        <v>-0.76543671357279452</v>
      </c>
      <c r="G92">
        <v>-0.66417190506569246</v>
      </c>
      <c r="H92">
        <v>-0.23102423915631259</v>
      </c>
      <c r="I92">
        <v>-0.30244218602233242</v>
      </c>
      <c r="J92">
        <v>-0.68256975870188485</v>
      </c>
      <c r="M92" s="13">
        <v>0</v>
      </c>
      <c r="O92" s="10">
        <f t="shared" si="3"/>
        <v>1</v>
      </c>
      <c r="P92" s="10">
        <f t="shared" si="4"/>
        <v>0</v>
      </c>
      <c r="R92" s="15">
        <v>0.47266449786747378</v>
      </c>
      <c r="S92" s="15">
        <v>-0.55603955647658154</v>
      </c>
      <c r="T92" s="15">
        <v>-0.37462071350420778</v>
      </c>
      <c r="U92" s="15">
        <v>-0.38308252333286674</v>
      </c>
      <c r="V92" s="15">
        <v>-0.53807297288460776</v>
      </c>
      <c r="W92" s="15">
        <v>-0.44131520146137621</v>
      </c>
      <c r="X92" s="15">
        <v>0.68373596845612472</v>
      </c>
      <c r="Y92" s="15">
        <v>0.49510177295623192</v>
      </c>
      <c r="Z92" s="15">
        <v>-0.16574460324249002</v>
      </c>
      <c r="AA92" s="15">
        <v>-0.38199151432900225</v>
      </c>
      <c r="AB92" s="15">
        <v>0.2747301066667488</v>
      </c>
      <c r="AC92" s="15">
        <v>-6.2746565495178513E-3</v>
      </c>
      <c r="AD92" s="15">
        <v>0.63685204246195359</v>
      </c>
      <c r="AE92" s="15">
        <v>-0.47785801069280054</v>
      </c>
      <c r="AF92" s="15">
        <v>0.34044883283239713</v>
      </c>
      <c r="AG92" s="15">
        <v>-0.29900870730406526</v>
      </c>
      <c r="AH92" s="15">
        <v>0.30768512475494458</v>
      </c>
      <c r="AI92" s="15">
        <v>0.54934087572022017</v>
      </c>
      <c r="AJ92" s="15">
        <v>0.6567297290341757</v>
      </c>
      <c r="AK92" s="15">
        <v>-0.5112080883924206</v>
      </c>
      <c r="AM92" s="16">
        <v>7.1193112623442564E-2</v>
      </c>
      <c r="AN92" s="16">
        <v>-0.35599016877909878</v>
      </c>
      <c r="AP92" s="17">
        <f t="shared" si="2"/>
        <v>0</v>
      </c>
    </row>
    <row r="93" spans="1:42" x14ac:dyDescent="0.2">
      <c r="A93">
        <v>-1.1191270026504401</v>
      </c>
      <c r="B93">
        <v>-0.64793283658474654</v>
      </c>
      <c r="C93">
        <v>-1.13659811777836</v>
      </c>
      <c r="D93">
        <v>-0.97589625101891764</v>
      </c>
      <c r="E93">
        <v>-1.0236805141287679</v>
      </c>
      <c r="F93">
        <v>-1.0085061724694531</v>
      </c>
      <c r="G93">
        <v>-1.1466855543738039</v>
      </c>
      <c r="H93">
        <v>-1.0765227563857189</v>
      </c>
      <c r="I93">
        <v>-0.91070134085751531</v>
      </c>
      <c r="J93">
        <v>-1.398182081692678</v>
      </c>
      <c r="M93" s="13">
        <v>0</v>
      </c>
      <c r="O93" s="10">
        <f t="shared" si="3"/>
        <v>1</v>
      </c>
      <c r="P93" s="10">
        <f t="shared" si="4"/>
        <v>0</v>
      </c>
      <c r="R93" s="15">
        <v>6.1912798959429617E-2</v>
      </c>
      <c r="S93" s="15">
        <v>-0.27466979637919597</v>
      </c>
      <c r="T93" s="15">
        <v>-0.32390011499019866</v>
      </c>
      <c r="U93" s="15">
        <v>-0.16190114366923183</v>
      </c>
      <c r="V93" s="15">
        <v>-0.47341846398690374</v>
      </c>
      <c r="W93" s="15">
        <v>0.13584397654408009</v>
      </c>
      <c r="X93" s="15">
        <v>0.38785102965462731</v>
      </c>
      <c r="Y93" s="15">
        <v>-3.1270798318096441E-2</v>
      </c>
      <c r="Z93" s="15">
        <v>-0.37105265307763979</v>
      </c>
      <c r="AA93" s="15">
        <v>-0.25358712067381739</v>
      </c>
      <c r="AB93" s="15">
        <v>0.46896428929205169</v>
      </c>
      <c r="AC93" s="15">
        <v>-0.23422162689053716</v>
      </c>
      <c r="AD93" s="15">
        <v>0.30767060526984458</v>
      </c>
      <c r="AE93" s="15">
        <v>-0.34517994205139535</v>
      </c>
      <c r="AF93" s="15">
        <v>-5.205354159040506E-2</v>
      </c>
      <c r="AG93" s="15">
        <v>-0.26108403957367032</v>
      </c>
      <c r="AH93" s="15">
        <v>0.1391466258996796</v>
      </c>
      <c r="AI93" s="15">
        <v>0.27221252409106711</v>
      </c>
      <c r="AJ93" s="15">
        <v>0.38473341035585584</v>
      </c>
      <c r="AK93" s="15">
        <v>-7.5558859531515588E-2</v>
      </c>
      <c r="AM93" s="16">
        <v>0.65240275307683027</v>
      </c>
      <c r="AN93" s="16">
        <v>-0.22233911177786361</v>
      </c>
      <c r="AP93" s="17">
        <f t="shared" si="2"/>
        <v>0</v>
      </c>
    </row>
    <row r="94" spans="1:42" x14ac:dyDescent="0.2">
      <c r="A94">
        <v>-1.1362111665217669</v>
      </c>
      <c r="B94">
        <v>-0.59154503441984707</v>
      </c>
      <c r="C94">
        <v>-1.114273927287597</v>
      </c>
      <c r="D94">
        <v>-0.98764282630018252</v>
      </c>
      <c r="E94">
        <v>-0.45279683670649862</v>
      </c>
      <c r="F94">
        <v>-0.59397487304630381</v>
      </c>
      <c r="G94">
        <v>-0.66544603669840474</v>
      </c>
      <c r="H94">
        <v>-1.163134799614097</v>
      </c>
      <c r="I94">
        <v>-0.95919982377420854</v>
      </c>
      <c r="J94">
        <v>-0.50952684563150541</v>
      </c>
      <c r="M94" s="13">
        <v>0</v>
      </c>
      <c r="O94" s="10">
        <f t="shared" si="3"/>
        <v>1</v>
      </c>
      <c r="P94" s="10">
        <f t="shared" si="4"/>
        <v>0</v>
      </c>
      <c r="R94" s="15">
        <v>-0.35785155673524699</v>
      </c>
      <c r="S94" s="15">
        <v>-0.4383146157557814</v>
      </c>
      <c r="T94" s="15">
        <v>-0.31439082276862335</v>
      </c>
      <c r="U94" s="15">
        <v>9.939141086233888E-2</v>
      </c>
      <c r="V94" s="15">
        <v>-0.44899858648140673</v>
      </c>
      <c r="W94" s="15">
        <v>0.25507827752032447</v>
      </c>
      <c r="X94" s="15">
        <v>0.56126811605858473</v>
      </c>
      <c r="Y94" s="15">
        <v>0.17502122338875206</v>
      </c>
      <c r="Z94" s="15">
        <v>-0.57112276308464816</v>
      </c>
      <c r="AA94" s="15">
        <v>-0.26562746609419441</v>
      </c>
      <c r="AB94" s="15">
        <v>8.6493384124311179E-2</v>
      </c>
      <c r="AC94" s="15">
        <v>-0.51440256253403316</v>
      </c>
      <c r="AD94" s="15">
        <v>0.38799648877471693</v>
      </c>
      <c r="AE94" s="15">
        <v>-0.560273835872517</v>
      </c>
      <c r="AF94" s="15">
        <v>-6.6960768672280749E-2</v>
      </c>
      <c r="AG94" s="15">
        <v>0.13701782305861002</v>
      </c>
      <c r="AH94" s="15">
        <v>0.22336944561553976</v>
      </c>
      <c r="AI94" s="15">
        <v>0.35724342673204296</v>
      </c>
      <c r="AJ94" s="15">
        <v>0.34912371607497505</v>
      </c>
      <c r="AK94" s="15">
        <v>0.13933562166538777</v>
      </c>
      <c r="AM94" s="16">
        <v>0.19909187748383317</v>
      </c>
      <c r="AN94" s="16">
        <v>-0.82221463055547828</v>
      </c>
      <c r="AP94" s="17">
        <f t="shared" ref="AP94:AP142" si="5">IF(AM94&gt;AN94,0,1)</f>
        <v>0</v>
      </c>
    </row>
    <row r="95" spans="1:42" x14ac:dyDescent="0.2">
      <c r="A95">
        <v>-1.300503875751027</v>
      </c>
      <c r="B95">
        <v>8.5108591558957447E-2</v>
      </c>
      <c r="C95">
        <v>-1.3127111760943799</v>
      </c>
      <c r="D95">
        <v>-1.0882049707812571</v>
      </c>
      <c r="E95">
        <v>-1.0169904710339761</v>
      </c>
      <c r="F95">
        <v>-0.8443537601156953</v>
      </c>
      <c r="G95">
        <v>-1.041697107838319</v>
      </c>
      <c r="H95">
        <v>-1.1425128845597221</v>
      </c>
      <c r="I95">
        <v>-0.94720747163480812</v>
      </c>
      <c r="J95">
        <v>-1.179452256284476</v>
      </c>
      <c r="M95" s="13">
        <v>0</v>
      </c>
      <c r="O95" s="10">
        <f t="shared" si="3"/>
        <v>1</v>
      </c>
      <c r="P95" s="10">
        <f t="shared" si="4"/>
        <v>0</v>
      </c>
      <c r="R95" s="15">
        <v>0.33758838750043674</v>
      </c>
      <c r="S95" s="15">
        <v>-0.48936899275838663</v>
      </c>
      <c r="T95" s="15">
        <v>-7.483372986746209E-2</v>
      </c>
      <c r="U95" s="15">
        <v>0.28273905582121533</v>
      </c>
      <c r="V95" s="15">
        <v>-0.18860598807528847</v>
      </c>
      <c r="W95" s="15">
        <v>-0.53837064727217909</v>
      </c>
      <c r="X95" s="15">
        <v>0.43626012137834691</v>
      </c>
      <c r="Y95" s="15">
        <v>0.57954363821258059</v>
      </c>
      <c r="Z95" s="15">
        <v>0.14865352791801817</v>
      </c>
      <c r="AA95" s="15">
        <v>-0.14390783143748442</v>
      </c>
      <c r="AB95" s="15">
        <v>-0.34655867476527991</v>
      </c>
      <c r="AC95" s="15">
        <v>4.5470303891160989E-2</v>
      </c>
      <c r="AD95" s="15">
        <v>0.43737076008525899</v>
      </c>
      <c r="AE95" s="15">
        <v>-0.3254458683932977</v>
      </c>
      <c r="AF95" s="15">
        <v>0.45899710186680476</v>
      </c>
      <c r="AG95" s="15">
        <v>4.0258565145751747E-2</v>
      </c>
      <c r="AH95" s="15">
        <v>0.34299387995889463</v>
      </c>
      <c r="AI95" s="15">
        <v>0.44423311316537628</v>
      </c>
      <c r="AJ95" s="15">
        <v>0.32930674245872055</v>
      </c>
      <c r="AK95" s="15">
        <v>-0.54496072933507511</v>
      </c>
      <c r="AM95" s="16">
        <v>-0.67546978455280138</v>
      </c>
      <c r="AN95" s="16">
        <v>0.3876469161567222</v>
      </c>
      <c r="AP95" s="17">
        <f t="shared" si="5"/>
        <v>1</v>
      </c>
    </row>
    <row r="96" spans="1:42" x14ac:dyDescent="0.2">
      <c r="A96">
        <v>-0.97675897038938231</v>
      </c>
      <c r="B96">
        <v>1.2790590113114131</v>
      </c>
      <c r="C96">
        <v>-0.98859700304330056</v>
      </c>
      <c r="D96">
        <v>-0.87075007715978869</v>
      </c>
      <c r="E96">
        <v>-0.7248585892280488</v>
      </c>
      <c r="F96">
        <v>-0.94210187584936667</v>
      </c>
      <c r="G96">
        <v>-1.0787743383502439</v>
      </c>
      <c r="H96">
        <v>-0.7094526684178305</v>
      </c>
      <c r="I96">
        <v>-0.69783709038315578</v>
      </c>
      <c r="J96">
        <v>-1.266346971907393</v>
      </c>
      <c r="M96" s="13">
        <v>0</v>
      </c>
      <c r="O96" s="10">
        <f t="shared" si="3"/>
        <v>1</v>
      </c>
      <c r="P96" s="10">
        <f t="shared" si="4"/>
        <v>0</v>
      </c>
      <c r="R96" s="15">
        <v>0.42763470304525047</v>
      </c>
      <c r="S96" s="15">
        <v>0.66357930913455399</v>
      </c>
      <c r="T96" s="15">
        <v>0.4594111761927781</v>
      </c>
      <c r="U96" s="15">
        <v>0.12998685815374555</v>
      </c>
      <c r="V96" s="15">
        <v>0.84352327226421586</v>
      </c>
      <c r="W96" s="15">
        <v>-0.36705757002128286</v>
      </c>
      <c r="X96" s="15">
        <v>-0.83350333505386176</v>
      </c>
      <c r="Y96" s="15">
        <v>-0.28278943710287774</v>
      </c>
      <c r="Z96" s="15">
        <v>0.87437644226036415</v>
      </c>
      <c r="AA96" s="15">
        <v>0.6139395133542922</v>
      </c>
      <c r="AB96" s="15">
        <v>-0.53446367413639817</v>
      </c>
      <c r="AC96" s="15">
        <v>0.68430988773353651</v>
      </c>
      <c r="AD96" s="15">
        <v>-0.62189681918925943</v>
      </c>
      <c r="AE96" s="15">
        <v>0.80156064504599434</v>
      </c>
      <c r="AF96" s="15">
        <v>7.1027610345656286E-2</v>
      </c>
      <c r="AG96" s="15">
        <v>0.28540603447544732</v>
      </c>
      <c r="AH96" s="15">
        <v>-0.4498585879576299</v>
      </c>
      <c r="AI96" s="15">
        <v>-0.5267467065699647</v>
      </c>
      <c r="AJ96" s="15">
        <v>-0.69901840890803679</v>
      </c>
      <c r="AK96" s="15">
        <v>7.604609096223254E-2</v>
      </c>
      <c r="AM96" s="16">
        <v>0.57812578430488071</v>
      </c>
      <c r="AN96" s="16">
        <v>-0.47823627238527083</v>
      </c>
      <c r="AP96" s="17">
        <f t="shared" si="5"/>
        <v>0</v>
      </c>
    </row>
    <row r="97" spans="1:42" x14ac:dyDescent="0.2">
      <c r="A97">
        <v>-0.96536952780849794</v>
      </c>
      <c r="B97">
        <v>0.60976031604976944</v>
      </c>
      <c r="C97">
        <v>-1.004306618573837</v>
      </c>
      <c r="D97">
        <v>-0.8739015973572013</v>
      </c>
      <c r="E97">
        <v>-1.166215598953924</v>
      </c>
      <c r="F97">
        <v>-1.1338814489237941</v>
      </c>
      <c r="G97">
        <v>-1.2867126208088751</v>
      </c>
      <c r="H97">
        <v>-0.99197290466277832</v>
      </c>
      <c r="I97">
        <v>-0.86237921606051893</v>
      </c>
      <c r="J97">
        <v>-1.753674036844165</v>
      </c>
      <c r="M97" s="13">
        <v>0</v>
      </c>
      <c r="O97" s="10">
        <f t="shared" si="3"/>
        <v>1</v>
      </c>
      <c r="P97" s="10">
        <f t="shared" si="4"/>
        <v>0</v>
      </c>
      <c r="R97" s="15">
        <v>1.1425154639872672E-2</v>
      </c>
      <c r="S97" s="15">
        <v>-0.47143013609220463</v>
      </c>
      <c r="T97" s="15">
        <v>-0.38283100842792744</v>
      </c>
      <c r="U97" s="15">
        <v>-9.5032039227680595E-2</v>
      </c>
      <c r="V97" s="15">
        <v>-0.69206846993977977</v>
      </c>
      <c r="W97" s="15">
        <v>0.32153219216422557</v>
      </c>
      <c r="X97" s="15">
        <v>0.72638562684685815</v>
      </c>
      <c r="Y97" s="15">
        <v>3.27898696053502E-2</v>
      </c>
      <c r="Z97" s="15">
        <v>-0.77663727736092547</v>
      </c>
      <c r="AA97" s="15">
        <v>-0.32418199806102793</v>
      </c>
      <c r="AB97" s="15">
        <v>0.40101326241508739</v>
      </c>
      <c r="AC97" s="15">
        <v>-0.50560337002848632</v>
      </c>
      <c r="AD97" s="15">
        <v>0.53194030715691842</v>
      </c>
      <c r="AE97" s="15">
        <v>-0.62156066385014841</v>
      </c>
      <c r="AF97" s="15">
        <v>-6.3398531110649706E-2</v>
      </c>
      <c r="AG97" s="15">
        <v>-8.3059790743631443E-2</v>
      </c>
      <c r="AH97" s="15">
        <v>0.27282683158126214</v>
      </c>
      <c r="AI97" s="15">
        <v>0.42700250619306646</v>
      </c>
      <c r="AJ97" s="15">
        <v>0.57338461021259135</v>
      </c>
      <c r="AK97" s="15">
        <v>-0.13268711172922698</v>
      </c>
      <c r="AM97" s="16">
        <v>0.56094706285273432</v>
      </c>
      <c r="AN97" s="16">
        <v>-5.0791809523442283E-2</v>
      </c>
      <c r="AP97" s="17">
        <f t="shared" si="5"/>
        <v>0</v>
      </c>
    </row>
    <row r="98" spans="1:42" x14ac:dyDescent="0.2">
      <c r="A98">
        <v>-0.88849079038752643</v>
      </c>
      <c r="B98">
        <v>0.84511809899891888</v>
      </c>
      <c r="C98">
        <v>-0.88111015993962649</v>
      </c>
      <c r="D98">
        <v>-0.82261776869021486</v>
      </c>
      <c r="E98">
        <v>-0.42901001681390399</v>
      </c>
      <c r="F98">
        <v>-0.53624277934302012</v>
      </c>
      <c r="G98">
        <v>-0.71156960180258655</v>
      </c>
      <c r="H98">
        <v>-0.91773401046702574</v>
      </c>
      <c r="I98">
        <v>-0.8195241929741317</v>
      </c>
      <c r="J98">
        <v>-0.79618982500607693</v>
      </c>
      <c r="M98" s="13">
        <v>0</v>
      </c>
      <c r="O98" s="10">
        <f t="shared" si="3"/>
        <v>1</v>
      </c>
      <c r="P98" s="10">
        <f t="shared" si="4"/>
        <v>0</v>
      </c>
      <c r="R98" s="15">
        <v>0.47786171342257666</v>
      </c>
      <c r="S98" s="15">
        <v>0.84906559504663726</v>
      </c>
      <c r="T98" s="15">
        <v>0.54820083094127325</v>
      </c>
      <c r="U98" s="15">
        <v>-6.6682497102321617E-2</v>
      </c>
      <c r="V98" s="15">
        <v>0.8591500692097761</v>
      </c>
      <c r="W98" s="15">
        <v>-0.17160591787726592</v>
      </c>
      <c r="X98" s="15">
        <v>-0.92530433685318092</v>
      </c>
      <c r="Y98" s="15">
        <v>-0.74338142038740351</v>
      </c>
      <c r="Z98" s="15">
        <v>0.82435344231564067</v>
      </c>
      <c r="AA98" s="15">
        <v>0.70669696230839629</v>
      </c>
      <c r="AB98" s="15">
        <v>9.5743601572954723E-2</v>
      </c>
      <c r="AC98" s="15">
        <v>0.74975856451594347</v>
      </c>
      <c r="AD98" s="15">
        <v>-0.79553435415043217</v>
      </c>
      <c r="AE98" s="15">
        <v>0.90761607993214122</v>
      </c>
      <c r="AF98" s="15">
        <v>-7.8909676976311183E-2</v>
      </c>
      <c r="AG98" s="15">
        <v>9.2193900077157678E-2</v>
      </c>
      <c r="AH98" s="15">
        <v>-0.59521262057731383</v>
      </c>
      <c r="AI98" s="15">
        <v>-0.76732170809389</v>
      </c>
      <c r="AJ98" s="15">
        <v>-0.82462880871796995</v>
      </c>
      <c r="AK98" s="15">
        <v>0.259628400772839</v>
      </c>
      <c r="AM98" s="16">
        <v>0.50856763488478229</v>
      </c>
      <c r="AN98" s="16">
        <v>-0.44756825276134454</v>
      </c>
      <c r="AP98" s="17">
        <f t="shared" si="5"/>
        <v>0</v>
      </c>
    </row>
    <row r="99" spans="1:42" x14ac:dyDescent="0.2">
      <c r="A99">
        <v>-0.42152364457125813</v>
      </c>
      <c r="B99">
        <v>2.5588169560974121</v>
      </c>
      <c r="C99">
        <v>-0.47348697801569217</v>
      </c>
      <c r="D99">
        <v>-0.45159789090391572</v>
      </c>
      <c r="E99">
        <v>-1.1649147572410481</v>
      </c>
      <c r="F99">
        <v>-0.88647588856873494</v>
      </c>
      <c r="G99">
        <v>-0.90472795732175681</v>
      </c>
      <c r="H99">
        <v>-0.53622858196107404</v>
      </c>
      <c r="I99">
        <v>-0.54070200573306926</v>
      </c>
      <c r="J99">
        <v>-0.7834990160233487</v>
      </c>
      <c r="M99" s="13">
        <v>0</v>
      </c>
      <c r="O99" s="10">
        <f t="shared" si="3"/>
        <v>1</v>
      </c>
      <c r="P99" s="10">
        <f t="shared" si="4"/>
        <v>0</v>
      </c>
      <c r="R99" s="15">
        <v>-0.39114753656981405</v>
      </c>
      <c r="S99" s="15">
        <v>0.27454533646229101</v>
      </c>
      <c r="T99" s="15">
        <v>0.18096225031216204</v>
      </c>
      <c r="U99" s="15">
        <v>-3.8317244948732718E-2</v>
      </c>
      <c r="V99" s="15">
        <v>0.15449591801735069</v>
      </c>
      <c r="W99" s="15">
        <v>0.64743921453194453</v>
      </c>
      <c r="X99" s="15">
        <v>-0.2046874486739273</v>
      </c>
      <c r="Y99" s="15">
        <v>-0.47147757430700804</v>
      </c>
      <c r="Z99" s="15">
        <v>-0.41999511832056524</v>
      </c>
      <c r="AA99" s="15">
        <v>0.1398561512781559</v>
      </c>
      <c r="AB99" s="15">
        <v>-5.0961486588539995E-2</v>
      </c>
      <c r="AC99" s="15">
        <v>-0.14573033644906935</v>
      </c>
      <c r="AD99" s="15">
        <v>-0.30239061038996634</v>
      </c>
      <c r="AE99" s="15">
        <v>7.3709217765145413E-2</v>
      </c>
      <c r="AF99" s="15">
        <v>-0.50078092871637492</v>
      </c>
      <c r="AG99" s="15">
        <v>8.3947662392941075E-2</v>
      </c>
      <c r="AH99" s="15">
        <v>-0.23973415648479746</v>
      </c>
      <c r="AI99" s="15">
        <v>-0.238530425791533</v>
      </c>
      <c r="AJ99" s="15">
        <v>-0.22242205288164973</v>
      </c>
      <c r="AK99" s="15">
        <v>0.41100910501366938</v>
      </c>
      <c r="AM99" s="16">
        <v>1.701336728833543E-2</v>
      </c>
      <c r="AN99" s="16">
        <v>-0.88447555200559869</v>
      </c>
      <c r="AP99" s="17">
        <f t="shared" si="5"/>
        <v>0</v>
      </c>
    </row>
    <row r="100" spans="1:42" x14ac:dyDescent="0.2">
      <c r="A100">
        <v>-1.4001614983337669</v>
      </c>
      <c r="B100">
        <v>0.72253592037957037</v>
      </c>
      <c r="C100">
        <v>-1.3970470068372629</v>
      </c>
      <c r="D100">
        <v>-1.150375869221123</v>
      </c>
      <c r="E100">
        <v>-0.91013561604771098</v>
      </c>
      <c r="F100">
        <v>-0.63882255098748131</v>
      </c>
      <c r="G100">
        <v>-0.96002527018146644</v>
      </c>
      <c r="H100">
        <v>-1.3662606628996981</v>
      </c>
      <c r="I100">
        <v>-1.0678364255076009</v>
      </c>
      <c r="J100">
        <v>-1.3708595164710391</v>
      </c>
      <c r="M100" s="13">
        <v>0</v>
      </c>
      <c r="O100" s="10">
        <f t="shared" si="3"/>
        <v>1</v>
      </c>
      <c r="P100" s="10">
        <f t="shared" si="4"/>
        <v>0</v>
      </c>
      <c r="R100" s="15">
        <v>-0.3903107360983547</v>
      </c>
      <c r="S100" s="15">
        <v>0.11214586937849136</v>
      </c>
      <c r="T100" s="15">
        <v>-0.42106287604946807</v>
      </c>
      <c r="U100" s="15">
        <v>0.41025496463540745</v>
      </c>
      <c r="V100" s="15">
        <v>-0.27697254362224838</v>
      </c>
      <c r="W100" s="15">
        <v>0.72902833955775237</v>
      </c>
      <c r="X100" s="15">
        <v>0.22677712829077007</v>
      </c>
      <c r="Y100" s="15">
        <v>-0.71728645088630938</v>
      </c>
      <c r="Z100" s="15">
        <v>-0.84521168215293196</v>
      </c>
      <c r="AA100" s="15">
        <v>0.33128611766739147</v>
      </c>
      <c r="AB100" s="15">
        <v>0.55229906985545973</v>
      </c>
      <c r="AC100" s="15">
        <v>-0.73395717774635394</v>
      </c>
      <c r="AD100" s="15">
        <v>6.9990244276649599E-2</v>
      </c>
      <c r="AE100" s="15">
        <v>-0.2198990738837848</v>
      </c>
      <c r="AF100" s="15">
        <v>-0.32347972717291668</v>
      </c>
      <c r="AG100" s="15">
        <v>0.514770445426465</v>
      </c>
      <c r="AH100" s="15">
        <v>-0.16359192129851921</v>
      </c>
      <c r="AI100" s="15">
        <v>-5.5504057730829386E-2</v>
      </c>
      <c r="AJ100" s="15">
        <v>-0.14206587514687585</v>
      </c>
      <c r="AK100" s="15">
        <v>0.59518892939463175</v>
      </c>
      <c r="AM100" s="16">
        <v>0.50817111295535766</v>
      </c>
      <c r="AN100" s="16">
        <v>3.5907699425984388E-2</v>
      </c>
      <c r="AP100" s="17">
        <f t="shared" si="5"/>
        <v>0</v>
      </c>
    </row>
    <row r="101" spans="1:42" x14ac:dyDescent="0.2">
      <c r="A101">
        <v>-0.39020267747382509</v>
      </c>
      <c r="B101">
        <v>2.4337831339056759</v>
      </c>
      <c r="C101">
        <v>-0.42594472048906679</v>
      </c>
      <c r="D101">
        <v>-0.43326177339169708</v>
      </c>
      <c r="E101">
        <v>-0.86943785388772499</v>
      </c>
      <c r="F101">
        <v>-0.36639149078679262</v>
      </c>
      <c r="G101">
        <v>-0.68965453771993657</v>
      </c>
      <c r="H101">
        <v>-0.53210419895019867</v>
      </c>
      <c r="I101">
        <v>-0.53893842453609864</v>
      </c>
      <c r="J101">
        <v>-0.78424553419880316</v>
      </c>
      <c r="M101" s="13">
        <v>0</v>
      </c>
      <c r="O101" s="10">
        <f t="shared" si="3"/>
        <v>1</v>
      </c>
      <c r="P101" s="10">
        <f t="shared" si="4"/>
        <v>0</v>
      </c>
      <c r="R101" s="15">
        <v>-0.95314373326910928</v>
      </c>
      <c r="S101" s="15">
        <v>-0.8381005857862347</v>
      </c>
      <c r="T101" s="15">
        <v>-0.74382375161641867</v>
      </c>
      <c r="U101" s="15">
        <v>-4.0969689871253573E-2</v>
      </c>
      <c r="V101" s="15">
        <v>-0.8700119078085996</v>
      </c>
      <c r="W101" s="15">
        <v>0.87061273142508699</v>
      </c>
      <c r="X101" s="15">
        <v>0.90704340601892797</v>
      </c>
      <c r="Y101" s="15">
        <v>0.45156060149266636</v>
      </c>
      <c r="Z101" s="15">
        <v>-0.90328041057714636</v>
      </c>
      <c r="AA101" s="15">
        <v>-0.81540405868805554</v>
      </c>
      <c r="AB101" s="15">
        <v>0.25437470125157902</v>
      </c>
      <c r="AC101" s="15">
        <v>-0.93179867784216963</v>
      </c>
      <c r="AD101" s="15">
        <v>0.65938921174982912</v>
      </c>
      <c r="AE101" s="15">
        <v>-0.95804400768651632</v>
      </c>
      <c r="AF101" s="15">
        <v>-0.69229874869930264</v>
      </c>
      <c r="AG101" s="15">
        <v>0.15347051446836871</v>
      </c>
      <c r="AH101" s="15">
        <v>0.51348811456912613</v>
      </c>
      <c r="AI101" s="15">
        <v>0.71566627425451979</v>
      </c>
      <c r="AJ101" s="15">
        <v>0.74925441155355332</v>
      </c>
      <c r="AK101" s="15">
        <v>0.80809996265245754</v>
      </c>
      <c r="AM101" s="16">
        <v>1.0283821152144632</v>
      </c>
      <c r="AN101" s="16">
        <v>-0.13581017375542342</v>
      </c>
      <c r="AP101" s="17">
        <f t="shared" si="5"/>
        <v>0</v>
      </c>
    </row>
    <row r="102" spans="1:42" x14ac:dyDescent="0.2">
      <c r="A102">
        <v>-1.1276690845861039</v>
      </c>
      <c r="B102">
        <v>2.1126178259229831</v>
      </c>
      <c r="C102">
        <v>-1.121715324117851</v>
      </c>
      <c r="D102">
        <v>-0.98592381528341222</v>
      </c>
      <c r="E102">
        <v>-0.52861732511414383</v>
      </c>
      <c r="F102">
        <v>-0.39067365895383888</v>
      </c>
      <c r="G102">
        <v>-0.58899813873567242</v>
      </c>
      <c r="H102">
        <v>-1.16107260810866</v>
      </c>
      <c r="I102">
        <v>-0.95884710753481439</v>
      </c>
      <c r="J102">
        <v>-0.39097975936931267</v>
      </c>
      <c r="M102" s="13">
        <v>0</v>
      </c>
      <c r="O102" s="10">
        <f t="shared" si="3"/>
        <v>1</v>
      </c>
      <c r="P102" s="10">
        <f t="shared" si="4"/>
        <v>0</v>
      </c>
      <c r="R102" s="15">
        <v>-0.95330346149814826</v>
      </c>
      <c r="S102" s="15">
        <v>-0.37198724439452474</v>
      </c>
      <c r="T102" s="15">
        <v>-0.70766337665782753</v>
      </c>
      <c r="U102" s="15">
        <v>-0.37870462134737432</v>
      </c>
      <c r="V102" s="15">
        <v>-0.84721689407979961</v>
      </c>
      <c r="W102" s="15">
        <v>0.93065156411265537</v>
      </c>
      <c r="X102" s="15">
        <v>0.79945951171986629</v>
      </c>
      <c r="Y102" s="15">
        <v>-0.36741098501601049</v>
      </c>
      <c r="Z102" s="15">
        <v>-0.96664610235787563</v>
      </c>
      <c r="AA102" s="15">
        <v>-0.62267331542528392</v>
      </c>
      <c r="AB102" s="15">
        <v>0.65036553648681317</v>
      </c>
      <c r="AC102" s="15">
        <v>-0.95251237823619006</v>
      </c>
      <c r="AD102" s="15">
        <v>0.33839698491113418</v>
      </c>
      <c r="AE102" s="15">
        <v>-0.86247128756471103</v>
      </c>
      <c r="AF102" s="15">
        <v>-0.76531944763215543</v>
      </c>
      <c r="AG102" s="15">
        <v>0.27140993825893589</v>
      </c>
      <c r="AH102" s="15">
        <v>4.1144257179393594E-2</v>
      </c>
      <c r="AI102" s="15">
        <v>0.14645901755954457</v>
      </c>
      <c r="AJ102" s="15">
        <v>0.49882467189489837</v>
      </c>
      <c r="AK102" s="15">
        <v>0.9159475759030743</v>
      </c>
      <c r="AM102" s="16">
        <v>0.68202319999320216</v>
      </c>
      <c r="AN102" s="16">
        <v>-0.26454182825137001</v>
      </c>
      <c r="AP102" s="17">
        <f t="shared" si="5"/>
        <v>0</v>
      </c>
    </row>
    <row r="103" spans="1:42" x14ac:dyDescent="0.2">
      <c r="A103">
        <v>-1.164684772973978</v>
      </c>
      <c r="B103">
        <v>0.1463996808686317</v>
      </c>
      <c r="C103">
        <v>-1.160575952009179</v>
      </c>
      <c r="D103">
        <v>-1.013714493387869</v>
      </c>
      <c r="E103">
        <v>-0.55723584279742155</v>
      </c>
      <c r="F103">
        <v>-1.0716274208424641</v>
      </c>
      <c r="G103">
        <v>-1.0023264403875121</v>
      </c>
      <c r="H103">
        <v>-1.2002542467119739</v>
      </c>
      <c r="I103">
        <v>-0.97701199386361215</v>
      </c>
      <c r="J103">
        <v>-1.4204283233212249</v>
      </c>
      <c r="M103" s="13">
        <v>0</v>
      </c>
      <c r="O103" s="10">
        <f t="shared" si="3"/>
        <v>1</v>
      </c>
      <c r="P103" s="10">
        <f t="shared" si="4"/>
        <v>0</v>
      </c>
      <c r="R103" s="15">
        <v>0.26052448469920736</v>
      </c>
      <c r="S103" s="15">
        <v>-0.49246473579464595</v>
      </c>
      <c r="T103" s="15">
        <v>-0.45830802758123973</v>
      </c>
      <c r="U103" s="15">
        <v>-0.55707694523564566</v>
      </c>
      <c r="V103" s="15">
        <v>-0.58756121392256599</v>
      </c>
      <c r="W103" s="15">
        <v>-0.12446582419513359</v>
      </c>
      <c r="X103" s="15">
        <v>0.75913287561796772</v>
      </c>
      <c r="Y103" s="15">
        <v>0.34216904522478275</v>
      </c>
      <c r="Z103" s="15">
        <v>-0.53135993081008326</v>
      </c>
      <c r="AA103" s="15">
        <v>-0.36980266746682272</v>
      </c>
      <c r="AB103" s="15">
        <v>0.36403864297416189</v>
      </c>
      <c r="AC103" s="15">
        <v>-0.25510137273696765</v>
      </c>
      <c r="AD103" s="15">
        <v>0.6541184089936749</v>
      </c>
      <c r="AE103" s="15">
        <v>-0.53688008246625962</v>
      </c>
      <c r="AF103" s="15">
        <v>0.14337679082794352</v>
      </c>
      <c r="AG103" s="15">
        <v>-0.15646510411394515</v>
      </c>
      <c r="AH103" s="15">
        <v>0.18233633562588875</v>
      </c>
      <c r="AI103" s="15">
        <v>0.49334195312243251</v>
      </c>
      <c r="AJ103" s="15">
        <v>0.6822798627563823</v>
      </c>
      <c r="AK103" s="15">
        <v>-0.22403664942327456</v>
      </c>
      <c r="AM103" s="16">
        <v>0.81444385572189371</v>
      </c>
      <c r="AN103" s="16">
        <v>-0.27675933678179127</v>
      </c>
      <c r="AP103" s="17">
        <f t="shared" si="5"/>
        <v>0</v>
      </c>
    </row>
    <row r="104" spans="1:42" x14ac:dyDescent="0.2">
      <c r="A104">
        <v>-1.3745352525267771</v>
      </c>
      <c r="B104">
        <v>2.178812202377431</v>
      </c>
      <c r="C104">
        <v>-1.3867117334619099</v>
      </c>
      <c r="D104">
        <v>-1.129461235183749</v>
      </c>
      <c r="E104">
        <v>-1.0279547083282179</v>
      </c>
      <c r="F104">
        <v>-1.1338814489237941</v>
      </c>
      <c r="G104">
        <v>-1.2867126208088751</v>
      </c>
      <c r="H104">
        <v>-1.233249310798975</v>
      </c>
      <c r="I104">
        <v>-1.0064637998530219</v>
      </c>
      <c r="J104">
        <v>-1.753674036844165</v>
      </c>
      <c r="M104" s="13">
        <v>0</v>
      </c>
      <c r="O104" s="10">
        <f t="shared" si="3"/>
        <v>1</v>
      </c>
      <c r="P104" s="10">
        <f t="shared" si="4"/>
        <v>0</v>
      </c>
      <c r="R104" s="15">
        <v>-0.60550191035857592</v>
      </c>
      <c r="S104" s="15">
        <v>1.059203996272208E-2</v>
      </c>
      <c r="T104" s="15">
        <v>0.14886155687394609</v>
      </c>
      <c r="U104" s="15">
        <v>0.42809165964753526</v>
      </c>
      <c r="V104" s="15">
        <v>0.245556334288342</v>
      </c>
      <c r="W104" s="15">
        <v>0.52750445757102138</v>
      </c>
      <c r="X104" s="15">
        <v>-7.3109958444150885E-2</v>
      </c>
      <c r="Y104" s="15">
        <v>-0.31349841716587246</v>
      </c>
      <c r="Z104" s="15">
        <v>-0.49079328457615506</v>
      </c>
      <c r="AA104" s="15">
        <v>0.20965769049103003</v>
      </c>
      <c r="AB104" s="15">
        <v>-0.33800199162442734</v>
      </c>
      <c r="AC104" s="15">
        <v>-0.4358534761359984</v>
      </c>
      <c r="AD104" s="15">
        <v>-0.18333768905084591</v>
      </c>
      <c r="AE104" s="15">
        <v>-0.14819024691133054</v>
      </c>
      <c r="AF104" s="15">
        <v>-0.31673893197019015</v>
      </c>
      <c r="AG104" s="15">
        <v>0.52501235235055055</v>
      </c>
      <c r="AH104" s="15">
        <v>-7.3932421679356985E-2</v>
      </c>
      <c r="AI104" s="15">
        <v>-9.4797550477156503E-2</v>
      </c>
      <c r="AJ104" s="15">
        <v>-0.3835104600073358</v>
      </c>
      <c r="AK104" s="15">
        <v>0.50073217082278232</v>
      </c>
      <c r="AM104" s="16">
        <v>0.36725622457691431</v>
      </c>
      <c r="AN104" s="16">
        <v>-0.17830700601931992</v>
      </c>
      <c r="AP104" s="17">
        <f t="shared" si="5"/>
        <v>0</v>
      </c>
    </row>
    <row r="105" spans="1:42" x14ac:dyDescent="0.2">
      <c r="A105">
        <v>9.669599285899147E-2</v>
      </c>
      <c r="B105">
        <v>0.90395754473620582</v>
      </c>
      <c r="C105">
        <v>0.14828306824556259</v>
      </c>
      <c r="D105">
        <v>-2.413715140031835E-2</v>
      </c>
      <c r="E105">
        <v>0.51986109546412562</v>
      </c>
      <c r="F105">
        <v>0.1409323798461409</v>
      </c>
      <c r="G105">
        <v>-0.3346814648463165</v>
      </c>
      <c r="H105">
        <v>-0.20421574958562391</v>
      </c>
      <c r="I105">
        <v>-0.29591693559354088</v>
      </c>
      <c r="J105">
        <v>-0.1038688690894683</v>
      </c>
      <c r="M105" s="13">
        <v>0</v>
      </c>
      <c r="O105" s="10">
        <f t="shared" si="3"/>
        <v>1</v>
      </c>
      <c r="P105" s="10">
        <f t="shared" si="4"/>
        <v>0</v>
      </c>
      <c r="R105" s="15">
        <v>-0.51964971187118192</v>
      </c>
      <c r="S105" s="15">
        <v>-0.12975438024398731</v>
      </c>
      <c r="T105" s="15">
        <v>0.17253237368283939</v>
      </c>
      <c r="U105" s="15">
        <v>0.73307468461010095</v>
      </c>
      <c r="V105" s="15">
        <v>0.28412623438529716</v>
      </c>
      <c r="W105" s="15">
        <v>0.44203114307717772</v>
      </c>
      <c r="X105" s="15">
        <v>-7.9953326003675745E-2</v>
      </c>
      <c r="Y105" s="15">
        <v>4.7101054052102943E-2</v>
      </c>
      <c r="Z105" s="15">
        <v>-0.16331524361265992</v>
      </c>
      <c r="AA105" s="15">
        <v>0.21805794461741709</v>
      </c>
      <c r="AB105" s="15">
        <v>-0.67570904930583198</v>
      </c>
      <c r="AC105" s="15">
        <v>-0.34326703566393835</v>
      </c>
      <c r="AD105" s="15">
        <v>-0.15112241370201046</v>
      </c>
      <c r="AE105" s="15">
        <v>-0.21597929019399387</v>
      </c>
      <c r="AF105" s="15">
        <v>-0.19900803133718828</v>
      </c>
      <c r="AG105" s="15">
        <v>0.52242503822053987</v>
      </c>
      <c r="AH105" s="15">
        <v>8.2771754254396993E-2</v>
      </c>
      <c r="AI105" s="15">
        <v>9.0657348634359966E-2</v>
      </c>
      <c r="AJ105" s="15">
        <v>-0.31320532317571675</v>
      </c>
      <c r="AK105" s="15">
        <v>0.23703254218358905</v>
      </c>
      <c r="AM105" s="16">
        <v>0.61776732151382785</v>
      </c>
      <c r="AN105" s="16">
        <v>-0.19510191084114425</v>
      </c>
      <c r="AP105" s="17">
        <f t="shared" si="5"/>
        <v>0</v>
      </c>
    </row>
    <row r="106" spans="1:42" x14ac:dyDescent="0.2">
      <c r="A106">
        <v>-0.78029108586912299</v>
      </c>
      <c r="B106">
        <v>1.2104129912845769</v>
      </c>
      <c r="C106">
        <v>-0.7558466466303444</v>
      </c>
      <c r="D106">
        <v>-0.75070580782198226</v>
      </c>
      <c r="E106">
        <v>-5.4367603505539902E-2</v>
      </c>
      <c r="F106">
        <v>0.24375992871679639</v>
      </c>
      <c r="G106">
        <v>-0.24065055035215571</v>
      </c>
      <c r="H106">
        <v>-0.822873201216897</v>
      </c>
      <c r="I106">
        <v>-0.75321353996803475</v>
      </c>
      <c r="J106">
        <v>-0.31244604731148728</v>
      </c>
      <c r="M106" s="13">
        <v>0</v>
      </c>
      <c r="O106" s="10">
        <f t="shared" si="3"/>
        <v>1</v>
      </c>
      <c r="P106" s="10">
        <f t="shared" si="4"/>
        <v>0</v>
      </c>
      <c r="R106" s="15">
        <v>-0.78909887233978215</v>
      </c>
      <c r="S106" s="15">
        <v>-0.34405530015523916</v>
      </c>
      <c r="T106" s="15">
        <v>-0.13294177342169605</v>
      </c>
      <c r="U106" s="15">
        <v>0.62862894911887035</v>
      </c>
      <c r="V106" s="15">
        <v>7.9609747534332337E-2</v>
      </c>
      <c r="W106" s="15">
        <v>0.80337755732722049</v>
      </c>
      <c r="X106" s="15">
        <v>0.25130835070398105</v>
      </c>
      <c r="Y106" s="15">
        <v>-2.9742574779696104E-2</v>
      </c>
      <c r="Z106" s="15">
        <v>-0.51106935419673849</v>
      </c>
      <c r="AA106" s="15">
        <v>-4.596248010010291E-3</v>
      </c>
      <c r="AB106" s="15">
        <v>-0.54314976417002259</v>
      </c>
      <c r="AC106" s="15">
        <v>-0.60747675906962684</v>
      </c>
      <c r="AD106" s="15">
        <v>3.1489005371919183E-2</v>
      </c>
      <c r="AE106" s="15">
        <v>-0.57642432485684614</v>
      </c>
      <c r="AF106" s="15">
        <v>-0.5714089257100714</v>
      </c>
      <c r="AG106" s="15">
        <v>0.5350903484556323</v>
      </c>
      <c r="AH106" s="15">
        <v>9.9930416498329538E-2</v>
      </c>
      <c r="AI106" s="15">
        <v>0.32210526243115728</v>
      </c>
      <c r="AJ106" s="15">
        <v>-4.828501001825368E-2</v>
      </c>
      <c r="AK106" s="15">
        <v>0.61403487927552847</v>
      </c>
      <c r="AM106" s="16">
        <v>0.63350769877149371</v>
      </c>
      <c r="AN106" s="16">
        <v>-8.8227177511411001E-2</v>
      </c>
      <c r="AP106" s="17">
        <f t="shared" si="5"/>
        <v>0</v>
      </c>
    </row>
    <row r="107" spans="1:42" x14ac:dyDescent="0.2">
      <c r="A107">
        <v>-5.706148198295044E-2</v>
      </c>
      <c r="B107">
        <v>1.9998422215931819</v>
      </c>
      <c r="C107">
        <v>-5.8835810196517749E-2</v>
      </c>
      <c r="D107">
        <v>-0.18658369248513049</v>
      </c>
      <c r="E107">
        <v>0.14075865342589991</v>
      </c>
      <c r="F107">
        <v>-0.5810904572841975</v>
      </c>
      <c r="G107">
        <v>-0.18994011137020991</v>
      </c>
      <c r="H107">
        <v>-0.24133519668350031</v>
      </c>
      <c r="I107">
        <v>-0.34318091167235459</v>
      </c>
      <c r="J107">
        <v>-0.1889719410912942</v>
      </c>
      <c r="M107" s="13">
        <v>0</v>
      </c>
      <c r="O107" s="10">
        <f t="shared" si="3"/>
        <v>1</v>
      </c>
      <c r="P107" s="10">
        <f t="shared" si="4"/>
        <v>0</v>
      </c>
      <c r="R107" s="15">
        <v>-0.1555763403458128</v>
      </c>
      <c r="S107" s="15">
        <v>-0.40747749629576435</v>
      </c>
      <c r="T107" s="15">
        <v>-0.22629017978009755</v>
      </c>
      <c r="U107" s="15">
        <v>0.17374145216272024</v>
      </c>
      <c r="V107" s="15">
        <v>6.5284142055605357E-2</v>
      </c>
      <c r="W107" s="15">
        <v>6.7399019440164187E-2</v>
      </c>
      <c r="X107" s="15">
        <v>0.47818534510123178</v>
      </c>
      <c r="Y107" s="15">
        <v>0.34249384517095044</v>
      </c>
      <c r="Z107" s="15">
        <v>-0.19584011677762098</v>
      </c>
      <c r="AA107" s="15">
        <v>2.8118712289931756E-2</v>
      </c>
      <c r="AB107" s="15">
        <v>-0.42536559490557596</v>
      </c>
      <c r="AC107" s="15">
        <v>-0.26982111313758783</v>
      </c>
      <c r="AD107" s="15">
        <v>0.42083515244024916</v>
      </c>
      <c r="AE107" s="15">
        <v>-0.39991177571840397</v>
      </c>
      <c r="AF107" s="15">
        <v>4.9425889202267446E-2</v>
      </c>
      <c r="AG107" s="15">
        <v>0.44668124067803078</v>
      </c>
      <c r="AH107" s="15">
        <v>0.10252409499200045</v>
      </c>
      <c r="AI107" s="15">
        <v>0.42756691207415748</v>
      </c>
      <c r="AJ107" s="15">
        <v>0.24405129635101128</v>
      </c>
      <c r="AK107" s="15">
        <v>8.5977867423438673E-2</v>
      </c>
      <c r="AM107" s="16">
        <v>-0.5600089414833862</v>
      </c>
      <c r="AN107" s="16">
        <v>0.5295327646055179</v>
      </c>
      <c r="AP107" s="17">
        <f t="shared" si="5"/>
        <v>1</v>
      </c>
    </row>
    <row r="108" spans="1:42" x14ac:dyDescent="0.2">
      <c r="A108">
        <v>-0.86855926587097887</v>
      </c>
      <c r="B108">
        <v>2.5441070946630902</v>
      </c>
      <c r="C108">
        <v>-0.91500985661078504</v>
      </c>
      <c r="D108">
        <v>-0.80084362914445517</v>
      </c>
      <c r="E108">
        <v>-1.290538899798813</v>
      </c>
      <c r="F108">
        <v>-1.1338814489237941</v>
      </c>
      <c r="G108">
        <v>-1.2867126208088751</v>
      </c>
      <c r="H108">
        <v>-0.93835592552140146</v>
      </c>
      <c r="I108">
        <v>-0.81423344938321973</v>
      </c>
      <c r="J108">
        <v>-1.753674036844165</v>
      </c>
      <c r="M108" s="13">
        <v>0</v>
      </c>
      <c r="O108" s="10">
        <f t="shared" si="3"/>
        <v>1</v>
      </c>
      <c r="P108" s="10">
        <f t="shared" si="4"/>
        <v>0</v>
      </c>
      <c r="R108" s="15">
        <v>-0.51755488564022833</v>
      </c>
      <c r="S108" s="15">
        <v>-0.40569383752949317</v>
      </c>
      <c r="T108" s="15">
        <v>-9.9435073413370226E-2</v>
      </c>
      <c r="U108" s="15">
        <v>0.44522742074667793</v>
      </c>
      <c r="V108" s="15">
        <v>5.3648912948579465E-2</v>
      </c>
      <c r="W108" s="15">
        <v>0.33614946883564889</v>
      </c>
      <c r="X108" s="15">
        <v>0.30689602776281277</v>
      </c>
      <c r="Y108" s="15">
        <v>0.36299736759898732</v>
      </c>
      <c r="Z108" s="15">
        <v>-0.12078759559259607</v>
      </c>
      <c r="AA108" s="15">
        <v>-9.5463576590475802E-2</v>
      </c>
      <c r="AB108" s="15">
        <v>-0.55939805494922923</v>
      </c>
      <c r="AC108" s="15">
        <v>-0.34381012571153829</v>
      </c>
      <c r="AD108" s="15">
        <v>0.19609126756769679</v>
      </c>
      <c r="AE108" s="15">
        <v>-0.47206902144906648</v>
      </c>
      <c r="AF108" s="15">
        <v>-0.17722360788130773</v>
      </c>
      <c r="AG108" s="15">
        <v>0.36572938828855345</v>
      </c>
      <c r="AH108" s="15">
        <v>0.18044177023197791</v>
      </c>
      <c r="AI108" s="15">
        <v>0.36892983011701841</v>
      </c>
      <c r="AJ108" s="15">
        <v>0.10936243651417869</v>
      </c>
      <c r="AK108" s="15">
        <v>0.22473140908445538</v>
      </c>
      <c r="AM108" s="16">
        <v>0.55432357837182789</v>
      </c>
      <c r="AN108" s="16">
        <v>-0.48208298562839591</v>
      </c>
      <c r="AP108" s="17">
        <f t="shared" si="5"/>
        <v>0</v>
      </c>
    </row>
    <row r="109" spans="1:42" x14ac:dyDescent="0.2">
      <c r="A109">
        <v>0.27607971350792421</v>
      </c>
      <c r="B109">
        <v>2.850562541211461</v>
      </c>
      <c r="C109">
        <v>0.43808413369046939</v>
      </c>
      <c r="D109">
        <v>0.14719094660447449</v>
      </c>
      <c r="E109">
        <v>1.9266284906746001</v>
      </c>
      <c r="F109">
        <v>2.0252781850541788</v>
      </c>
      <c r="G109">
        <v>1.116044812159799</v>
      </c>
      <c r="H109">
        <v>0.21647131752364149</v>
      </c>
      <c r="I109">
        <v>2.417305165663514E-2</v>
      </c>
      <c r="J109">
        <v>1.7639196058979749</v>
      </c>
      <c r="M109" s="13">
        <v>1</v>
      </c>
      <c r="O109" s="10">
        <f t="shared" si="3"/>
        <v>0</v>
      </c>
      <c r="P109" s="10">
        <f t="shared" si="4"/>
        <v>1</v>
      </c>
      <c r="R109" s="15">
        <v>-0.26168925769641338</v>
      </c>
      <c r="S109" s="15">
        <v>-0.82208700663082135</v>
      </c>
      <c r="T109" s="15">
        <v>-0.54684272126801026</v>
      </c>
      <c r="U109" s="15">
        <v>-0.33330989972492681</v>
      </c>
      <c r="V109" s="15">
        <v>-0.75859860794823086</v>
      </c>
      <c r="W109" s="15">
        <v>2.8546110896456256E-2</v>
      </c>
      <c r="X109" s="15">
        <v>0.89049938129785622</v>
      </c>
      <c r="Y109" s="15">
        <v>0.74433561657162683</v>
      </c>
      <c r="Z109" s="15">
        <v>-0.52654230735704544</v>
      </c>
      <c r="AA109" s="15">
        <v>-0.70518850329555627</v>
      </c>
      <c r="AB109" s="15">
        <v>9.6624986920115039E-3</v>
      </c>
      <c r="AC109" s="15">
        <v>-0.4805603846645089</v>
      </c>
      <c r="AD109" s="15">
        <v>0.77742417548036835</v>
      </c>
      <c r="AE109" s="15">
        <v>-0.86275247914702902</v>
      </c>
      <c r="AF109" s="15">
        <v>5.0244930459619691E-3</v>
      </c>
      <c r="AG109" s="15">
        <v>-0.21429580607866269</v>
      </c>
      <c r="AH109" s="15">
        <v>0.53155205994446697</v>
      </c>
      <c r="AI109" s="15">
        <v>0.76927666322709731</v>
      </c>
      <c r="AJ109" s="15">
        <v>0.82484588992563646</v>
      </c>
      <c r="AK109" s="15">
        <v>-0.20730849080113867</v>
      </c>
      <c r="AM109" s="16">
        <v>-0.55300517093026547</v>
      </c>
      <c r="AN109" s="16">
        <v>0.58898401737617856</v>
      </c>
      <c r="AP109" s="17">
        <f t="shared" si="5"/>
        <v>1</v>
      </c>
    </row>
    <row r="110" spans="1:42" x14ac:dyDescent="0.2">
      <c r="A110">
        <v>1.89907528128398</v>
      </c>
      <c r="B110">
        <v>1.494803645681466</v>
      </c>
      <c r="C110">
        <v>2.0751914363464321</v>
      </c>
      <c r="D110">
        <v>1.9524390160496261</v>
      </c>
      <c r="E110">
        <v>2.2035219409868341</v>
      </c>
      <c r="F110">
        <v>2.798343130780554</v>
      </c>
      <c r="G110">
        <v>2.4694274324267029</v>
      </c>
      <c r="H110">
        <v>1.612574966704881</v>
      </c>
      <c r="I110">
        <v>1.6184504537181179</v>
      </c>
      <c r="J110">
        <v>2.0416243671670911</v>
      </c>
      <c r="M110" s="13">
        <v>1</v>
      </c>
      <c r="O110" s="10">
        <f t="shared" si="3"/>
        <v>0</v>
      </c>
      <c r="P110" s="10">
        <f t="shared" si="4"/>
        <v>1</v>
      </c>
      <c r="R110" s="15">
        <v>-1.0171182284430948E-2</v>
      </c>
      <c r="S110" s="15">
        <v>-0.62243515846155995</v>
      </c>
      <c r="T110" s="15">
        <v>-0.4658108555879924</v>
      </c>
      <c r="U110" s="15">
        <v>-0.23152209739101012</v>
      </c>
      <c r="V110" s="15">
        <v>-0.7953999618044213</v>
      </c>
      <c r="W110" s="15">
        <v>0.30675308849604199</v>
      </c>
      <c r="X110" s="15">
        <v>0.82317127606511942</v>
      </c>
      <c r="Y110" s="15">
        <v>0.2428914896914425</v>
      </c>
      <c r="Z110" s="15">
        <v>-0.78727143569617253</v>
      </c>
      <c r="AA110" s="15">
        <v>-0.52061527003217545</v>
      </c>
      <c r="AB110" s="15">
        <v>0.44781180955778171</v>
      </c>
      <c r="AC110" s="15">
        <v>-0.52133443976755578</v>
      </c>
      <c r="AD110" s="15">
        <v>0.64439268483031387</v>
      </c>
      <c r="AE110" s="15">
        <v>-0.74833848090785127</v>
      </c>
      <c r="AF110" s="15">
        <v>-8.1464309324463302E-2</v>
      </c>
      <c r="AG110" s="15">
        <v>-0.24994792958144635</v>
      </c>
      <c r="AH110" s="15">
        <v>0.39305947407517278</v>
      </c>
      <c r="AI110" s="15">
        <v>0.56607043523813261</v>
      </c>
      <c r="AJ110" s="15">
        <v>0.72405944648795229</v>
      </c>
      <c r="AK110" s="15">
        <v>-0.21379135687091422</v>
      </c>
      <c r="AM110" s="16">
        <v>-3.0257351084616243E-2</v>
      </c>
      <c r="AN110" s="16">
        <v>0.13448187840177192</v>
      </c>
      <c r="AP110" s="17">
        <f t="shared" si="5"/>
        <v>1</v>
      </c>
    </row>
    <row r="111" spans="1:42" x14ac:dyDescent="0.2">
      <c r="A111">
        <v>2.081306362578133</v>
      </c>
      <c r="B111">
        <v>0.83285988113698384</v>
      </c>
      <c r="C111">
        <v>2.0338503428450192</v>
      </c>
      <c r="D111">
        <v>2.330621439739136</v>
      </c>
      <c r="E111">
        <v>0.20208404846149519</v>
      </c>
      <c r="F111">
        <v>1.887761824516315</v>
      </c>
      <c r="G111">
        <v>2.252825054865629</v>
      </c>
      <c r="H111">
        <v>1.85178918133564</v>
      </c>
      <c r="I111">
        <v>1.9852753426880161</v>
      </c>
      <c r="J111">
        <v>1.5548945167706829</v>
      </c>
      <c r="M111" s="13">
        <v>1</v>
      </c>
      <c r="O111" s="10">
        <f t="shared" si="3"/>
        <v>0</v>
      </c>
      <c r="P111" s="10">
        <f t="shared" si="4"/>
        <v>1</v>
      </c>
      <c r="R111" s="15">
        <v>-0.62695196494886518</v>
      </c>
      <c r="S111" s="15">
        <v>-0.75394941885143418</v>
      </c>
      <c r="T111" s="15">
        <v>-0.51947669423874432</v>
      </c>
      <c r="U111" s="15">
        <v>-0.16687014792365429</v>
      </c>
      <c r="V111" s="15">
        <v>-0.78291492530275741</v>
      </c>
      <c r="W111" s="15">
        <v>0.44519793405017105</v>
      </c>
      <c r="X111" s="15">
        <v>0.8367350647099856</v>
      </c>
      <c r="Y111" s="15">
        <v>0.55210704603997762</v>
      </c>
      <c r="Z111" s="15">
        <v>-0.69803099850829087</v>
      </c>
      <c r="AA111" s="15">
        <v>-0.70453441093183888</v>
      </c>
      <c r="AB111" s="15">
        <v>0.14130716180810446</v>
      </c>
      <c r="AC111" s="15">
        <v>-0.67295968547770468</v>
      </c>
      <c r="AD111" s="15">
        <v>0.63397051805694193</v>
      </c>
      <c r="AE111" s="15">
        <v>-0.86341514071756376</v>
      </c>
      <c r="AF111" s="15">
        <v>-0.28464554315051577</v>
      </c>
      <c r="AG111" s="15">
        <v>-0.18365780463206069</v>
      </c>
      <c r="AH111" s="15">
        <v>0.47847337371359278</v>
      </c>
      <c r="AI111" s="15">
        <v>0.65358802960017592</v>
      </c>
      <c r="AJ111" s="15">
        <v>0.7312454370252266</v>
      </c>
      <c r="AK111" s="15">
        <v>0.17342968150853952</v>
      </c>
      <c r="AM111" s="16">
        <v>0.60567004552558723</v>
      </c>
      <c r="AN111" s="16">
        <v>0.29418651159229259</v>
      </c>
      <c r="AP111" s="17">
        <f t="shared" si="5"/>
        <v>0</v>
      </c>
    </row>
    <row r="112" spans="1:42" x14ac:dyDescent="0.2">
      <c r="A112">
        <v>1.674133790311509</v>
      </c>
      <c r="B112">
        <v>2.269523014555749</v>
      </c>
      <c r="C112">
        <v>1.5873665330297559</v>
      </c>
      <c r="D112">
        <v>1.706047436979188</v>
      </c>
      <c r="E112">
        <v>-3.020911455212338E-2</v>
      </c>
      <c r="F112">
        <v>0.65011457967553166</v>
      </c>
      <c r="G112">
        <v>1.2082919423681631</v>
      </c>
      <c r="H112">
        <v>1.4888434763786269</v>
      </c>
      <c r="I112">
        <v>1.4632553083846991</v>
      </c>
      <c r="J112">
        <v>0.67698914243605757</v>
      </c>
      <c r="M112" s="13">
        <v>1</v>
      </c>
      <c r="O112" s="10">
        <f t="shared" si="3"/>
        <v>0</v>
      </c>
      <c r="P112" s="10">
        <f t="shared" si="4"/>
        <v>1</v>
      </c>
      <c r="R112" s="15">
        <v>-0.85447519587400578</v>
      </c>
      <c r="S112" s="15">
        <v>-0.64171032467444467</v>
      </c>
      <c r="T112" s="15">
        <v>-0.42807414907296099</v>
      </c>
      <c r="U112" s="15">
        <v>0.21763157963709281</v>
      </c>
      <c r="V112" s="15">
        <v>-0.4372036440963169</v>
      </c>
      <c r="W112" s="15">
        <v>0.5539787581261445</v>
      </c>
      <c r="X112" s="15">
        <v>0.60541988423697479</v>
      </c>
      <c r="Y112" s="15">
        <v>0.41943922621813889</v>
      </c>
      <c r="Z112" s="15">
        <v>-0.52189728927001489</v>
      </c>
      <c r="AA112" s="15">
        <v>-0.52187959530832639</v>
      </c>
      <c r="AB112" s="15">
        <v>-0.20222632769563162</v>
      </c>
      <c r="AC112" s="15">
        <v>-0.73918199594503942</v>
      </c>
      <c r="AD112" s="15">
        <v>0.37028260858251294</v>
      </c>
      <c r="AE112" s="15">
        <v>-0.7882170347407893</v>
      </c>
      <c r="AF112" s="15">
        <v>-0.38982989792744627</v>
      </c>
      <c r="AG112" s="15">
        <v>0.27009495150034435</v>
      </c>
      <c r="AH112" s="15">
        <v>0.31634001352578567</v>
      </c>
      <c r="AI112" s="15">
        <v>0.49759690240279986</v>
      </c>
      <c r="AJ112" s="15">
        <v>0.34391076947415961</v>
      </c>
      <c r="AK112" s="15">
        <v>0.60656811040206504</v>
      </c>
      <c r="AM112" s="16">
        <v>0.42732882855442433</v>
      </c>
      <c r="AN112" s="16">
        <v>-0.62542622040039308</v>
      </c>
      <c r="AP112" s="17">
        <f t="shared" si="5"/>
        <v>0</v>
      </c>
    </row>
    <row r="113" spans="1:42" x14ac:dyDescent="0.2">
      <c r="A113">
        <v>0.66901548254844323</v>
      </c>
      <c r="B113">
        <v>2.2278450738251698</v>
      </c>
      <c r="C113">
        <v>0.64065549184739379</v>
      </c>
      <c r="D113">
        <v>0.55173153921779849</v>
      </c>
      <c r="E113">
        <v>-5.065091289732189E-2</v>
      </c>
      <c r="F113">
        <v>1.221211083817551E-2</v>
      </c>
      <c r="G113">
        <v>6.4376562519145947E-2</v>
      </c>
      <c r="H113">
        <v>0.51755127731752792</v>
      </c>
      <c r="I113">
        <v>0.39276152182350438</v>
      </c>
      <c r="J113">
        <v>0.36345150874511989</v>
      </c>
      <c r="M113" s="13">
        <v>1</v>
      </c>
      <c r="O113" s="10">
        <f t="shared" si="3"/>
        <v>0</v>
      </c>
      <c r="P113" s="10">
        <f t="shared" si="4"/>
        <v>1</v>
      </c>
      <c r="R113" s="15">
        <v>-0.72029902962397874</v>
      </c>
      <c r="S113" s="15">
        <v>-0.83104624104211688</v>
      </c>
      <c r="T113" s="15">
        <v>-0.53801384999500956</v>
      </c>
      <c r="U113" s="15">
        <v>-6.5319922044675002E-2</v>
      </c>
      <c r="V113" s="15">
        <v>-0.57156786878986587</v>
      </c>
      <c r="W113" s="15">
        <v>0.46273775106042575</v>
      </c>
      <c r="X113" s="15">
        <v>0.87243324683523626</v>
      </c>
      <c r="Y113" s="15">
        <v>0.75728137631640202</v>
      </c>
      <c r="Z113" s="15">
        <v>-0.52374198623764157</v>
      </c>
      <c r="AA113" s="15">
        <v>-0.65478474632623063</v>
      </c>
      <c r="AB113" s="15">
        <v>-0.44793585582237183</v>
      </c>
      <c r="AC113" s="15">
        <v>-0.64101377142569527</v>
      </c>
      <c r="AD113" s="15">
        <v>0.7260843770453288</v>
      </c>
      <c r="AE113" s="15">
        <v>-0.89383184505635238</v>
      </c>
      <c r="AF113" s="15">
        <v>-0.31048437832666193</v>
      </c>
      <c r="AG113" s="15">
        <v>0.20136770948328722</v>
      </c>
      <c r="AH113" s="15">
        <v>0.47292839685783022</v>
      </c>
      <c r="AI113" s="15">
        <v>0.78233289101641923</v>
      </c>
      <c r="AJ113" s="15">
        <v>0.75116640908692633</v>
      </c>
      <c r="AK113" s="15">
        <v>0.30370028217041767</v>
      </c>
      <c r="AM113" s="16">
        <v>0.11430094234486132</v>
      </c>
      <c r="AN113" s="16">
        <v>-0.8349911285366145</v>
      </c>
      <c r="AP113" s="17">
        <f t="shared" si="5"/>
        <v>0</v>
      </c>
    </row>
    <row r="114" spans="1:42" x14ac:dyDescent="0.2">
      <c r="A114">
        <v>1.8079597406369039</v>
      </c>
      <c r="B114">
        <v>2.534300520373542</v>
      </c>
      <c r="C114">
        <v>1.955302265192334</v>
      </c>
      <c r="D114">
        <v>1.717507510424324</v>
      </c>
      <c r="E114">
        <v>3.195878333381013</v>
      </c>
      <c r="F114">
        <v>3.2195644153109502</v>
      </c>
      <c r="G114">
        <v>2.5866475426362259</v>
      </c>
      <c r="H114">
        <v>1.911592734993329</v>
      </c>
      <c r="I114">
        <v>1.6219776161120589</v>
      </c>
      <c r="J114">
        <v>2.2028722930652882</v>
      </c>
      <c r="M114" s="13">
        <v>1</v>
      </c>
      <c r="O114" s="10">
        <f t="shared" si="3"/>
        <v>0</v>
      </c>
      <c r="P114" s="10">
        <f t="shared" si="4"/>
        <v>1</v>
      </c>
      <c r="R114" s="15">
        <v>-0.65337148811699475</v>
      </c>
      <c r="S114" s="15">
        <v>-0.52866221886479425</v>
      </c>
      <c r="T114" s="15">
        <v>-0.39042248806109991</v>
      </c>
      <c r="U114" s="15">
        <v>3.3144778956273602E-2</v>
      </c>
      <c r="V114" s="15">
        <v>-0.5130847212278099</v>
      </c>
      <c r="W114" s="15">
        <v>0.65642095664729871</v>
      </c>
      <c r="X114" s="15">
        <v>0.67525699126092154</v>
      </c>
      <c r="Y114" s="15">
        <v>0.15539796103462358</v>
      </c>
      <c r="Z114" s="15">
        <v>-0.72500503609815881</v>
      </c>
      <c r="AA114" s="15">
        <v>-0.38959041548975443</v>
      </c>
      <c r="AB114" s="15">
        <v>-4.086403511264344E-3</v>
      </c>
      <c r="AC114" s="15">
        <v>-0.6548804192941946</v>
      </c>
      <c r="AD114" s="15">
        <v>0.42310779456627262</v>
      </c>
      <c r="AE114" s="15">
        <v>-0.72827591917284851</v>
      </c>
      <c r="AF114" s="15">
        <v>-0.42290519950919997</v>
      </c>
      <c r="AG114" s="15">
        <v>0.182063457674215</v>
      </c>
      <c r="AH114" s="15">
        <v>0.22297242263322395</v>
      </c>
      <c r="AI114" s="15">
        <v>0.4589534684120205</v>
      </c>
      <c r="AJ114" s="15">
        <v>0.46478162172300519</v>
      </c>
      <c r="AK114" s="15">
        <v>0.43188098039422085</v>
      </c>
      <c r="AM114" s="16">
        <v>0.80801035738384919</v>
      </c>
      <c r="AN114" s="16">
        <v>-0.43200654701865593</v>
      </c>
      <c r="AP114" s="17">
        <f t="shared" si="5"/>
        <v>0</v>
      </c>
    </row>
    <row r="115" spans="1:42" x14ac:dyDescent="0.2">
      <c r="A115">
        <v>-1.8480513278270549</v>
      </c>
      <c r="B115">
        <v>1.3599632492001821</v>
      </c>
      <c r="C115">
        <v>-1.855519733767935</v>
      </c>
      <c r="D115">
        <v>-1.388172393207709</v>
      </c>
      <c r="E115">
        <v>-1.1411279373484531</v>
      </c>
      <c r="F115">
        <v>-1.1338814489237941</v>
      </c>
      <c r="G115">
        <v>-1.2867126208088751</v>
      </c>
      <c r="H115">
        <v>-1.44647991246122</v>
      </c>
      <c r="I115">
        <v>-1.1158058340652039</v>
      </c>
      <c r="J115">
        <v>-1.753674036844165</v>
      </c>
      <c r="M115" s="13">
        <v>0</v>
      </c>
      <c r="O115" s="10">
        <f t="shared" si="3"/>
        <v>1</v>
      </c>
      <c r="P115" s="10">
        <f t="shared" si="4"/>
        <v>0</v>
      </c>
      <c r="R115" s="15">
        <v>-0.89136306622896944</v>
      </c>
      <c r="S115" s="15">
        <v>-0.53306652378262975</v>
      </c>
      <c r="T115" s="15">
        <v>-6.9982464561346741E-2</v>
      </c>
      <c r="U115" s="15">
        <v>0.74320381097468524</v>
      </c>
      <c r="V115" s="15">
        <v>-5.3455998799886224E-2</v>
      </c>
      <c r="W115" s="15">
        <v>0.84107957703957381</v>
      </c>
      <c r="X115" s="15">
        <v>0.42873142115990481</v>
      </c>
      <c r="Y115" s="15">
        <v>0.2359905859387352</v>
      </c>
      <c r="Z115" s="15">
        <v>-0.62265097612089015</v>
      </c>
      <c r="AA115" s="15">
        <v>-0.18433879099997472</v>
      </c>
      <c r="AB115" s="15">
        <v>-0.74086501373810676</v>
      </c>
      <c r="AC115" s="15">
        <v>-0.722825004409412</v>
      </c>
      <c r="AD115" s="15">
        <v>8.514265564762627E-2</v>
      </c>
      <c r="AE115" s="15">
        <v>-0.75135139067867374</v>
      </c>
      <c r="AF115" s="15">
        <v>-0.61266233981269957</v>
      </c>
      <c r="AG115" s="15">
        <v>0.59667931921976902</v>
      </c>
      <c r="AH115" s="15">
        <v>0.26909360172614682</v>
      </c>
      <c r="AI115" s="15">
        <v>0.42920193717656818</v>
      </c>
      <c r="AJ115" s="15">
        <v>1.7553967818611148E-2</v>
      </c>
      <c r="AK115" s="15">
        <v>0.63449777339396041</v>
      </c>
      <c r="AM115" s="16">
        <v>-9.2736983143208135E-2</v>
      </c>
      <c r="AN115" s="16">
        <v>0.13344673387239014</v>
      </c>
      <c r="AP115" s="17">
        <f t="shared" si="5"/>
        <v>1</v>
      </c>
    </row>
    <row r="116" spans="1:42" x14ac:dyDescent="0.2">
      <c r="R116" s="15">
        <v>-0.81098131776554661</v>
      </c>
      <c r="S116" s="15">
        <v>-0.76203857152035548</v>
      </c>
      <c r="T116" s="15">
        <v>-0.59836335609277502</v>
      </c>
      <c r="U116" s="15">
        <v>-0.2877741666059036</v>
      </c>
      <c r="V116" s="15">
        <v>-0.78795419034172465</v>
      </c>
      <c r="W116" s="15">
        <v>0.77315413224575003</v>
      </c>
      <c r="X116" s="15">
        <v>0.88134255697667807</v>
      </c>
      <c r="Y116" s="15">
        <v>0.4596122972284914</v>
      </c>
      <c r="Z116" s="15">
        <v>-0.83590582615794062</v>
      </c>
      <c r="AA116" s="15">
        <v>-0.72262507975072943</v>
      </c>
      <c r="AB116" s="15">
        <v>0.11881744325483173</v>
      </c>
      <c r="AC116" s="15">
        <v>-0.78378384201300588</v>
      </c>
      <c r="AD116" s="15">
        <v>0.65437504262713619</v>
      </c>
      <c r="AE116" s="15">
        <v>-0.90725903290666332</v>
      </c>
      <c r="AF116" s="15">
        <v>-0.58115075873219135</v>
      </c>
      <c r="AG116" s="15">
        <v>-2.6882975693458381E-2</v>
      </c>
      <c r="AH116" s="15">
        <v>0.41217575254479655</v>
      </c>
      <c r="AI116" s="15">
        <v>0.68061345068078138</v>
      </c>
      <c r="AJ116" s="15">
        <v>0.76929109650799032</v>
      </c>
      <c r="AK116" s="15">
        <v>0.53462056241090239</v>
      </c>
      <c r="AM116" s="16">
        <v>-9.7113175839587933E-3</v>
      </c>
      <c r="AN116" s="16">
        <v>0.43198458044255561</v>
      </c>
      <c r="AP116" s="17">
        <f t="shared" si="5"/>
        <v>1</v>
      </c>
    </row>
    <row r="117" spans="1:42" x14ac:dyDescent="0.2">
      <c r="R117" s="15">
        <v>-0.90540216158257747</v>
      </c>
      <c r="S117" s="15">
        <v>-0.3768294684127137</v>
      </c>
      <c r="T117" s="15">
        <v>-4.9501447459774035E-2</v>
      </c>
      <c r="U117" s="15">
        <v>0.52412296873650144</v>
      </c>
      <c r="V117" s="15">
        <v>3.6505840254905809E-2</v>
      </c>
      <c r="W117" s="15">
        <v>0.86410672107940678</v>
      </c>
      <c r="X117" s="15">
        <v>0.31233768034001458</v>
      </c>
      <c r="Y117" s="15">
        <v>0.10692538726623832</v>
      </c>
      <c r="Z117" s="15">
        <v>-0.59411270788067716</v>
      </c>
      <c r="AA117" s="15">
        <v>-0.19326893510559234</v>
      </c>
      <c r="AB117" s="15">
        <v>-0.67400034083415328</v>
      </c>
      <c r="AC117" s="15">
        <v>-0.68154487332208014</v>
      </c>
      <c r="AD117" s="15">
        <v>-3.2887009548478695E-2</v>
      </c>
      <c r="AE117" s="15">
        <v>-0.67237368609887094</v>
      </c>
      <c r="AF117" s="15">
        <v>-0.69361724546963344</v>
      </c>
      <c r="AG117" s="15">
        <v>0.52311097653552385</v>
      </c>
      <c r="AH117" s="15">
        <v>9.7240379175909678E-2</v>
      </c>
      <c r="AI117" s="15">
        <v>0.28093281364123296</v>
      </c>
      <c r="AJ117" s="15">
        <v>-2.1584399854070246E-2</v>
      </c>
      <c r="AK117" s="15">
        <v>0.73418582546543265</v>
      </c>
      <c r="AM117" s="16">
        <v>0.50411640943527203</v>
      </c>
      <c r="AN117" s="16">
        <v>0.26078165444751222</v>
      </c>
      <c r="AP117" s="17">
        <f t="shared" si="5"/>
        <v>0</v>
      </c>
    </row>
    <row r="118" spans="1:42" x14ac:dyDescent="0.2">
      <c r="R118" s="15">
        <v>-0.88339540999782484</v>
      </c>
      <c r="S118" s="15">
        <v>-0.37178503334577051</v>
      </c>
      <c r="T118" s="15">
        <v>-0.33958566679123048</v>
      </c>
      <c r="U118" s="15">
        <v>0.42544467362481864</v>
      </c>
      <c r="V118" s="15">
        <v>-0.60535225084306454</v>
      </c>
      <c r="W118" s="15">
        <v>0.9301068986086436</v>
      </c>
      <c r="X118" s="15">
        <v>0.60339686042320884</v>
      </c>
      <c r="Y118" s="15">
        <v>-0.34330486322158105</v>
      </c>
      <c r="Z118" s="15">
        <v>-0.91902365918134943</v>
      </c>
      <c r="AA118" s="15">
        <v>-0.31987267221207172</v>
      </c>
      <c r="AB118" s="15">
        <v>4.7596149217168857E-2</v>
      </c>
      <c r="AC118" s="15">
        <v>-0.85255604663578932</v>
      </c>
      <c r="AD118" s="15">
        <v>0.12987900303806191</v>
      </c>
      <c r="AE118" s="15">
        <v>-0.78065092295784078</v>
      </c>
      <c r="AF118" s="15">
        <v>-0.73812768446886334</v>
      </c>
      <c r="AG118" s="15">
        <v>0.34532321938772154</v>
      </c>
      <c r="AH118" s="15">
        <v>0.16315490279332634</v>
      </c>
      <c r="AI118" s="15">
        <v>0.25547432443569545</v>
      </c>
      <c r="AJ118" s="15">
        <v>0.24922990267482117</v>
      </c>
      <c r="AK118" s="15">
        <v>0.74040958789629563</v>
      </c>
      <c r="AM118" s="16">
        <v>0.70045671547812571</v>
      </c>
      <c r="AN118" s="16">
        <v>-0.18518468492260315</v>
      </c>
      <c r="AP118" s="17">
        <f t="shared" si="5"/>
        <v>0</v>
      </c>
    </row>
    <row r="119" spans="1:42" x14ac:dyDescent="0.2">
      <c r="R119" s="15">
        <v>-0.48092372426960756</v>
      </c>
      <c r="S119" s="15">
        <v>-0.79037374758433765</v>
      </c>
      <c r="T119" s="15">
        <v>-0.6606951945286208</v>
      </c>
      <c r="U119" s="15">
        <v>-0.26040547985616475</v>
      </c>
      <c r="V119" s="15">
        <v>-0.71718545550619395</v>
      </c>
      <c r="W119" s="15">
        <v>0.47247654456980859</v>
      </c>
      <c r="X119" s="15">
        <v>0.90186154620279124</v>
      </c>
      <c r="Y119" s="15">
        <v>0.56017755343224873</v>
      </c>
      <c r="Z119" s="15">
        <v>-0.73876489371536469</v>
      </c>
      <c r="AA119" s="15">
        <v>-0.59525342009634241</v>
      </c>
      <c r="AB119" s="15">
        <v>0.11207018452027472</v>
      </c>
      <c r="AC119" s="15">
        <v>-0.67491301979384821</v>
      </c>
      <c r="AD119" s="15">
        <v>0.780646692178801</v>
      </c>
      <c r="AE119" s="15">
        <v>-0.8753005449086928</v>
      </c>
      <c r="AF119" s="15">
        <v>-0.23537544630737781</v>
      </c>
      <c r="AG119" s="15">
        <v>0.1272611733124224</v>
      </c>
      <c r="AH119" s="15">
        <v>0.41984853856768523</v>
      </c>
      <c r="AI119" s="15">
        <v>0.76179270907146612</v>
      </c>
      <c r="AJ119" s="15">
        <v>0.79937178197878145</v>
      </c>
      <c r="AK119" s="15">
        <v>0.23128274360479475</v>
      </c>
      <c r="AM119" s="16">
        <v>0.38733087169599123</v>
      </c>
      <c r="AN119" s="16">
        <v>5.4029871527400367E-2</v>
      </c>
      <c r="AP119" s="17">
        <f t="shared" si="5"/>
        <v>0</v>
      </c>
    </row>
    <row r="120" spans="1:42" x14ac:dyDescent="0.2">
      <c r="R120" s="15">
        <v>-0.95545370441257349</v>
      </c>
      <c r="S120" s="15">
        <v>-0.802903567772978</v>
      </c>
      <c r="T120" s="15">
        <v>-0.63154366819438879</v>
      </c>
      <c r="U120" s="15">
        <v>0.22819573198707485</v>
      </c>
      <c r="V120" s="15">
        <v>-0.65727182565477316</v>
      </c>
      <c r="W120" s="15">
        <v>0.88499100981304668</v>
      </c>
      <c r="X120" s="15">
        <v>0.8549214129714664</v>
      </c>
      <c r="Y120" s="15">
        <v>0.47334310952425707</v>
      </c>
      <c r="Z120" s="15">
        <v>-0.84207136314115671</v>
      </c>
      <c r="AA120" s="15">
        <v>-0.67792387267597076</v>
      </c>
      <c r="AB120" s="15">
        <v>-0.28731818751607008</v>
      </c>
      <c r="AC120" s="15">
        <v>-0.9011193031956265</v>
      </c>
      <c r="AD120" s="15">
        <v>0.57887437287501453</v>
      </c>
      <c r="AE120" s="15">
        <v>-0.93728817487180349</v>
      </c>
      <c r="AF120" s="15">
        <v>-0.70709773570706225</v>
      </c>
      <c r="AG120" s="15">
        <v>0.45673856346534447</v>
      </c>
      <c r="AH120" s="15">
        <v>0.41651649013064523</v>
      </c>
      <c r="AI120" s="15">
        <v>0.70255064618955598</v>
      </c>
      <c r="AJ120" s="15">
        <v>0.61279043853468418</v>
      </c>
      <c r="AK120" s="15">
        <v>0.82448368921806114</v>
      </c>
      <c r="AM120" s="16">
        <v>0.6146154573127951</v>
      </c>
      <c r="AN120" s="16">
        <v>-0.38201916084786997</v>
      </c>
      <c r="AP120" s="17">
        <f t="shared" si="5"/>
        <v>0</v>
      </c>
    </row>
    <row r="121" spans="1:42" x14ac:dyDescent="0.2">
      <c r="R121" s="15">
        <v>-0.32972848518103681</v>
      </c>
      <c r="S121" s="15">
        <v>-4.1329579926055564E-2</v>
      </c>
      <c r="T121" s="15">
        <v>3.4669468638207947E-2</v>
      </c>
      <c r="U121" s="15">
        <v>0.18427885857954238</v>
      </c>
      <c r="V121" s="15">
        <v>0.2076533031144871</v>
      </c>
      <c r="W121" s="15">
        <v>0.40384064520570084</v>
      </c>
      <c r="X121" s="15">
        <v>0.17303502687416147</v>
      </c>
      <c r="Y121" s="15">
        <v>-0.21341191989633379</v>
      </c>
      <c r="Z121" s="15">
        <v>-0.50620335064250455</v>
      </c>
      <c r="AA121" s="15">
        <v>0.24144335918810328</v>
      </c>
      <c r="AB121" s="15">
        <v>-0.32304322025253673</v>
      </c>
      <c r="AC121" s="15">
        <v>-0.34218184896262216</v>
      </c>
      <c r="AD121" s="15">
        <v>6.2913833586806162E-2</v>
      </c>
      <c r="AE121" s="15">
        <v>-0.14941855183861866</v>
      </c>
      <c r="AF121" s="15">
        <v>-0.19861972374978143</v>
      </c>
      <c r="AG121" s="15">
        <v>0.525654797802521</v>
      </c>
      <c r="AH121" s="15">
        <v>-0.11197371613414511</v>
      </c>
      <c r="AI121" s="15">
        <v>4.0063010944938603E-2</v>
      </c>
      <c r="AJ121" s="15">
        <v>-0.15548991223818928</v>
      </c>
      <c r="AK121" s="15">
        <v>0.34954075863014117</v>
      </c>
      <c r="AM121" s="16">
        <v>0.44786422036069878</v>
      </c>
      <c r="AN121" s="16">
        <v>-0.56263100717817238</v>
      </c>
      <c r="AP121" s="17">
        <f t="shared" si="5"/>
        <v>0</v>
      </c>
    </row>
    <row r="122" spans="1:42" x14ac:dyDescent="0.2">
      <c r="R122" s="15">
        <v>-0.75752771904351723</v>
      </c>
      <c r="S122" s="15">
        <v>-7.8417017221024787E-2</v>
      </c>
      <c r="T122" s="15">
        <v>-0.20655083116963441</v>
      </c>
      <c r="U122" s="15">
        <v>-0.10903481579263676</v>
      </c>
      <c r="V122" s="15">
        <v>-0.3531372465564156</v>
      </c>
      <c r="W122" s="15">
        <v>0.81976568564169217</v>
      </c>
      <c r="X122" s="15">
        <v>0.31156678871996601</v>
      </c>
      <c r="Y122" s="15">
        <v>-0.34962860381329114</v>
      </c>
      <c r="Z122" s="15">
        <v>-0.75885770420092591</v>
      </c>
      <c r="AA122" s="15">
        <v>-0.23747799658080956</v>
      </c>
      <c r="AB122" s="15">
        <v>0.17660040665362686</v>
      </c>
      <c r="AC122" s="15">
        <v>-0.63169115209173654</v>
      </c>
      <c r="AD122" s="15">
        <v>-2.0995151331244889E-2</v>
      </c>
      <c r="AE122" s="15">
        <v>-0.48654430125671333</v>
      </c>
      <c r="AF122" s="15">
        <v>-0.64271454822996688</v>
      </c>
      <c r="AG122" s="15">
        <v>9.6006681379381315E-2</v>
      </c>
      <c r="AH122" s="15">
        <v>-7.5831253140494687E-2</v>
      </c>
      <c r="AI122" s="15">
        <v>1.7616826511887469E-2</v>
      </c>
      <c r="AJ122" s="15">
        <v>0.13515387135778481</v>
      </c>
      <c r="AK122" s="15">
        <v>0.66371442438305928</v>
      </c>
      <c r="AM122" s="16">
        <v>0.71297048880537417</v>
      </c>
      <c r="AN122" s="16">
        <v>-0.33320210521123894</v>
      </c>
      <c r="AP122" s="17">
        <f t="shared" si="5"/>
        <v>0</v>
      </c>
    </row>
    <row r="123" spans="1:42" x14ac:dyDescent="0.2">
      <c r="R123" s="15">
        <v>-0.60116729540121028</v>
      </c>
      <c r="S123" s="15">
        <v>-3.5636103415703058E-2</v>
      </c>
      <c r="T123" s="15">
        <v>-0.12718103033786449</v>
      </c>
      <c r="U123" s="15">
        <v>0.59630500634599026</v>
      </c>
      <c r="V123" s="15">
        <v>0.28889022865761083</v>
      </c>
      <c r="W123" s="15">
        <v>0.72378478843465732</v>
      </c>
      <c r="X123" s="15">
        <v>2.8364592769483186E-2</v>
      </c>
      <c r="Y123" s="15">
        <v>-0.36509921735685857</v>
      </c>
      <c r="Z123" s="15">
        <v>-0.49965721786470046</v>
      </c>
      <c r="AA123" s="15">
        <v>0.33759610463923967</v>
      </c>
      <c r="AB123" s="15">
        <v>-0.35279298880573928</v>
      </c>
      <c r="AC123" s="15">
        <v>-0.53356507677127862</v>
      </c>
      <c r="AD123" s="15">
        <v>-5.728465095284279E-2</v>
      </c>
      <c r="AE123" s="15">
        <v>-0.24150933300031219</v>
      </c>
      <c r="AF123" s="15">
        <v>-0.42945128582769976</v>
      </c>
      <c r="AG123" s="15">
        <v>0.63809738218265444</v>
      </c>
      <c r="AH123" s="15">
        <v>-0.11387644143274303</v>
      </c>
      <c r="AI123" s="15">
        <v>9.932370728957339E-2</v>
      </c>
      <c r="AJ123" s="15">
        <v>-0.27215530657825748</v>
      </c>
      <c r="AK123" s="15">
        <v>0.60084594143525671</v>
      </c>
      <c r="AM123" s="16">
        <v>0.34402746198453488</v>
      </c>
      <c r="AN123" s="16">
        <v>-0.32948814901449996</v>
      </c>
      <c r="AP123" s="17">
        <f t="shared" si="5"/>
        <v>0</v>
      </c>
    </row>
    <row r="124" spans="1:42" x14ac:dyDescent="0.2">
      <c r="R124" s="15">
        <v>-0.94994556550220444</v>
      </c>
      <c r="S124" s="15">
        <v>-0.78696309962468458</v>
      </c>
      <c r="T124" s="15">
        <v>-0.45628350473959728</v>
      </c>
      <c r="U124" s="15">
        <v>0.45517815674307188</v>
      </c>
      <c r="V124" s="15">
        <v>-0.3159033657284856</v>
      </c>
      <c r="W124" s="15">
        <v>0.88175825967697408</v>
      </c>
      <c r="X124" s="15">
        <v>0.79776357546529197</v>
      </c>
      <c r="Y124" s="15">
        <v>0.59195028045446951</v>
      </c>
      <c r="Z124" s="15">
        <v>-0.71052348326944315</v>
      </c>
      <c r="AA124" s="15">
        <v>-0.53787858629455088</v>
      </c>
      <c r="AB124" s="15">
        <v>-0.72408360512343939</v>
      </c>
      <c r="AC124" s="15">
        <v>-0.83365544604061348</v>
      </c>
      <c r="AD124" s="15">
        <v>0.50920813306160972</v>
      </c>
      <c r="AE124" s="15">
        <v>-0.91532065373067661</v>
      </c>
      <c r="AF124" s="15">
        <v>-0.70481297190906955</v>
      </c>
      <c r="AG124" s="15">
        <v>0.61071240590542808</v>
      </c>
      <c r="AH124" s="15">
        <v>0.37625851232209695</v>
      </c>
      <c r="AI124" s="15">
        <v>0.71578685965875899</v>
      </c>
      <c r="AJ124" s="15">
        <v>0.50278891035263695</v>
      </c>
      <c r="AK124" s="15">
        <v>0.78724086468182386</v>
      </c>
      <c r="AM124" s="16">
        <v>0.42511765561035192</v>
      </c>
      <c r="AN124" s="16">
        <v>-0.61298489718031901</v>
      </c>
      <c r="AP124" s="17">
        <f t="shared" si="5"/>
        <v>0</v>
      </c>
    </row>
    <row r="125" spans="1:42" x14ac:dyDescent="0.2">
      <c r="R125" s="15">
        <v>-0.84777091834087115</v>
      </c>
      <c r="S125" s="15">
        <v>0.90733006380152303</v>
      </c>
      <c r="T125" s="15">
        <v>0.54990501052706808</v>
      </c>
      <c r="U125" s="15">
        <v>0.35764168131731527</v>
      </c>
      <c r="V125" s="15">
        <v>0.62036791616676057</v>
      </c>
      <c r="W125" s="15">
        <v>0.93476014585593736</v>
      </c>
      <c r="X125" s="15">
        <v>-0.9087736026262303</v>
      </c>
      <c r="Y125" s="15">
        <v>-0.97568627645737627</v>
      </c>
      <c r="Z125" s="15">
        <v>-0.80013291143662901</v>
      </c>
      <c r="AA125" s="15">
        <v>0.7132611938396981</v>
      </c>
      <c r="AB125" s="15">
        <v>0.4725298350149521</v>
      </c>
      <c r="AC125" s="15">
        <v>-0.55744974114252488</v>
      </c>
      <c r="AD125" s="15">
        <v>-0.91228303176191283</v>
      </c>
      <c r="AE125" s="15">
        <v>0.76016677793279608</v>
      </c>
      <c r="AF125" s="15">
        <v>-0.80929412916698518</v>
      </c>
      <c r="AG125" s="15">
        <v>0.51110835534220223</v>
      </c>
      <c r="AH125" s="15">
        <v>-0.72907207609681224</v>
      </c>
      <c r="AI125" s="15">
        <v>-0.90963672039778831</v>
      </c>
      <c r="AJ125" s="15">
        <v>-0.92817976585094342</v>
      </c>
      <c r="AK125" s="15">
        <v>0.92203492263440234</v>
      </c>
      <c r="AM125" s="16">
        <v>0.7045123361078488</v>
      </c>
      <c r="AN125" s="16">
        <v>-0.2932103854082404</v>
      </c>
      <c r="AP125" s="17">
        <f t="shared" si="5"/>
        <v>0</v>
      </c>
    </row>
    <row r="126" spans="1:42" x14ac:dyDescent="0.2">
      <c r="R126" s="15">
        <v>-0.16249516604245456</v>
      </c>
      <c r="S126" s="15">
        <v>0.94535535032789009</v>
      </c>
      <c r="T126" s="15">
        <v>0.71662404533255353</v>
      </c>
      <c r="U126" s="15">
        <v>-0.2488797338778187</v>
      </c>
      <c r="V126" s="15">
        <v>0.90426141877970001</v>
      </c>
      <c r="W126" s="15">
        <v>0.54473081777726362</v>
      </c>
      <c r="X126" s="15">
        <v>-0.9663310249325554</v>
      </c>
      <c r="Y126" s="15">
        <v>-0.9425650782428473</v>
      </c>
      <c r="Z126" s="15">
        <v>0.47662839737126295</v>
      </c>
      <c r="AA126" s="15">
        <v>0.79110964413759499</v>
      </c>
      <c r="AB126" s="15">
        <v>0.26729191971416288</v>
      </c>
      <c r="AC126" s="15">
        <v>0.58873571111292922</v>
      </c>
      <c r="AD126" s="15">
        <v>-0.92612493176132937</v>
      </c>
      <c r="AE126" s="15">
        <v>0.94268212957663311</v>
      </c>
      <c r="AF126" s="15">
        <v>-0.57799032419627594</v>
      </c>
      <c r="AG126" s="15">
        <v>0.28995809674079515</v>
      </c>
      <c r="AH126" s="15">
        <v>-0.78417241742149113</v>
      </c>
      <c r="AI126" s="15">
        <v>-0.92295560149755784</v>
      </c>
      <c r="AJ126" s="15">
        <v>-0.93585978302018935</v>
      </c>
      <c r="AK126" s="15">
        <v>0.77441042108764191</v>
      </c>
      <c r="AM126" s="16">
        <v>0.79039033471997444</v>
      </c>
      <c r="AN126" s="16">
        <v>0.14901899192708415</v>
      </c>
      <c r="AP126" s="17">
        <f t="shared" si="5"/>
        <v>0</v>
      </c>
    </row>
    <row r="127" spans="1:42" x14ac:dyDescent="0.2">
      <c r="R127" s="15">
        <v>0.110382263506401</v>
      </c>
      <c r="S127" s="15">
        <v>0.89024049005576034</v>
      </c>
      <c r="T127" s="15">
        <v>0.72778784100935445</v>
      </c>
      <c r="U127" s="15">
        <v>8.1642812569312093E-2</v>
      </c>
      <c r="V127" s="15">
        <v>0.86390432807195261</v>
      </c>
      <c r="W127" s="15">
        <v>6.3678605936553834E-2</v>
      </c>
      <c r="X127" s="15">
        <v>-0.9612116975226298</v>
      </c>
      <c r="Y127" s="15">
        <v>-0.63391921928857853</v>
      </c>
      <c r="Z127" s="15">
        <v>0.91065867439983961</v>
      </c>
      <c r="AA127" s="15">
        <v>0.58273403088285658</v>
      </c>
      <c r="AB127" s="15">
        <v>-0.39775790429563168</v>
      </c>
      <c r="AC127" s="15">
        <v>0.78642246407388183</v>
      </c>
      <c r="AD127" s="15">
        <v>-0.90869076791895098</v>
      </c>
      <c r="AE127" s="15">
        <v>0.91253951361634833</v>
      </c>
      <c r="AF127" s="15">
        <v>-0.36224201749841745</v>
      </c>
      <c r="AG127" s="15">
        <v>-0.14916014484170534</v>
      </c>
      <c r="AH127" s="15">
        <v>-0.57887258014101173</v>
      </c>
      <c r="AI127" s="15">
        <v>-0.84924582556229344</v>
      </c>
      <c r="AJ127" s="15">
        <v>-0.86452078636395502</v>
      </c>
      <c r="AK127" s="15">
        <v>0.33240923834665315</v>
      </c>
      <c r="AM127" s="16">
        <v>0.6217447601065762</v>
      </c>
      <c r="AN127" s="16">
        <v>-0.46903925802280233</v>
      </c>
      <c r="AP127" s="17">
        <f t="shared" si="5"/>
        <v>0</v>
      </c>
    </row>
    <row r="128" spans="1:42" x14ac:dyDescent="0.2">
      <c r="R128" s="15">
        <v>-0.52145645062037316</v>
      </c>
      <c r="S128" s="15">
        <v>0.73558018362181343</v>
      </c>
      <c r="T128" s="15">
        <v>0.55835531786372983</v>
      </c>
      <c r="U128" s="15">
        <v>0.64363284187615499</v>
      </c>
      <c r="V128" s="15">
        <v>0.89300758946956327</v>
      </c>
      <c r="W128" s="15">
        <v>0.43874585333550142</v>
      </c>
      <c r="X128" s="15">
        <v>-0.9065673782386815</v>
      </c>
      <c r="Y128" s="15">
        <v>-0.43010646275283115</v>
      </c>
      <c r="Z128" s="15">
        <v>0.81619935043941716</v>
      </c>
      <c r="AA128" s="15">
        <v>0.6435020476759693</v>
      </c>
      <c r="AB128" s="15">
        <v>-0.76478145349063709</v>
      </c>
      <c r="AC128" s="15">
        <v>0.39467136885046999</v>
      </c>
      <c r="AD128" s="15">
        <v>-0.82434935147186617</v>
      </c>
      <c r="AE128" s="15">
        <v>0.7487421399732197</v>
      </c>
      <c r="AF128" s="15">
        <v>-0.43017915343677465</v>
      </c>
      <c r="AG128" s="15">
        <v>0.54764782979359772</v>
      </c>
      <c r="AH128" s="15">
        <v>-0.47915737781980761</v>
      </c>
      <c r="AI128" s="15">
        <v>-0.65944008922333341</v>
      </c>
      <c r="AJ128" s="15">
        <v>-0.85020833653477101</v>
      </c>
      <c r="AK128" s="15">
        <v>0.64784097478833313</v>
      </c>
      <c r="AM128" s="16">
        <v>0.55128380963355594</v>
      </c>
      <c r="AN128" s="16">
        <v>6.7032014752764421E-2</v>
      </c>
      <c r="AP128" s="17">
        <f t="shared" si="5"/>
        <v>0</v>
      </c>
    </row>
    <row r="129" spans="18:42" x14ac:dyDescent="0.2">
      <c r="R129" s="15">
        <v>-0.6364747310753639</v>
      </c>
      <c r="S129" s="15">
        <v>0.338969319666935</v>
      </c>
      <c r="T129" s="15">
        <v>0.38331700295161653</v>
      </c>
      <c r="U129" s="15">
        <v>0.75559826319270795</v>
      </c>
      <c r="V129" s="15">
        <v>0.64163755506557163</v>
      </c>
      <c r="W129" s="15">
        <v>0.58749365365933459</v>
      </c>
      <c r="X129" s="15">
        <v>-0.57366295930633093</v>
      </c>
      <c r="Y129" s="15">
        <v>-0.36519799945660486</v>
      </c>
      <c r="Z129" s="15">
        <v>7.0034260743109091E-3</v>
      </c>
      <c r="AA129" s="15">
        <v>0.49460826669310826</v>
      </c>
      <c r="AB129" s="15">
        <v>-0.69084301882774146</v>
      </c>
      <c r="AC129" s="15">
        <v>-0.23541930638951522</v>
      </c>
      <c r="AD129" s="15">
        <v>-0.54913001005985429</v>
      </c>
      <c r="AE129" s="15">
        <v>0.23797799173173539</v>
      </c>
      <c r="AF129" s="15">
        <v>-0.36307574340343135</v>
      </c>
      <c r="AG129" s="15">
        <v>0.64947490058097024</v>
      </c>
      <c r="AH129" s="15">
        <v>-0.19765054886226177</v>
      </c>
      <c r="AI129" s="15">
        <v>-0.33752326348708767</v>
      </c>
      <c r="AJ129" s="15">
        <v>-0.68585206067176019</v>
      </c>
      <c r="AK129" s="15">
        <v>0.54831519714011212</v>
      </c>
      <c r="AM129" s="16">
        <v>1.1120992697461882</v>
      </c>
      <c r="AN129" s="16">
        <v>-2.1741599450311011E-2</v>
      </c>
      <c r="AP129" s="17">
        <f t="shared" si="5"/>
        <v>0</v>
      </c>
    </row>
    <row r="130" spans="18:42" x14ac:dyDescent="0.2">
      <c r="R130" s="15">
        <v>-0.71488153866303872</v>
      </c>
      <c r="S130" s="15">
        <v>0.99023322565001304</v>
      </c>
      <c r="T130" s="15">
        <v>0.73299715235169383</v>
      </c>
      <c r="U130" s="15">
        <v>-0.22443471322785233</v>
      </c>
      <c r="V130" s="15">
        <v>0.96872888796799317</v>
      </c>
      <c r="W130" s="15">
        <v>0.70117809026450639</v>
      </c>
      <c r="X130" s="15">
        <v>-0.99577904193765676</v>
      </c>
      <c r="Y130" s="15">
        <v>-0.9872431742921598</v>
      </c>
      <c r="Z130" s="15">
        <v>0.62807927269917729</v>
      </c>
      <c r="AA130" s="15">
        <v>0.90481300958400235</v>
      </c>
      <c r="AB130" s="15">
        <v>0.50693180951605354</v>
      </c>
      <c r="AC130" s="15">
        <v>0.35254551889152946</v>
      </c>
      <c r="AD130" s="15">
        <v>-0.98480021781343807</v>
      </c>
      <c r="AE130" s="15">
        <v>0.98708202182348526</v>
      </c>
      <c r="AF130" s="15">
        <v>-0.71409525951335939</v>
      </c>
      <c r="AG130" s="15">
        <v>0.5042923703133706</v>
      </c>
      <c r="AH130" s="15">
        <v>-0.93139357991348604</v>
      </c>
      <c r="AI130" s="15">
        <v>-0.98581967976838014</v>
      </c>
      <c r="AJ130" s="15">
        <v>-0.98943052281574428</v>
      </c>
      <c r="AK130" s="15">
        <v>0.96432144009551934</v>
      </c>
      <c r="AM130" s="16">
        <v>0.3475479472724578</v>
      </c>
      <c r="AN130" s="16">
        <v>-0.56854050765066788</v>
      </c>
      <c r="AP130" s="17">
        <f t="shared" si="5"/>
        <v>0</v>
      </c>
    </row>
    <row r="131" spans="18:42" x14ac:dyDescent="0.2">
      <c r="R131" s="15">
        <v>-0.94699253028785246</v>
      </c>
      <c r="S131" s="15">
        <v>-0.83017078978152359</v>
      </c>
      <c r="T131" s="15">
        <v>-0.72635445330073145</v>
      </c>
      <c r="U131" s="15">
        <v>-7.8894791200082415E-2</v>
      </c>
      <c r="V131" s="15">
        <v>-0.8678698377072781</v>
      </c>
      <c r="W131" s="15">
        <v>0.82105897810458206</v>
      </c>
      <c r="X131" s="15">
        <v>0.88654001883482547</v>
      </c>
      <c r="Y131" s="15">
        <v>0.49977589115972326</v>
      </c>
      <c r="Z131" s="15">
        <v>-0.86153143099652096</v>
      </c>
      <c r="AA131" s="15">
        <v>-0.82899723446749218</v>
      </c>
      <c r="AB131" s="15">
        <v>0.27349456932029809</v>
      </c>
      <c r="AC131" s="15">
        <v>-0.91785290350750504</v>
      </c>
      <c r="AD131" s="15">
        <v>0.62897287902138055</v>
      </c>
      <c r="AE131" s="15">
        <v>-0.95102427592512295</v>
      </c>
      <c r="AF131" s="15">
        <v>-0.64889120983944415</v>
      </c>
      <c r="AG131" s="15">
        <v>3.2060807574788491E-2</v>
      </c>
      <c r="AH131" s="15">
        <v>0.51907391590157548</v>
      </c>
      <c r="AI131" s="15">
        <v>0.69416977581167583</v>
      </c>
      <c r="AJ131" s="15">
        <v>0.73614795590454163</v>
      </c>
      <c r="AK131" s="15">
        <v>0.77431276204192212</v>
      </c>
      <c r="AM131" s="16">
        <v>0.48940470461504615</v>
      </c>
      <c r="AN131" s="16">
        <v>-0.67976602317746393</v>
      </c>
      <c r="AP131" s="17">
        <f t="shared" si="5"/>
        <v>0</v>
      </c>
    </row>
    <row r="132" spans="18:42" x14ac:dyDescent="0.2">
      <c r="AM132" s="16">
        <v>0.44197130725400197</v>
      </c>
      <c r="AN132" s="16">
        <v>-0.12406803130661961</v>
      </c>
      <c r="AP132" s="17">
        <f t="shared" si="5"/>
        <v>0</v>
      </c>
    </row>
    <row r="133" spans="18:42" x14ac:dyDescent="0.2">
      <c r="AM133" s="16">
        <v>0.53184254109695128</v>
      </c>
      <c r="AN133" s="16">
        <v>-1.5257417645777011E-2</v>
      </c>
      <c r="AP133" s="17">
        <f t="shared" si="5"/>
        <v>0</v>
      </c>
    </row>
    <row r="134" spans="18:42" x14ac:dyDescent="0.2">
      <c r="AM134" s="16">
        <v>0.28308027459016599</v>
      </c>
      <c r="AN134" s="16">
        <v>0.29985387512276951</v>
      </c>
      <c r="AP134" s="17">
        <f t="shared" si="5"/>
        <v>1</v>
      </c>
    </row>
    <row r="135" spans="18:42" x14ac:dyDescent="0.2">
      <c r="AM135" s="16">
        <v>0.65842258388234343</v>
      </c>
      <c r="AN135" s="16">
        <v>-0.63502945271852795</v>
      </c>
      <c r="AP135" s="17">
        <f t="shared" si="5"/>
        <v>0</v>
      </c>
    </row>
    <row r="136" spans="18:42" x14ac:dyDescent="0.2">
      <c r="AM136" s="16">
        <v>0.51295024606257089</v>
      </c>
      <c r="AN136" s="16">
        <v>1.2607938417109701</v>
      </c>
      <c r="AP136" s="17">
        <f t="shared" si="5"/>
        <v>1</v>
      </c>
    </row>
    <row r="137" spans="18:42" x14ac:dyDescent="0.2">
      <c r="AM137" s="16">
        <v>-0.23658387525804775</v>
      </c>
      <c r="AN137" s="16">
        <v>0.86281171136658075</v>
      </c>
      <c r="AP137" s="17">
        <f t="shared" si="5"/>
        <v>1</v>
      </c>
    </row>
    <row r="138" spans="18:42" x14ac:dyDescent="0.2">
      <c r="AM138" s="16">
        <v>-0.14480847610416447</v>
      </c>
      <c r="AN138" s="16">
        <v>0.71582562654072202</v>
      </c>
      <c r="AP138" s="17">
        <f t="shared" si="5"/>
        <v>1</v>
      </c>
    </row>
    <row r="139" spans="18:42" x14ac:dyDescent="0.2">
      <c r="AM139" s="16">
        <v>-0.46513562383656992</v>
      </c>
      <c r="AN139" s="16">
        <v>0.65631962598670723</v>
      </c>
      <c r="AP139" s="17">
        <f t="shared" si="5"/>
        <v>1</v>
      </c>
    </row>
    <row r="140" spans="18:42" x14ac:dyDescent="0.2">
      <c r="AM140" s="16">
        <v>-0.68228802911742581</v>
      </c>
      <c r="AN140" s="16">
        <v>0.47932211825310145</v>
      </c>
      <c r="AP140" s="17">
        <f t="shared" si="5"/>
        <v>1</v>
      </c>
    </row>
    <row r="141" spans="18:42" x14ac:dyDescent="0.2">
      <c r="AM141" s="16">
        <v>0.48965172234840132</v>
      </c>
      <c r="AN141" s="16">
        <v>1.4205476947490454</v>
      </c>
      <c r="AP141" s="17">
        <f t="shared" si="5"/>
        <v>1</v>
      </c>
    </row>
    <row r="142" spans="18:42" x14ac:dyDescent="0.2">
      <c r="AM142" s="16">
        <v>0.52254910598573467</v>
      </c>
      <c r="AN142" s="16">
        <v>-0.52321098679403666</v>
      </c>
      <c r="AP142" s="17">
        <f t="shared" si="5"/>
        <v>0</v>
      </c>
    </row>
  </sheetData>
  <mergeCells count="6">
    <mergeCell ref="O1:P1"/>
    <mergeCell ref="R5:AK5"/>
    <mergeCell ref="R17:AK17"/>
    <mergeCell ref="AM5:AN5"/>
    <mergeCell ref="AM28:AN28"/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Training_section</vt:lpstr>
      <vt:lpstr>Testing_Section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2026-06-11T08:52:11Z</dcterms:created>
  <dcterms:modified xsi:type="dcterms:W3CDTF">2026-06-23T09:06:10Z</dcterms:modified>
</cp:coreProperties>
</file>